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D:\Users\rpalacios\Music\OEEV2\"/>
    </mc:Choice>
  </mc:AlternateContent>
  <xr:revisionPtr revIDLastSave="0" documentId="13_ncr:20001_{6CB0C33D-3D30-49F8-B6CB-A30053AB195D}" xr6:coauthVersionLast="47" xr6:coauthVersionMax="47" xr10:uidLastSave="{00000000-0000-0000-0000-000000000000}"/>
  <bookViews>
    <workbookView xWindow="-120" yWindow="-120" windowWidth="24240" windowHeight="13020" xr2:uid="{00000000-000D-0000-FFFF-FFFF00000000}"/>
  </bookViews>
  <sheets>
    <sheet name="Digitar" sheetId="1" r:id="rId1"/>
    <sheet name="BD" sheetId="2" r:id="rId2"/>
    <sheet name="OT" sheetId="3" r:id="rId3"/>
    <sheet name="Familias" sheetId="4" r:id="rId4"/>
    <sheet name="Motivos" sheetId="5" r:id="rId5"/>
    <sheet name="Maestros" sheetId="6" r:id="rId6"/>
    <sheet name="Productos" sheetId="7" r:id="rId7"/>
  </sheets>
  <definedNames>
    <definedName name="_xlnm.Print_Area" localSheetId="0">Digitar!$A$1:$N$56</definedName>
    <definedName name="inAyudante">Digitar!$G$6</definedName>
    <definedName name="inCalidad">Digitar!$D$7</definedName>
    <definedName name="inFecha">Digitar!$C$4</definedName>
    <definedName name="inHoraFin">Digitar!$E$5</definedName>
    <definedName name="inHoraIni">Digitar!$C$5</definedName>
    <definedName name="inHoras">Digitar!$G$5</definedName>
    <definedName name="inMaquina">Digitar!$G$4</definedName>
    <definedName name="inObs">Digitar!$G$7</definedName>
    <definedName name="inOperador">Digitar!$D$6</definedName>
    <definedName name="inTurno">Digitar!$E$4</definedName>
    <definedName name="mermas">Digitar!$F$38:$I$47</definedName>
    <definedName name="otA">Digitar!$H$11:$H$14</definedName>
    <definedName name="otB">Digitar!$I$11:$I$14</definedName>
    <definedName name="otCod">Digitar!$C$11:$C$14</definedName>
    <definedName name="otDesc">Digitar!$E$11:$E$14</definedName>
    <definedName name="otFam">Digitar!$G$11:$G$14</definedName>
    <definedName name="otFcom">Digitar!$F$11:$F$14</definedName>
    <definedName name="otIni">Digitar!$D$11:$D$14</definedName>
    <definedName name="otOT">Digitar!$B$11:$B$14</definedName>
    <definedName name="parCod">Digitar!$D$19:$D$33</definedName>
    <definedName name="parFin">Digitar!$C$19:$C$33</definedName>
    <definedName name="parIni">Digitar!$B$19:$B$33</definedName>
    <definedName name="parMotivo">Digitar!$E$19:$E$33</definedName>
    <definedName name="parObs">Digitar!$I$19:$I$33</definedName>
    <definedName name="parOT">Digitar!$G$19:$G$33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46" i="1" l="1"/>
  <c r="J45" i="1"/>
  <c r="J44" i="1"/>
  <c r="J43" i="1"/>
  <c r="J42" i="1"/>
  <c r="J41" i="1"/>
  <c r="J40" i="1"/>
  <c r="J39" i="1"/>
  <c r="J38" i="1"/>
  <c r="I37" i="1"/>
  <c r="H37" i="1"/>
  <c r="G37" i="1"/>
  <c r="F37" i="1"/>
  <c r="H34" i="1"/>
  <c r="H33" i="1"/>
  <c r="F33" i="1"/>
  <c r="E33" i="1"/>
  <c r="H32" i="1"/>
  <c r="F32" i="1"/>
  <c r="E32" i="1"/>
  <c r="H31" i="1"/>
  <c r="F31" i="1"/>
  <c r="E31" i="1"/>
  <c r="H30" i="1"/>
  <c r="F30" i="1"/>
  <c r="E30" i="1"/>
  <c r="H29" i="1"/>
  <c r="F29" i="1"/>
  <c r="E29" i="1"/>
  <c r="H28" i="1"/>
  <c r="F28" i="1"/>
  <c r="E28" i="1"/>
  <c r="H27" i="1"/>
  <c r="F27" i="1"/>
  <c r="E27" i="1"/>
  <c r="H26" i="1"/>
  <c r="F26" i="1"/>
  <c r="E26" i="1"/>
  <c r="H25" i="1"/>
  <c r="F25" i="1"/>
  <c r="E25" i="1"/>
  <c r="H24" i="1"/>
  <c r="F24" i="1"/>
  <c r="E24" i="1"/>
  <c r="H23" i="1"/>
  <c r="F23" i="1"/>
  <c r="E23" i="1"/>
  <c r="H22" i="1"/>
  <c r="F22" i="1"/>
  <c r="E22" i="1"/>
  <c r="H21" i="1"/>
  <c r="F21" i="1"/>
  <c r="E21" i="1"/>
  <c r="H20" i="1"/>
  <c r="F20" i="1"/>
  <c r="E20" i="1"/>
  <c r="H19" i="1"/>
  <c r="F19" i="1"/>
  <c r="E19" i="1"/>
  <c r="J15" i="1"/>
  <c r="I15" i="1"/>
  <c r="H15" i="1"/>
  <c r="K14" i="1"/>
  <c r="J14" i="1"/>
  <c r="G14" i="1"/>
  <c r="F14" i="1"/>
  <c r="E14" i="1"/>
  <c r="C14" i="1"/>
  <c r="K13" i="1"/>
  <c r="J13" i="1"/>
  <c r="G13" i="1"/>
  <c r="F13" i="1"/>
  <c r="E13" i="1"/>
  <c r="C13" i="1"/>
  <c r="K12" i="1"/>
  <c r="J12" i="1"/>
  <c r="G12" i="1"/>
  <c r="F12" i="1"/>
  <c r="E12" i="1"/>
  <c r="C12" i="1"/>
  <c r="J11" i="1"/>
  <c r="G11" i="1"/>
  <c r="F11" i="1"/>
  <c r="E11" i="1"/>
  <c r="D11" i="1"/>
  <c r="K11" i="1" s="1"/>
  <c r="C11" i="1"/>
  <c r="G5" i="1"/>
  <c r="BY848" i="2"/>
  <c r="BX848" i="2"/>
  <c r="BS848" i="2"/>
  <c r="BR848" i="2"/>
  <c r="BT848" i="2" s="1"/>
  <c r="BQ848" i="2"/>
  <c r="BW848" i="2" s="1"/>
  <c r="BP848" i="2"/>
  <c r="BO848" i="2"/>
  <c r="BN848" i="2"/>
  <c r="BM848" i="2"/>
  <c r="BL848" i="2"/>
  <c r="BK848" i="2"/>
  <c r="BY847" i="2"/>
  <c r="BX847" i="2"/>
  <c r="BS847" i="2"/>
  <c r="BR847" i="2"/>
  <c r="BT847" i="2" s="1"/>
  <c r="BQ847" i="2"/>
  <c r="BU847" i="2" s="1"/>
  <c r="BP847" i="2"/>
  <c r="BO847" i="2"/>
  <c r="BN847" i="2"/>
  <c r="BM847" i="2"/>
  <c r="BL847" i="2"/>
  <c r="BK847" i="2"/>
  <c r="BY846" i="2"/>
  <c r="BX846" i="2"/>
  <c r="BS846" i="2"/>
  <c r="BR846" i="2"/>
  <c r="BT846" i="2" s="1"/>
  <c r="BQ846" i="2"/>
  <c r="BW846" i="2" s="1"/>
  <c r="BP846" i="2"/>
  <c r="BO846" i="2"/>
  <c r="BN846" i="2"/>
  <c r="BM846" i="2"/>
  <c r="BL846" i="2"/>
  <c r="BK846" i="2"/>
  <c r="BY845" i="2"/>
  <c r="BX845" i="2"/>
  <c r="BS845" i="2"/>
  <c r="BR845" i="2"/>
  <c r="BQ845" i="2"/>
  <c r="BP845" i="2"/>
  <c r="BO845" i="2"/>
  <c r="BN845" i="2"/>
  <c r="BM845" i="2"/>
  <c r="BL845" i="2"/>
  <c r="BK845" i="2"/>
  <c r="BY844" i="2"/>
  <c r="BX844" i="2"/>
  <c r="BS844" i="2"/>
  <c r="BR844" i="2"/>
  <c r="BQ844" i="2"/>
  <c r="BW844" i="2" s="1"/>
  <c r="BP844" i="2"/>
  <c r="BO844" i="2"/>
  <c r="BN844" i="2"/>
  <c r="BM844" i="2"/>
  <c r="BL844" i="2"/>
  <c r="BK844" i="2"/>
  <c r="BY843" i="2"/>
  <c r="BX843" i="2"/>
  <c r="BS843" i="2"/>
  <c r="BR843" i="2"/>
  <c r="BQ843" i="2"/>
  <c r="BP843" i="2"/>
  <c r="BO843" i="2"/>
  <c r="BN843" i="2"/>
  <c r="BM843" i="2"/>
  <c r="BL843" i="2"/>
  <c r="BK843" i="2"/>
  <c r="BY842" i="2"/>
  <c r="BX842" i="2"/>
  <c r="BS842" i="2"/>
  <c r="BR842" i="2"/>
  <c r="BT842" i="2" s="1"/>
  <c r="BQ842" i="2"/>
  <c r="BW842" i="2" s="1"/>
  <c r="BP842" i="2"/>
  <c r="BO842" i="2"/>
  <c r="BN842" i="2"/>
  <c r="BM842" i="2"/>
  <c r="BL842" i="2"/>
  <c r="BK842" i="2"/>
  <c r="BY841" i="2"/>
  <c r="BX841" i="2"/>
  <c r="BS841" i="2"/>
  <c r="BR841" i="2"/>
  <c r="BT841" i="2" s="1"/>
  <c r="BQ841" i="2"/>
  <c r="BW841" i="2" s="1"/>
  <c r="BP841" i="2"/>
  <c r="BO841" i="2"/>
  <c r="BN841" i="2"/>
  <c r="BM841" i="2"/>
  <c r="BL841" i="2"/>
  <c r="BK841" i="2"/>
  <c r="K15" i="1" l="1"/>
  <c r="BU848" i="2"/>
  <c r="BT845" i="2"/>
  <c r="CA847" i="2"/>
  <c r="BV847" i="2"/>
  <c r="BZ847" i="2" s="1"/>
  <c r="BW847" i="2"/>
  <c r="BU845" i="2"/>
  <c r="BT844" i="2"/>
  <c r="BV845" i="2"/>
  <c r="BZ845" i="2" s="1"/>
  <c r="CA845" i="2"/>
  <c r="BW845" i="2"/>
  <c r="BU846" i="2"/>
  <c r="BU844" i="2"/>
  <c r="BU843" i="2"/>
  <c r="BT843" i="2"/>
  <c r="CA843" i="2"/>
  <c r="BV843" i="2"/>
  <c r="BZ843" i="2" s="1"/>
  <c r="BW843" i="2"/>
  <c r="BU842" i="2"/>
  <c r="BU841" i="2"/>
  <c r="BY840" i="2"/>
  <c r="BX840" i="2"/>
  <c r="BS840" i="2"/>
  <c r="BR840" i="2"/>
  <c r="BQ840" i="2"/>
  <c r="BW840" i="2" s="1"/>
  <c r="BP840" i="2"/>
  <c r="BO840" i="2"/>
  <c r="BN840" i="2"/>
  <c r="BM840" i="2"/>
  <c r="BL840" i="2"/>
  <c r="BK840" i="2"/>
  <c r="BY839" i="2"/>
  <c r="BX839" i="2"/>
  <c r="BS839" i="2"/>
  <c r="BR839" i="2"/>
  <c r="BQ839" i="2"/>
  <c r="BW839" i="2" s="1"/>
  <c r="BP839" i="2"/>
  <c r="BO839" i="2"/>
  <c r="BN839" i="2"/>
  <c r="BM839" i="2"/>
  <c r="BL839" i="2"/>
  <c r="BK839" i="2"/>
  <c r="BY838" i="2"/>
  <c r="BX838" i="2"/>
  <c r="BS838" i="2"/>
  <c r="BR838" i="2"/>
  <c r="BQ838" i="2"/>
  <c r="BW838" i="2" s="1"/>
  <c r="BP838" i="2"/>
  <c r="BO838" i="2"/>
  <c r="BN838" i="2"/>
  <c r="BM838" i="2"/>
  <c r="BL838" i="2"/>
  <c r="BK838" i="2"/>
  <c r="CA848" i="2" l="1"/>
  <c r="BV848" i="2"/>
  <c r="BZ848" i="2" s="1"/>
  <c r="CA846" i="2"/>
  <c r="BV846" i="2"/>
  <c r="BZ846" i="2" s="1"/>
  <c r="CA844" i="2"/>
  <c r="BV844" i="2"/>
  <c r="BZ844" i="2" s="1"/>
  <c r="BT840" i="2"/>
  <c r="BV842" i="2"/>
  <c r="BZ842" i="2" s="1"/>
  <c r="CA842" i="2"/>
  <c r="BT839" i="2"/>
  <c r="CA841" i="2"/>
  <c r="BV841" i="2"/>
  <c r="BZ841" i="2" s="1"/>
  <c r="BU840" i="2"/>
  <c r="BT838" i="2"/>
  <c r="BU839" i="2"/>
  <c r="BU838" i="2"/>
  <c r="BY837" i="2"/>
  <c r="BX837" i="2"/>
  <c r="BS837" i="2"/>
  <c r="BR837" i="2"/>
  <c r="BQ837" i="2"/>
  <c r="BW837" i="2" s="1"/>
  <c r="BP837" i="2"/>
  <c r="BO837" i="2"/>
  <c r="BN837" i="2"/>
  <c r="BM837" i="2"/>
  <c r="BL837" i="2"/>
  <c r="BK837" i="2"/>
  <c r="BY836" i="2"/>
  <c r="BX836" i="2"/>
  <c r="BS836" i="2"/>
  <c r="BR836" i="2"/>
  <c r="BQ836" i="2"/>
  <c r="BW836" i="2" s="1"/>
  <c r="BP836" i="2"/>
  <c r="BO836" i="2"/>
  <c r="BN836" i="2"/>
  <c r="BM836" i="2"/>
  <c r="BL836" i="2"/>
  <c r="BK836" i="2"/>
  <c r="BY835" i="2"/>
  <c r="BX835" i="2"/>
  <c r="BS835" i="2"/>
  <c r="BR835" i="2"/>
  <c r="BQ835" i="2"/>
  <c r="BW835" i="2" s="1"/>
  <c r="BP835" i="2"/>
  <c r="BO835" i="2"/>
  <c r="BN835" i="2"/>
  <c r="BM835" i="2"/>
  <c r="BL835" i="2"/>
  <c r="BK835" i="2"/>
  <c r="BY834" i="2"/>
  <c r="BX834" i="2"/>
  <c r="BS834" i="2"/>
  <c r="BR834" i="2"/>
  <c r="BQ834" i="2"/>
  <c r="BW834" i="2" s="1"/>
  <c r="BP834" i="2"/>
  <c r="BO834" i="2"/>
  <c r="BN834" i="2"/>
  <c r="BM834" i="2"/>
  <c r="BL834" i="2"/>
  <c r="BK834" i="2"/>
  <c r="BY833" i="2"/>
  <c r="BX833" i="2"/>
  <c r="BS833" i="2"/>
  <c r="BR833" i="2"/>
  <c r="BQ833" i="2"/>
  <c r="BW833" i="2" s="1"/>
  <c r="BP833" i="2"/>
  <c r="BO833" i="2"/>
  <c r="BN833" i="2"/>
  <c r="BM833" i="2"/>
  <c r="BL833" i="2"/>
  <c r="BK833" i="2"/>
  <c r="BY832" i="2"/>
  <c r="BX832" i="2"/>
  <c r="BS832" i="2"/>
  <c r="BR832" i="2"/>
  <c r="BQ832" i="2"/>
  <c r="BW832" i="2" s="1"/>
  <c r="BP832" i="2"/>
  <c r="BO832" i="2"/>
  <c r="BN832" i="2"/>
  <c r="BM832" i="2"/>
  <c r="BL832" i="2"/>
  <c r="BK832" i="2"/>
  <c r="BY831" i="2"/>
  <c r="BX831" i="2"/>
  <c r="BS831" i="2"/>
  <c r="BR831" i="2"/>
  <c r="BQ831" i="2"/>
  <c r="BW831" i="2" s="1"/>
  <c r="BP831" i="2"/>
  <c r="BO831" i="2"/>
  <c r="BN831" i="2"/>
  <c r="BM831" i="2"/>
  <c r="BL831" i="2"/>
  <c r="BK831" i="2"/>
  <c r="BY830" i="2"/>
  <c r="BX830" i="2"/>
  <c r="BS830" i="2"/>
  <c r="BR830" i="2"/>
  <c r="BQ830" i="2"/>
  <c r="BW830" i="2" s="1"/>
  <c r="BP830" i="2"/>
  <c r="BO830" i="2"/>
  <c r="BN830" i="2"/>
  <c r="BM830" i="2"/>
  <c r="BL830" i="2"/>
  <c r="BK830" i="2"/>
  <c r="BY829" i="2"/>
  <c r="BX829" i="2"/>
  <c r="BS829" i="2"/>
  <c r="BR829" i="2"/>
  <c r="BQ829" i="2"/>
  <c r="BW829" i="2" s="1"/>
  <c r="BP829" i="2"/>
  <c r="BO829" i="2"/>
  <c r="BN829" i="2"/>
  <c r="BM829" i="2"/>
  <c r="BL829" i="2"/>
  <c r="BK829" i="2"/>
  <c r="BY828" i="2"/>
  <c r="BX828" i="2"/>
  <c r="BS828" i="2"/>
  <c r="BR828" i="2"/>
  <c r="BQ828" i="2"/>
  <c r="BW828" i="2" s="1"/>
  <c r="BP828" i="2"/>
  <c r="BO828" i="2"/>
  <c r="BN828" i="2"/>
  <c r="BM828" i="2"/>
  <c r="BL828" i="2"/>
  <c r="BK828" i="2"/>
  <c r="J551" i="7"/>
  <c r="J550" i="7"/>
  <c r="J549" i="7"/>
  <c r="J548" i="7"/>
  <c r="J547" i="7"/>
  <c r="J546" i="7"/>
  <c r="J545" i="7"/>
  <c r="J544" i="7"/>
  <c r="J543" i="7"/>
  <c r="J542" i="7"/>
  <c r="J541" i="7"/>
  <c r="J540" i="7"/>
  <c r="J539" i="7"/>
  <c r="J538" i="7"/>
  <c r="J537" i="7"/>
  <c r="J536" i="7"/>
  <c r="J535" i="7"/>
  <c r="J534" i="7"/>
  <c r="J533" i="7"/>
  <c r="J532" i="7"/>
  <c r="J531" i="7"/>
  <c r="J530" i="7"/>
  <c r="J529" i="7"/>
  <c r="J528" i="7"/>
  <c r="J527" i="7"/>
  <c r="J526" i="7"/>
  <c r="J525" i="7"/>
  <c r="J524" i="7"/>
  <c r="J523" i="7"/>
  <c r="J522" i="7"/>
  <c r="J521" i="7"/>
  <c r="J520" i="7"/>
  <c r="J519" i="7"/>
  <c r="J518" i="7"/>
  <c r="J517" i="7"/>
  <c r="J516" i="7"/>
  <c r="J515" i="7"/>
  <c r="J514" i="7"/>
  <c r="J513" i="7"/>
  <c r="J512" i="7"/>
  <c r="J511" i="7"/>
  <c r="J510" i="7"/>
  <c r="J509" i="7"/>
  <c r="J508" i="7"/>
  <c r="J507" i="7"/>
  <c r="J506" i="7"/>
  <c r="J505" i="7"/>
  <c r="J504" i="7"/>
  <c r="J503" i="7"/>
  <c r="J502" i="7"/>
  <c r="J501" i="7"/>
  <c r="J500" i="7"/>
  <c r="J499" i="7"/>
  <c r="J498" i="7"/>
  <c r="J497" i="7"/>
  <c r="J496" i="7"/>
  <c r="J495" i="7"/>
  <c r="J494" i="7"/>
  <c r="J493" i="7"/>
  <c r="J492" i="7"/>
  <c r="J491" i="7"/>
  <c r="J490" i="7"/>
  <c r="J489" i="7"/>
  <c r="J488" i="7"/>
  <c r="J487" i="7"/>
  <c r="J486" i="7"/>
  <c r="J485" i="7"/>
  <c r="J484" i="7"/>
  <c r="J483" i="7"/>
  <c r="J482" i="7"/>
  <c r="J481" i="7"/>
  <c r="J480" i="7"/>
  <c r="J479" i="7"/>
  <c r="J478" i="7"/>
  <c r="J477" i="7"/>
  <c r="J476" i="7"/>
  <c r="J475" i="7"/>
  <c r="J474" i="7"/>
  <c r="J473" i="7"/>
  <c r="J472" i="7"/>
  <c r="J471" i="7"/>
  <c r="J470" i="7"/>
  <c r="J469" i="7"/>
  <c r="J468" i="7"/>
  <c r="J467" i="7"/>
  <c r="J466" i="7"/>
  <c r="J465" i="7"/>
  <c r="J464" i="7"/>
  <c r="J463" i="7"/>
  <c r="J462" i="7"/>
  <c r="J461" i="7"/>
  <c r="J460" i="7"/>
  <c r="J459" i="7"/>
  <c r="J458" i="7"/>
  <c r="J457" i="7"/>
  <c r="J456" i="7"/>
  <c r="J455" i="7"/>
  <c r="J454" i="7"/>
  <c r="J453" i="7"/>
  <c r="J452" i="7"/>
  <c r="J451" i="7"/>
  <c r="J450" i="7"/>
  <c r="J449" i="7"/>
  <c r="J448" i="7"/>
  <c r="J447" i="7"/>
  <c r="J446" i="7"/>
  <c r="J445" i="7"/>
  <c r="J444" i="7"/>
  <c r="J443" i="7"/>
  <c r="J442" i="7"/>
  <c r="J441" i="7"/>
  <c r="J440" i="7"/>
  <c r="J439" i="7"/>
  <c r="J438" i="7"/>
  <c r="J437" i="7"/>
  <c r="J436" i="7"/>
  <c r="J435" i="7"/>
  <c r="J434" i="7"/>
  <c r="J433" i="7"/>
  <c r="J432" i="7"/>
  <c r="J431" i="7"/>
  <c r="J430" i="7"/>
  <c r="J429" i="7"/>
  <c r="J428" i="7"/>
  <c r="J427" i="7"/>
  <c r="J426" i="7"/>
  <c r="J425" i="7"/>
  <c r="J424" i="7"/>
  <c r="J423" i="7"/>
  <c r="J422" i="7"/>
  <c r="J421" i="7"/>
  <c r="J420" i="7"/>
  <c r="J419" i="7"/>
  <c r="J418" i="7"/>
  <c r="J417" i="7"/>
  <c r="J416" i="7"/>
  <c r="J415" i="7"/>
  <c r="J414" i="7"/>
  <c r="J413" i="7"/>
  <c r="J412" i="7"/>
  <c r="J411" i="7"/>
  <c r="J410" i="7"/>
  <c r="J409" i="7"/>
  <c r="J408" i="7"/>
  <c r="J407" i="7"/>
  <c r="J406" i="7"/>
  <c r="J405" i="7"/>
  <c r="J404" i="7"/>
  <c r="J403" i="7"/>
  <c r="J402" i="7"/>
  <c r="J401" i="7"/>
  <c r="J400" i="7"/>
  <c r="J399" i="7"/>
  <c r="J398" i="7"/>
  <c r="J397" i="7"/>
  <c r="J396" i="7"/>
  <c r="J395" i="7"/>
  <c r="J394" i="7"/>
  <c r="J393" i="7"/>
  <c r="J392" i="7"/>
  <c r="J391" i="7"/>
  <c r="J390" i="7"/>
  <c r="J389" i="7"/>
  <c r="J388" i="7"/>
  <c r="J387" i="7"/>
  <c r="J386" i="7"/>
  <c r="J385" i="7"/>
  <c r="J384" i="7"/>
  <c r="J383" i="7"/>
  <c r="J382" i="7"/>
  <c r="J381" i="7"/>
  <c r="J380" i="7"/>
  <c r="J379" i="7"/>
  <c r="J378" i="7"/>
  <c r="J377" i="7"/>
  <c r="J376" i="7"/>
  <c r="J375" i="7"/>
  <c r="J374" i="7"/>
  <c r="J373" i="7"/>
  <c r="J372" i="7"/>
  <c r="J371" i="7"/>
  <c r="J370" i="7"/>
  <c r="J369" i="7"/>
  <c r="J368" i="7"/>
  <c r="J367" i="7"/>
  <c r="J366" i="7"/>
  <c r="J365" i="7"/>
  <c r="J364" i="7"/>
  <c r="J363" i="7"/>
  <c r="J362" i="7"/>
  <c r="J361" i="7"/>
  <c r="J360" i="7"/>
  <c r="J359" i="7"/>
  <c r="J358" i="7"/>
  <c r="J357" i="7"/>
  <c r="J356" i="7"/>
  <c r="J355" i="7"/>
  <c r="J354" i="7"/>
  <c r="J353" i="7"/>
  <c r="J352" i="7"/>
  <c r="J351" i="7"/>
  <c r="J350" i="7"/>
  <c r="J349" i="7"/>
  <c r="J348" i="7"/>
  <c r="J347" i="7"/>
  <c r="J346" i="7"/>
  <c r="J345" i="7"/>
  <c r="J344" i="7"/>
  <c r="J343" i="7"/>
  <c r="J342" i="7"/>
  <c r="J341" i="7"/>
  <c r="J340" i="7"/>
  <c r="J339" i="7"/>
  <c r="J338" i="7"/>
  <c r="J337" i="7"/>
  <c r="J336" i="7"/>
  <c r="J335" i="7"/>
  <c r="J334" i="7"/>
  <c r="J333" i="7"/>
  <c r="J332" i="7"/>
  <c r="J331" i="7"/>
  <c r="J330" i="7"/>
  <c r="J329" i="7"/>
  <c r="J328" i="7"/>
  <c r="J327" i="7"/>
  <c r="J326" i="7"/>
  <c r="J325" i="7"/>
  <c r="J324" i="7"/>
  <c r="J323" i="7"/>
  <c r="J322" i="7"/>
  <c r="J321" i="7"/>
  <c r="J320" i="7"/>
  <c r="J319" i="7"/>
  <c r="J318" i="7"/>
  <c r="J317" i="7"/>
  <c r="J316" i="7"/>
  <c r="J315" i="7"/>
  <c r="J314" i="7"/>
  <c r="J313" i="7"/>
  <c r="J312" i="7"/>
  <c r="J311" i="7"/>
  <c r="J310" i="7"/>
  <c r="J309" i="7"/>
  <c r="J308" i="7"/>
  <c r="J307" i="7"/>
  <c r="J306" i="7"/>
  <c r="J305" i="7"/>
  <c r="J304" i="7"/>
  <c r="J303" i="7"/>
  <c r="J302" i="7"/>
  <c r="J301" i="7"/>
  <c r="J300" i="7"/>
  <c r="J299" i="7"/>
  <c r="J298" i="7"/>
  <c r="J297" i="7"/>
  <c r="J296" i="7"/>
  <c r="J295" i="7"/>
  <c r="J294" i="7"/>
  <c r="J293" i="7"/>
  <c r="J292" i="7"/>
  <c r="J291" i="7"/>
  <c r="J290" i="7"/>
  <c r="J289" i="7"/>
  <c r="J288" i="7"/>
  <c r="J287" i="7"/>
  <c r="J286" i="7"/>
  <c r="J285" i="7"/>
  <c r="J284" i="7"/>
  <c r="J283" i="7"/>
  <c r="J282" i="7"/>
  <c r="J281" i="7"/>
  <c r="J280" i="7"/>
  <c r="J279" i="7"/>
  <c r="J278" i="7"/>
  <c r="J277" i="7"/>
  <c r="J276" i="7"/>
  <c r="J275" i="7"/>
  <c r="J274" i="7"/>
  <c r="J273" i="7"/>
  <c r="J272" i="7"/>
  <c r="J271" i="7"/>
  <c r="J270" i="7"/>
  <c r="J269" i="7"/>
  <c r="J268" i="7"/>
  <c r="J267" i="7"/>
  <c r="J266" i="7"/>
  <c r="J265" i="7"/>
  <c r="J264" i="7"/>
  <c r="J263" i="7"/>
  <c r="J262" i="7"/>
  <c r="J261" i="7"/>
  <c r="J260" i="7"/>
  <c r="J259" i="7"/>
  <c r="J258" i="7"/>
  <c r="J257" i="7"/>
  <c r="J256" i="7"/>
  <c r="J255" i="7"/>
  <c r="J254" i="7"/>
  <c r="J253" i="7"/>
  <c r="J252" i="7"/>
  <c r="J251" i="7"/>
  <c r="J250" i="7"/>
  <c r="J249" i="7"/>
  <c r="J248" i="7"/>
  <c r="J247" i="7"/>
  <c r="J246" i="7"/>
  <c r="J245" i="7"/>
  <c r="J244" i="7"/>
  <c r="J243" i="7"/>
  <c r="J242" i="7"/>
  <c r="J241" i="7"/>
  <c r="J240" i="7"/>
  <c r="J239" i="7"/>
  <c r="J238" i="7"/>
  <c r="J237" i="7"/>
  <c r="J236" i="7"/>
  <c r="J235" i="7"/>
  <c r="J234" i="7"/>
  <c r="J233" i="7"/>
  <c r="J232" i="7"/>
  <c r="J231" i="7"/>
  <c r="J230" i="7"/>
  <c r="J229" i="7"/>
  <c r="J228" i="7"/>
  <c r="J227" i="7"/>
  <c r="J226" i="7"/>
  <c r="J225" i="7"/>
  <c r="J224" i="7"/>
  <c r="J223" i="7"/>
  <c r="J222" i="7"/>
  <c r="J221" i="7"/>
  <c r="J220" i="7"/>
  <c r="J219" i="7"/>
  <c r="J218" i="7"/>
  <c r="J217" i="7"/>
  <c r="J216" i="7"/>
  <c r="J215" i="7"/>
  <c r="J214" i="7"/>
  <c r="J213" i="7"/>
  <c r="J212" i="7"/>
  <c r="J211" i="7"/>
  <c r="J210" i="7"/>
  <c r="J209" i="7"/>
  <c r="J208" i="7"/>
  <c r="J207" i="7"/>
  <c r="J206" i="7"/>
  <c r="J205" i="7"/>
  <c r="J204" i="7"/>
  <c r="J203" i="7"/>
  <c r="J202" i="7"/>
  <c r="J201" i="7"/>
  <c r="J200" i="7"/>
  <c r="J199" i="7"/>
  <c r="J198" i="7"/>
  <c r="J197" i="7"/>
  <c r="J196" i="7"/>
  <c r="J195" i="7"/>
  <c r="J194" i="7"/>
  <c r="J193" i="7"/>
  <c r="J192" i="7"/>
  <c r="J191" i="7"/>
  <c r="J190" i="7"/>
  <c r="J189" i="7"/>
  <c r="J188" i="7"/>
  <c r="J187" i="7"/>
  <c r="J186" i="7"/>
  <c r="J185" i="7"/>
  <c r="J184" i="7"/>
  <c r="J183" i="7"/>
  <c r="J182" i="7"/>
  <c r="J181" i="7"/>
  <c r="J180" i="7"/>
  <c r="J179" i="7"/>
  <c r="J178" i="7"/>
  <c r="J177" i="7"/>
  <c r="J176" i="7"/>
  <c r="J175" i="7"/>
  <c r="J174" i="7"/>
  <c r="J173" i="7"/>
  <c r="J172" i="7"/>
  <c r="J171" i="7"/>
  <c r="J170" i="7"/>
  <c r="J169" i="7"/>
  <c r="J168" i="7"/>
  <c r="J167" i="7"/>
  <c r="J166" i="7"/>
  <c r="J165" i="7"/>
  <c r="J164" i="7"/>
  <c r="J163" i="7"/>
  <c r="J162" i="7"/>
  <c r="J161" i="7"/>
  <c r="J160" i="7"/>
  <c r="J159" i="7"/>
  <c r="J158" i="7"/>
  <c r="J157" i="7"/>
  <c r="J156" i="7"/>
  <c r="J155" i="7"/>
  <c r="J154" i="7"/>
  <c r="J153" i="7"/>
  <c r="J152" i="7"/>
  <c r="J151" i="7"/>
  <c r="J150" i="7"/>
  <c r="J149" i="7"/>
  <c r="J148" i="7"/>
  <c r="J147" i="7"/>
  <c r="J146" i="7"/>
  <c r="J145" i="7"/>
  <c r="J144" i="7"/>
  <c r="J143" i="7"/>
  <c r="J142" i="7"/>
  <c r="J141" i="7"/>
  <c r="J140" i="7"/>
  <c r="J139" i="7"/>
  <c r="J138" i="7"/>
  <c r="J137" i="7"/>
  <c r="J136" i="7"/>
  <c r="J135" i="7"/>
  <c r="J134" i="7"/>
  <c r="J133" i="7"/>
  <c r="J132" i="7"/>
  <c r="J131" i="7"/>
  <c r="J130" i="7"/>
  <c r="J129" i="7"/>
  <c r="J128" i="7"/>
  <c r="J127" i="7"/>
  <c r="J126" i="7"/>
  <c r="J125" i="7"/>
  <c r="J124" i="7"/>
  <c r="J123" i="7"/>
  <c r="J122" i="7"/>
  <c r="J121" i="7"/>
  <c r="J120" i="7"/>
  <c r="J119" i="7"/>
  <c r="J118" i="7"/>
  <c r="J117" i="7"/>
  <c r="J116" i="7"/>
  <c r="J115" i="7"/>
  <c r="J114" i="7"/>
  <c r="J113" i="7"/>
  <c r="J112" i="7"/>
  <c r="J111" i="7"/>
  <c r="J110" i="7"/>
  <c r="J109" i="7"/>
  <c r="J108" i="7"/>
  <c r="J107" i="7"/>
  <c r="J106" i="7"/>
  <c r="J105" i="7"/>
  <c r="J104" i="7"/>
  <c r="J103" i="7"/>
  <c r="J102" i="7"/>
  <c r="J101" i="7"/>
  <c r="J100" i="7"/>
  <c r="J99" i="7"/>
  <c r="J98" i="7"/>
  <c r="J97" i="7"/>
  <c r="J96" i="7"/>
  <c r="J95" i="7"/>
  <c r="J94" i="7"/>
  <c r="J93" i="7"/>
  <c r="J92" i="7"/>
  <c r="J91" i="7"/>
  <c r="J90" i="7"/>
  <c r="J89" i="7"/>
  <c r="J88" i="7"/>
  <c r="J87" i="7"/>
  <c r="J86" i="7"/>
  <c r="J85" i="7"/>
  <c r="J84" i="7"/>
  <c r="J83" i="7"/>
  <c r="J82" i="7"/>
  <c r="J81" i="7"/>
  <c r="J80" i="7"/>
  <c r="J79" i="7"/>
  <c r="J78" i="7"/>
  <c r="J77" i="7"/>
  <c r="J76" i="7"/>
  <c r="J75" i="7"/>
  <c r="J74" i="7"/>
  <c r="J73" i="7"/>
  <c r="J72" i="7"/>
  <c r="J71" i="7"/>
  <c r="J70" i="7"/>
  <c r="J69" i="7"/>
  <c r="J68" i="7"/>
  <c r="J67" i="7"/>
  <c r="J66" i="7"/>
  <c r="J65" i="7"/>
  <c r="J64" i="7"/>
  <c r="J63" i="7"/>
  <c r="J62" i="7"/>
  <c r="J61" i="7"/>
  <c r="J60" i="7"/>
  <c r="J59" i="7"/>
  <c r="J58" i="7"/>
  <c r="J57" i="7"/>
  <c r="J56" i="7"/>
  <c r="J55" i="7"/>
  <c r="J54" i="7"/>
  <c r="J53" i="7"/>
  <c r="J52" i="7"/>
  <c r="J51" i="7"/>
  <c r="J50" i="7"/>
  <c r="J49" i="7"/>
  <c r="J48" i="7"/>
  <c r="J47" i="7"/>
  <c r="J46" i="7"/>
  <c r="J45" i="7"/>
  <c r="J44" i="7"/>
  <c r="J43" i="7"/>
  <c r="J42" i="7"/>
  <c r="J41" i="7"/>
  <c r="J40" i="7"/>
  <c r="J39" i="7"/>
  <c r="J38" i="7"/>
  <c r="J37" i="7"/>
  <c r="J36" i="7"/>
  <c r="J35" i="7"/>
  <c r="J34" i="7"/>
  <c r="J33" i="7"/>
  <c r="J32" i="7"/>
  <c r="J31" i="7"/>
  <c r="J30" i="7"/>
  <c r="J29" i="7"/>
  <c r="J28" i="7"/>
  <c r="J27" i="7"/>
  <c r="J26" i="7"/>
  <c r="J25" i="7"/>
  <c r="J24" i="7"/>
  <c r="J23" i="7"/>
  <c r="J22" i="7"/>
  <c r="J21" i="7"/>
  <c r="J20" i="7"/>
  <c r="J19" i="7"/>
  <c r="J18" i="7"/>
  <c r="J17" i="7"/>
  <c r="J16" i="7"/>
  <c r="J15" i="7"/>
  <c r="J14" i="7"/>
  <c r="J13" i="7"/>
  <c r="J12" i="7"/>
  <c r="J11" i="7"/>
  <c r="J10" i="7"/>
  <c r="J9" i="7"/>
  <c r="J8" i="7"/>
  <c r="J7" i="7"/>
  <c r="J6" i="7"/>
  <c r="J5" i="7"/>
  <c r="J4" i="7"/>
  <c r="J3" i="7"/>
  <c r="J2" i="7"/>
  <c r="E37" i="5"/>
  <c r="E36" i="5"/>
  <c r="E35" i="5"/>
  <c r="E34" i="5"/>
  <c r="E33" i="5"/>
  <c r="E32" i="5"/>
  <c r="E31" i="5"/>
  <c r="E30" i="5"/>
  <c r="E29" i="5"/>
  <c r="E28" i="5"/>
  <c r="E27" i="5"/>
  <c r="E26" i="5"/>
  <c r="E25" i="5"/>
  <c r="E24" i="5"/>
  <c r="E23" i="5"/>
  <c r="E22" i="5"/>
  <c r="E21" i="5"/>
  <c r="E20" i="5"/>
  <c r="E19" i="5"/>
  <c r="E18" i="5"/>
  <c r="E17" i="5"/>
  <c r="E16" i="5"/>
  <c r="E15" i="5"/>
  <c r="E14" i="5"/>
  <c r="E13" i="5"/>
  <c r="E12" i="5"/>
  <c r="E11" i="5"/>
  <c r="E10" i="5"/>
  <c r="E9" i="5"/>
  <c r="E8" i="5"/>
  <c r="E7" i="5"/>
  <c r="E6" i="5"/>
  <c r="E5" i="5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G5" i="4"/>
  <c r="BY817" i="2"/>
  <c r="BX817" i="2"/>
  <c r="BS817" i="2"/>
  <c r="BR817" i="2"/>
  <c r="BQ817" i="2"/>
  <c r="BW817" i="2" s="1"/>
  <c r="BP817" i="2"/>
  <c r="BO817" i="2"/>
  <c r="BZ817" i="2" s="1"/>
  <c r="BN817" i="2"/>
  <c r="BM817" i="2"/>
  <c r="BL817" i="2"/>
  <c r="BK817" i="2"/>
  <c r="BY816" i="2"/>
  <c r="BX816" i="2"/>
  <c r="BS816" i="2"/>
  <c r="BR816" i="2"/>
  <c r="BQ816" i="2"/>
  <c r="BW816" i="2" s="1"/>
  <c r="BP816" i="2"/>
  <c r="BO816" i="2"/>
  <c r="BZ816" i="2" s="1"/>
  <c r="BN816" i="2"/>
  <c r="BM816" i="2"/>
  <c r="BL816" i="2"/>
  <c r="BK816" i="2"/>
  <c r="BY815" i="2"/>
  <c r="BX815" i="2"/>
  <c r="BS815" i="2"/>
  <c r="BR815" i="2"/>
  <c r="BQ815" i="2"/>
  <c r="BP815" i="2"/>
  <c r="BO815" i="2"/>
  <c r="BZ815" i="2" s="1"/>
  <c r="BN815" i="2"/>
  <c r="BM815" i="2"/>
  <c r="BL815" i="2"/>
  <c r="BK815" i="2"/>
  <c r="BY814" i="2"/>
  <c r="BX814" i="2"/>
  <c r="BS814" i="2"/>
  <c r="BR814" i="2"/>
  <c r="BQ814" i="2"/>
  <c r="BP814" i="2"/>
  <c r="BO814" i="2"/>
  <c r="BZ814" i="2" s="1"/>
  <c r="BN814" i="2"/>
  <c r="BM814" i="2"/>
  <c r="BL814" i="2"/>
  <c r="BK814" i="2"/>
  <c r="BY813" i="2"/>
  <c r="BX813" i="2"/>
  <c r="BS813" i="2"/>
  <c r="BR813" i="2"/>
  <c r="BQ813" i="2"/>
  <c r="BW813" i="2" s="1"/>
  <c r="BP813" i="2"/>
  <c r="BO813" i="2"/>
  <c r="BZ813" i="2" s="1"/>
  <c r="BN813" i="2"/>
  <c r="BM813" i="2"/>
  <c r="BL813" i="2"/>
  <c r="BK813" i="2"/>
  <c r="BY812" i="2"/>
  <c r="BX812" i="2"/>
  <c r="BS812" i="2"/>
  <c r="BR812" i="2"/>
  <c r="BQ812" i="2"/>
  <c r="BP812" i="2"/>
  <c r="BO812" i="2"/>
  <c r="BZ812" i="2" s="1"/>
  <c r="BN812" i="2"/>
  <c r="BM812" i="2"/>
  <c r="BL812" i="2"/>
  <c r="BK812" i="2"/>
  <c r="BY811" i="2"/>
  <c r="BX811" i="2"/>
  <c r="BS811" i="2"/>
  <c r="BR811" i="2"/>
  <c r="BQ811" i="2"/>
  <c r="BW811" i="2" s="1"/>
  <c r="BP811" i="2"/>
  <c r="BO811" i="2"/>
  <c r="BZ811" i="2" s="1"/>
  <c r="BN811" i="2"/>
  <c r="BM811" i="2"/>
  <c r="BL811" i="2"/>
  <c r="BK811" i="2"/>
  <c r="BY810" i="2"/>
  <c r="BX810" i="2"/>
  <c r="BS810" i="2"/>
  <c r="BR810" i="2"/>
  <c r="BQ810" i="2"/>
  <c r="BP810" i="2"/>
  <c r="BO810" i="2"/>
  <c r="BZ810" i="2" s="1"/>
  <c r="BN810" i="2"/>
  <c r="BM810" i="2"/>
  <c r="BL810" i="2"/>
  <c r="BK810" i="2"/>
  <c r="BY809" i="2"/>
  <c r="BX809" i="2"/>
  <c r="BS809" i="2"/>
  <c r="BR809" i="2"/>
  <c r="BQ809" i="2"/>
  <c r="BW809" i="2" s="1"/>
  <c r="BP809" i="2"/>
  <c r="BO809" i="2"/>
  <c r="BZ809" i="2" s="1"/>
  <c r="BN809" i="2"/>
  <c r="BM809" i="2"/>
  <c r="BL809" i="2"/>
  <c r="BK809" i="2"/>
  <c r="BY808" i="2"/>
  <c r="BX808" i="2"/>
  <c r="BS808" i="2"/>
  <c r="BR808" i="2"/>
  <c r="BQ808" i="2"/>
  <c r="BW808" i="2" s="1"/>
  <c r="BP808" i="2"/>
  <c r="BO808" i="2"/>
  <c r="BZ808" i="2" s="1"/>
  <c r="BN808" i="2"/>
  <c r="BM808" i="2"/>
  <c r="BL808" i="2"/>
  <c r="BK808" i="2"/>
  <c r="BY807" i="2"/>
  <c r="BX807" i="2"/>
  <c r="BS807" i="2"/>
  <c r="BR807" i="2"/>
  <c r="BQ807" i="2"/>
  <c r="BP807" i="2"/>
  <c r="BO807" i="2"/>
  <c r="BZ807" i="2" s="1"/>
  <c r="BN807" i="2"/>
  <c r="BM807" i="2"/>
  <c r="BL807" i="2"/>
  <c r="BK807" i="2"/>
  <c r="BY806" i="2"/>
  <c r="BX806" i="2"/>
  <c r="BS806" i="2"/>
  <c r="BR806" i="2"/>
  <c r="BQ806" i="2"/>
  <c r="BP806" i="2"/>
  <c r="BO806" i="2"/>
  <c r="BZ806" i="2" s="1"/>
  <c r="BN806" i="2"/>
  <c r="BM806" i="2"/>
  <c r="BL806" i="2"/>
  <c r="BK806" i="2"/>
  <c r="BY805" i="2"/>
  <c r="BX805" i="2"/>
  <c r="BS805" i="2"/>
  <c r="BR805" i="2"/>
  <c r="BQ805" i="2"/>
  <c r="BP805" i="2"/>
  <c r="BO805" i="2"/>
  <c r="BZ805" i="2" s="1"/>
  <c r="BN805" i="2"/>
  <c r="BM805" i="2"/>
  <c r="BL805" i="2"/>
  <c r="BK805" i="2"/>
  <c r="BY804" i="2"/>
  <c r="BX804" i="2"/>
  <c r="BS804" i="2"/>
  <c r="BR804" i="2"/>
  <c r="BQ804" i="2"/>
  <c r="BW804" i="2" s="1"/>
  <c r="BP804" i="2"/>
  <c r="BO804" i="2"/>
  <c r="BZ804" i="2" s="1"/>
  <c r="BN804" i="2"/>
  <c r="BM804" i="2"/>
  <c r="BL804" i="2"/>
  <c r="BK804" i="2"/>
  <c r="BY803" i="2"/>
  <c r="BX803" i="2"/>
  <c r="BS803" i="2"/>
  <c r="BR803" i="2"/>
  <c r="BQ803" i="2"/>
  <c r="BW803" i="2" s="1"/>
  <c r="BP803" i="2"/>
  <c r="BO803" i="2"/>
  <c r="BZ803" i="2" s="1"/>
  <c r="BN803" i="2"/>
  <c r="BM803" i="2"/>
  <c r="BL803" i="2"/>
  <c r="BK803" i="2"/>
  <c r="BY802" i="2"/>
  <c r="BX802" i="2"/>
  <c r="BS802" i="2"/>
  <c r="BR802" i="2"/>
  <c r="BQ802" i="2"/>
  <c r="BW802" i="2" s="1"/>
  <c r="BP802" i="2"/>
  <c r="BO802" i="2"/>
  <c r="BZ802" i="2" s="1"/>
  <c r="BN802" i="2"/>
  <c r="BM802" i="2"/>
  <c r="BL802" i="2"/>
  <c r="BK802" i="2"/>
  <c r="BY801" i="2"/>
  <c r="BX801" i="2"/>
  <c r="BS801" i="2"/>
  <c r="BR801" i="2"/>
  <c r="BQ801" i="2"/>
  <c r="BW801" i="2" s="1"/>
  <c r="BP801" i="2"/>
  <c r="BO801" i="2"/>
  <c r="BZ801" i="2" s="1"/>
  <c r="BN801" i="2"/>
  <c r="BM801" i="2"/>
  <c r="BL801" i="2"/>
  <c r="BK801" i="2"/>
  <c r="BY800" i="2"/>
  <c r="BX800" i="2"/>
  <c r="BS800" i="2"/>
  <c r="BR800" i="2"/>
  <c r="BQ800" i="2"/>
  <c r="BW800" i="2" s="1"/>
  <c r="BP800" i="2"/>
  <c r="BO800" i="2"/>
  <c r="BZ800" i="2" s="1"/>
  <c r="BN800" i="2"/>
  <c r="BM800" i="2"/>
  <c r="BL800" i="2"/>
  <c r="BK800" i="2"/>
  <c r="BY799" i="2"/>
  <c r="BX799" i="2"/>
  <c r="BS799" i="2"/>
  <c r="BR799" i="2"/>
  <c r="BQ799" i="2"/>
  <c r="BW799" i="2" s="1"/>
  <c r="BP799" i="2"/>
  <c r="BO799" i="2"/>
  <c r="BZ799" i="2" s="1"/>
  <c r="BN799" i="2"/>
  <c r="BM799" i="2"/>
  <c r="BL799" i="2"/>
  <c r="BK799" i="2"/>
  <c r="BY798" i="2"/>
  <c r="BX798" i="2"/>
  <c r="BS798" i="2"/>
  <c r="BR798" i="2"/>
  <c r="BQ798" i="2"/>
  <c r="BW798" i="2" s="1"/>
  <c r="BP798" i="2"/>
  <c r="BO798" i="2"/>
  <c r="BZ798" i="2" s="1"/>
  <c r="BN798" i="2"/>
  <c r="BM798" i="2"/>
  <c r="BL798" i="2"/>
  <c r="BK798" i="2"/>
  <c r="BY797" i="2"/>
  <c r="BX797" i="2"/>
  <c r="BS797" i="2"/>
  <c r="BR797" i="2"/>
  <c r="BQ797" i="2"/>
  <c r="BW797" i="2" s="1"/>
  <c r="BP797" i="2"/>
  <c r="BO797" i="2"/>
  <c r="BZ797" i="2" s="1"/>
  <c r="BN797" i="2"/>
  <c r="BM797" i="2"/>
  <c r="BL797" i="2"/>
  <c r="BK797" i="2"/>
  <c r="BY796" i="2"/>
  <c r="BX796" i="2"/>
  <c r="BS796" i="2"/>
  <c r="BR796" i="2"/>
  <c r="BQ796" i="2"/>
  <c r="BP796" i="2"/>
  <c r="BO796" i="2"/>
  <c r="BZ796" i="2" s="1"/>
  <c r="BN796" i="2"/>
  <c r="BM796" i="2"/>
  <c r="BL796" i="2"/>
  <c r="BK796" i="2"/>
  <c r="BY795" i="2"/>
  <c r="BX795" i="2"/>
  <c r="BS795" i="2"/>
  <c r="BR795" i="2"/>
  <c r="BQ795" i="2"/>
  <c r="BP795" i="2"/>
  <c r="BO795" i="2"/>
  <c r="BZ795" i="2" s="1"/>
  <c r="BN795" i="2"/>
  <c r="BM795" i="2"/>
  <c r="BL795" i="2"/>
  <c r="BK795" i="2"/>
  <c r="BY794" i="2"/>
  <c r="BX794" i="2"/>
  <c r="BS794" i="2"/>
  <c r="BR794" i="2"/>
  <c r="BQ794" i="2"/>
  <c r="BP794" i="2"/>
  <c r="BO794" i="2"/>
  <c r="BZ794" i="2" s="1"/>
  <c r="BN794" i="2"/>
  <c r="BM794" i="2"/>
  <c r="BL794" i="2"/>
  <c r="BK794" i="2"/>
  <c r="BY793" i="2"/>
  <c r="BX793" i="2"/>
  <c r="BS793" i="2"/>
  <c r="BR793" i="2"/>
  <c r="BQ793" i="2"/>
  <c r="BP793" i="2"/>
  <c r="BO793" i="2"/>
  <c r="BN793" i="2"/>
  <c r="BM793" i="2"/>
  <c r="BL793" i="2"/>
  <c r="BK793" i="2"/>
  <c r="BY792" i="2"/>
  <c r="BX792" i="2"/>
  <c r="BS792" i="2"/>
  <c r="BR792" i="2"/>
  <c r="BQ792" i="2"/>
  <c r="BW792" i="2" s="1"/>
  <c r="BP792" i="2"/>
  <c r="BO792" i="2"/>
  <c r="BN792" i="2"/>
  <c r="BM792" i="2"/>
  <c r="BL792" i="2"/>
  <c r="BK792" i="2"/>
  <c r="BY791" i="2"/>
  <c r="BX791" i="2"/>
  <c r="BS791" i="2"/>
  <c r="BR791" i="2"/>
  <c r="BQ791" i="2"/>
  <c r="BW791" i="2" s="1"/>
  <c r="BP791" i="2"/>
  <c r="BO791" i="2"/>
  <c r="BN791" i="2"/>
  <c r="BM791" i="2"/>
  <c r="BL791" i="2"/>
  <c r="BK791" i="2"/>
  <c r="BY790" i="2"/>
  <c r="BX790" i="2"/>
  <c r="BS790" i="2"/>
  <c r="BR790" i="2"/>
  <c r="BQ790" i="2"/>
  <c r="BW790" i="2" s="1"/>
  <c r="BP790" i="2"/>
  <c r="BO790" i="2"/>
  <c r="BN790" i="2"/>
  <c r="BM790" i="2"/>
  <c r="BL790" i="2"/>
  <c r="BK790" i="2"/>
  <c r="BY789" i="2"/>
  <c r="BX789" i="2"/>
  <c r="BS789" i="2"/>
  <c r="BR789" i="2"/>
  <c r="BQ789" i="2"/>
  <c r="BP789" i="2"/>
  <c r="BO789" i="2"/>
  <c r="BN789" i="2"/>
  <c r="BM789" i="2"/>
  <c r="BL789" i="2"/>
  <c r="BK789" i="2"/>
  <c r="BY788" i="2"/>
  <c r="BX788" i="2"/>
  <c r="BS788" i="2"/>
  <c r="BR788" i="2"/>
  <c r="BQ788" i="2"/>
  <c r="BW788" i="2" s="1"/>
  <c r="BP788" i="2"/>
  <c r="BO788" i="2"/>
  <c r="BN788" i="2"/>
  <c r="BM788" i="2"/>
  <c r="BL788" i="2"/>
  <c r="BK788" i="2"/>
  <c r="BY787" i="2"/>
  <c r="BX787" i="2"/>
  <c r="BS787" i="2"/>
  <c r="BR787" i="2"/>
  <c r="BQ787" i="2"/>
  <c r="BW787" i="2" s="1"/>
  <c r="BP787" i="2"/>
  <c r="BO787" i="2"/>
  <c r="BN787" i="2"/>
  <c r="BM787" i="2"/>
  <c r="BL787" i="2"/>
  <c r="BK787" i="2"/>
  <c r="BY786" i="2"/>
  <c r="BX786" i="2"/>
  <c r="BS786" i="2"/>
  <c r="BR786" i="2"/>
  <c r="BQ786" i="2"/>
  <c r="BW786" i="2" s="1"/>
  <c r="BP786" i="2"/>
  <c r="BO786" i="2"/>
  <c r="BN786" i="2"/>
  <c r="BM786" i="2"/>
  <c r="BL786" i="2"/>
  <c r="BK786" i="2"/>
  <c r="BY785" i="2"/>
  <c r="BX785" i="2"/>
  <c r="BS785" i="2"/>
  <c r="BR785" i="2"/>
  <c r="BQ785" i="2"/>
  <c r="BP785" i="2"/>
  <c r="BO785" i="2"/>
  <c r="BN785" i="2"/>
  <c r="BM785" i="2"/>
  <c r="BL785" i="2"/>
  <c r="BK785" i="2"/>
  <c r="BY784" i="2"/>
  <c r="BX784" i="2"/>
  <c r="BS784" i="2"/>
  <c r="BR784" i="2"/>
  <c r="BQ784" i="2"/>
  <c r="BP784" i="2"/>
  <c r="BO784" i="2"/>
  <c r="BN784" i="2"/>
  <c r="BM784" i="2"/>
  <c r="BL784" i="2"/>
  <c r="BK784" i="2"/>
  <c r="BY783" i="2"/>
  <c r="BX783" i="2"/>
  <c r="BS783" i="2"/>
  <c r="BR783" i="2"/>
  <c r="BQ783" i="2"/>
  <c r="BW783" i="2" s="1"/>
  <c r="BP783" i="2"/>
  <c r="BO783" i="2"/>
  <c r="BN783" i="2"/>
  <c r="BM783" i="2"/>
  <c r="BL783" i="2"/>
  <c r="BK783" i="2"/>
  <c r="BY782" i="2"/>
  <c r="BX782" i="2"/>
  <c r="BS782" i="2"/>
  <c r="BR782" i="2"/>
  <c r="BQ782" i="2"/>
  <c r="BW782" i="2" s="1"/>
  <c r="BP782" i="2"/>
  <c r="BO782" i="2"/>
  <c r="BN782" i="2"/>
  <c r="BM782" i="2"/>
  <c r="BL782" i="2"/>
  <c r="BK782" i="2"/>
  <c r="BY781" i="2"/>
  <c r="BX781" i="2"/>
  <c r="BS781" i="2"/>
  <c r="BR781" i="2"/>
  <c r="BQ781" i="2"/>
  <c r="BW781" i="2" s="1"/>
  <c r="BP781" i="2"/>
  <c r="BO781" i="2"/>
  <c r="BN781" i="2"/>
  <c r="BM781" i="2"/>
  <c r="BL781" i="2"/>
  <c r="BK781" i="2"/>
  <c r="BY780" i="2"/>
  <c r="BX780" i="2"/>
  <c r="BS780" i="2"/>
  <c r="BR780" i="2"/>
  <c r="BQ780" i="2"/>
  <c r="BP780" i="2"/>
  <c r="BO780" i="2"/>
  <c r="BN780" i="2"/>
  <c r="BM780" i="2"/>
  <c r="BL780" i="2"/>
  <c r="BK780" i="2"/>
  <c r="BY779" i="2"/>
  <c r="BX779" i="2"/>
  <c r="BS779" i="2"/>
  <c r="BR779" i="2"/>
  <c r="BQ779" i="2"/>
  <c r="BW779" i="2" s="1"/>
  <c r="BP779" i="2"/>
  <c r="BO779" i="2"/>
  <c r="BN779" i="2"/>
  <c r="BM779" i="2"/>
  <c r="BL779" i="2"/>
  <c r="BK779" i="2"/>
  <c r="BY778" i="2"/>
  <c r="BX778" i="2"/>
  <c r="BS778" i="2"/>
  <c r="BR778" i="2"/>
  <c r="BQ778" i="2"/>
  <c r="BW778" i="2" s="1"/>
  <c r="BP778" i="2"/>
  <c r="BO778" i="2"/>
  <c r="BN778" i="2"/>
  <c r="BM778" i="2"/>
  <c r="BL778" i="2"/>
  <c r="BK778" i="2"/>
  <c r="BY777" i="2"/>
  <c r="BX777" i="2"/>
  <c r="BS777" i="2"/>
  <c r="BR777" i="2"/>
  <c r="BQ777" i="2"/>
  <c r="BW777" i="2" s="1"/>
  <c r="BP777" i="2"/>
  <c r="BO777" i="2"/>
  <c r="BN777" i="2"/>
  <c r="BM777" i="2"/>
  <c r="BL777" i="2"/>
  <c r="BK777" i="2"/>
  <c r="BY776" i="2"/>
  <c r="BX776" i="2"/>
  <c r="BS776" i="2"/>
  <c r="BR776" i="2"/>
  <c r="BQ776" i="2"/>
  <c r="BP776" i="2"/>
  <c r="BO776" i="2"/>
  <c r="BN776" i="2"/>
  <c r="BM776" i="2"/>
  <c r="BL776" i="2"/>
  <c r="BK776" i="2"/>
  <c r="BY775" i="2"/>
  <c r="BX775" i="2"/>
  <c r="BS775" i="2"/>
  <c r="BR775" i="2"/>
  <c r="BQ775" i="2"/>
  <c r="BP775" i="2"/>
  <c r="BO775" i="2"/>
  <c r="BN775" i="2"/>
  <c r="BM775" i="2"/>
  <c r="BL775" i="2"/>
  <c r="BK775" i="2"/>
  <c r="BY774" i="2"/>
  <c r="BX774" i="2"/>
  <c r="BS774" i="2"/>
  <c r="BR774" i="2"/>
  <c r="BQ774" i="2"/>
  <c r="BP774" i="2"/>
  <c r="BO774" i="2"/>
  <c r="BN774" i="2"/>
  <c r="BM774" i="2"/>
  <c r="BL774" i="2"/>
  <c r="BK774" i="2"/>
  <c r="BY773" i="2"/>
  <c r="BX773" i="2"/>
  <c r="BS773" i="2"/>
  <c r="BR773" i="2"/>
  <c r="BQ773" i="2"/>
  <c r="BP773" i="2"/>
  <c r="BO773" i="2"/>
  <c r="BN773" i="2"/>
  <c r="BM773" i="2"/>
  <c r="BL773" i="2"/>
  <c r="BK773" i="2"/>
  <c r="BY772" i="2"/>
  <c r="BX772" i="2"/>
  <c r="BS772" i="2"/>
  <c r="BR772" i="2"/>
  <c r="BQ772" i="2"/>
  <c r="BW772" i="2" s="1"/>
  <c r="BP772" i="2"/>
  <c r="BO772" i="2"/>
  <c r="BN772" i="2"/>
  <c r="BM772" i="2"/>
  <c r="BL772" i="2"/>
  <c r="BK772" i="2"/>
  <c r="BY771" i="2"/>
  <c r="BX771" i="2"/>
  <c r="BS771" i="2"/>
  <c r="BR771" i="2"/>
  <c r="BQ771" i="2"/>
  <c r="BW771" i="2" s="1"/>
  <c r="BP771" i="2"/>
  <c r="BO771" i="2"/>
  <c r="BN771" i="2"/>
  <c r="BM771" i="2"/>
  <c r="BL771" i="2"/>
  <c r="BK771" i="2"/>
  <c r="BY770" i="2"/>
  <c r="BX770" i="2"/>
  <c r="BS770" i="2"/>
  <c r="BR770" i="2"/>
  <c r="BQ770" i="2"/>
  <c r="BW770" i="2" s="1"/>
  <c r="BP770" i="2"/>
  <c r="BO770" i="2"/>
  <c r="BN770" i="2"/>
  <c r="BM770" i="2"/>
  <c r="BL770" i="2"/>
  <c r="BK770" i="2"/>
  <c r="BY769" i="2"/>
  <c r="BX769" i="2"/>
  <c r="BS769" i="2"/>
  <c r="BR769" i="2"/>
  <c r="BQ769" i="2"/>
  <c r="BP769" i="2"/>
  <c r="BO769" i="2"/>
  <c r="BN769" i="2"/>
  <c r="BM769" i="2"/>
  <c r="BL769" i="2"/>
  <c r="BK769" i="2"/>
  <c r="BY768" i="2"/>
  <c r="BX768" i="2"/>
  <c r="BS768" i="2"/>
  <c r="BR768" i="2"/>
  <c r="BQ768" i="2"/>
  <c r="BW768" i="2" s="1"/>
  <c r="BP768" i="2"/>
  <c r="BO768" i="2"/>
  <c r="BN768" i="2"/>
  <c r="BM768" i="2"/>
  <c r="BL768" i="2"/>
  <c r="BK768" i="2"/>
  <c r="BY767" i="2"/>
  <c r="BX767" i="2"/>
  <c r="BS767" i="2"/>
  <c r="BR767" i="2"/>
  <c r="BQ767" i="2"/>
  <c r="BP767" i="2"/>
  <c r="BO767" i="2"/>
  <c r="BN767" i="2"/>
  <c r="BM767" i="2"/>
  <c r="BL767" i="2"/>
  <c r="BK767" i="2"/>
  <c r="BY766" i="2"/>
  <c r="BX766" i="2"/>
  <c r="BS766" i="2"/>
  <c r="BR766" i="2"/>
  <c r="BQ766" i="2"/>
  <c r="BW766" i="2" s="1"/>
  <c r="BP766" i="2"/>
  <c r="BO766" i="2"/>
  <c r="BN766" i="2"/>
  <c r="BM766" i="2"/>
  <c r="BL766" i="2"/>
  <c r="BK766" i="2"/>
  <c r="BY765" i="2"/>
  <c r="BX765" i="2"/>
  <c r="BS765" i="2"/>
  <c r="BR765" i="2"/>
  <c r="BQ765" i="2"/>
  <c r="BP765" i="2"/>
  <c r="BO765" i="2"/>
  <c r="BN765" i="2"/>
  <c r="BM765" i="2"/>
  <c r="BL765" i="2"/>
  <c r="BK765" i="2"/>
  <c r="BY764" i="2"/>
  <c r="BX764" i="2"/>
  <c r="BS764" i="2"/>
  <c r="BR764" i="2"/>
  <c r="BQ764" i="2"/>
  <c r="BP764" i="2"/>
  <c r="BO764" i="2"/>
  <c r="BN764" i="2"/>
  <c r="BM764" i="2"/>
  <c r="BL764" i="2"/>
  <c r="BK764" i="2"/>
  <c r="BY763" i="2"/>
  <c r="BX763" i="2"/>
  <c r="BS763" i="2"/>
  <c r="BR763" i="2"/>
  <c r="BQ763" i="2"/>
  <c r="BP763" i="2"/>
  <c r="BO763" i="2"/>
  <c r="BN763" i="2"/>
  <c r="BM763" i="2"/>
  <c r="BL763" i="2"/>
  <c r="BK763" i="2"/>
  <c r="BY762" i="2"/>
  <c r="BX762" i="2"/>
  <c r="BS762" i="2"/>
  <c r="BR762" i="2"/>
  <c r="BQ762" i="2"/>
  <c r="BW762" i="2" s="1"/>
  <c r="BP762" i="2"/>
  <c r="BO762" i="2"/>
  <c r="BZ762" i="2" s="1"/>
  <c r="BN762" i="2"/>
  <c r="BM762" i="2"/>
  <c r="BL762" i="2"/>
  <c r="BK762" i="2"/>
  <c r="BY761" i="2"/>
  <c r="BX761" i="2"/>
  <c r="BS761" i="2"/>
  <c r="BR761" i="2"/>
  <c r="BQ761" i="2"/>
  <c r="BW761" i="2" s="1"/>
  <c r="BP761" i="2"/>
  <c r="BO761" i="2"/>
  <c r="BN761" i="2"/>
  <c r="BM761" i="2"/>
  <c r="BL761" i="2"/>
  <c r="BK761" i="2"/>
  <c r="BY760" i="2"/>
  <c r="BX760" i="2"/>
  <c r="BS760" i="2"/>
  <c r="BR760" i="2"/>
  <c r="BQ760" i="2"/>
  <c r="BW760" i="2" s="1"/>
  <c r="BP760" i="2"/>
  <c r="BO760" i="2"/>
  <c r="BN760" i="2"/>
  <c r="BM760" i="2"/>
  <c r="BL760" i="2"/>
  <c r="BK760" i="2"/>
  <c r="BY759" i="2"/>
  <c r="BX759" i="2"/>
  <c r="BS759" i="2"/>
  <c r="BR759" i="2"/>
  <c r="BQ759" i="2"/>
  <c r="BW759" i="2" s="1"/>
  <c r="BP759" i="2"/>
  <c r="BO759" i="2"/>
  <c r="BN759" i="2"/>
  <c r="BM759" i="2"/>
  <c r="BL759" i="2"/>
  <c r="BK759" i="2"/>
  <c r="BY758" i="2"/>
  <c r="BX758" i="2"/>
  <c r="BS758" i="2"/>
  <c r="BR758" i="2"/>
  <c r="BQ758" i="2"/>
  <c r="BW758" i="2" s="1"/>
  <c r="BP758" i="2"/>
  <c r="BO758" i="2"/>
  <c r="BN758" i="2"/>
  <c r="BM758" i="2"/>
  <c r="BL758" i="2"/>
  <c r="BK758" i="2"/>
  <c r="BY757" i="2"/>
  <c r="BX757" i="2"/>
  <c r="BS757" i="2"/>
  <c r="BR757" i="2"/>
  <c r="BQ757" i="2"/>
  <c r="BW757" i="2" s="1"/>
  <c r="BP757" i="2"/>
  <c r="BO757" i="2"/>
  <c r="BN757" i="2"/>
  <c r="BM757" i="2"/>
  <c r="BL757" i="2"/>
  <c r="BK757" i="2"/>
  <c r="BY756" i="2"/>
  <c r="BX756" i="2"/>
  <c r="BS756" i="2"/>
  <c r="BR756" i="2"/>
  <c r="BQ756" i="2"/>
  <c r="BP756" i="2"/>
  <c r="BO756" i="2"/>
  <c r="BN756" i="2"/>
  <c r="BM756" i="2"/>
  <c r="BL756" i="2"/>
  <c r="BK756" i="2"/>
  <c r="BY755" i="2"/>
  <c r="BX755" i="2"/>
  <c r="BS755" i="2"/>
  <c r="BR755" i="2"/>
  <c r="BQ755" i="2"/>
  <c r="BP755" i="2"/>
  <c r="BO755" i="2"/>
  <c r="BN755" i="2"/>
  <c r="BM755" i="2"/>
  <c r="BL755" i="2"/>
  <c r="BK755" i="2"/>
  <c r="BY754" i="2"/>
  <c r="BX754" i="2"/>
  <c r="BS754" i="2"/>
  <c r="BR754" i="2"/>
  <c r="BQ754" i="2"/>
  <c r="BW754" i="2" s="1"/>
  <c r="BP754" i="2"/>
  <c r="BO754" i="2"/>
  <c r="BN754" i="2"/>
  <c r="BM754" i="2"/>
  <c r="BL754" i="2"/>
  <c r="BK754" i="2"/>
  <c r="BY753" i="2"/>
  <c r="BX753" i="2"/>
  <c r="BS753" i="2"/>
  <c r="BR753" i="2"/>
  <c r="BQ753" i="2"/>
  <c r="BP753" i="2"/>
  <c r="BO753" i="2"/>
  <c r="BN753" i="2"/>
  <c r="BM753" i="2"/>
  <c r="BL753" i="2"/>
  <c r="BK753" i="2"/>
  <c r="BY752" i="2"/>
  <c r="BX752" i="2"/>
  <c r="BS752" i="2"/>
  <c r="BR752" i="2"/>
  <c r="BQ752" i="2"/>
  <c r="BW752" i="2" s="1"/>
  <c r="BP752" i="2"/>
  <c r="BO752" i="2"/>
  <c r="BN752" i="2"/>
  <c r="BM752" i="2"/>
  <c r="BL752" i="2"/>
  <c r="BK752" i="2"/>
  <c r="BY751" i="2"/>
  <c r="BX751" i="2"/>
  <c r="BS751" i="2"/>
  <c r="BR751" i="2"/>
  <c r="BQ751" i="2"/>
  <c r="BW751" i="2" s="1"/>
  <c r="BP751" i="2"/>
  <c r="BO751" i="2"/>
  <c r="BN751" i="2"/>
  <c r="BM751" i="2"/>
  <c r="BL751" i="2"/>
  <c r="BK751" i="2"/>
  <c r="BY750" i="2"/>
  <c r="BX750" i="2"/>
  <c r="BS750" i="2"/>
  <c r="BR750" i="2"/>
  <c r="BQ750" i="2"/>
  <c r="BW750" i="2" s="1"/>
  <c r="BP750" i="2"/>
  <c r="BO750" i="2"/>
  <c r="BN750" i="2"/>
  <c r="BM750" i="2"/>
  <c r="BL750" i="2"/>
  <c r="BK750" i="2"/>
  <c r="BY749" i="2"/>
  <c r="BX749" i="2"/>
  <c r="BS749" i="2"/>
  <c r="BR749" i="2"/>
  <c r="BQ749" i="2"/>
  <c r="BP749" i="2"/>
  <c r="BO749" i="2"/>
  <c r="BZ749" i="2" s="1"/>
  <c r="BN749" i="2"/>
  <c r="BM749" i="2"/>
  <c r="BL749" i="2"/>
  <c r="BK749" i="2"/>
  <c r="BY748" i="2"/>
  <c r="BX748" i="2"/>
  <c r="BS748" i="2"/>
  <c r="BR748" i="2"/>
  <c r="BQ748" i="2"/>
  <c r="BW748" i="2" s="1"/>
  <c r="BP748" i="2"/>
  <c r="BO748" i="2"/>
  <c r="BZ748" i="2" s="1"/>
  <c r="BN748" i="2"/>
  <c r="BM748" i="2"/>
  <c r="BL748" i="2"/>
  <c r="BK748" i="2"/>
  <c r="BY747" i="2"/>
  <c r="BX747" i="2"/>
  <c r="BS747" i="2"/>
  <c r="BR747" i="2"/>
  <c r="BQ747" i="2"/>
  <c r="BP747" i="2"/>
  <c r="BO747" i="2"/>
  <c r="BZ747" i="2" s="1"/>
  <c r="BN747" i="2"/>
  <c r="BM747" i="2"/>
  <c r="BL747" i="2"/>
  <c r="BK747" i="2"/>
  <c r="BY746" i="2"/>
  <c r="BX746" i="2"/>
  <c r="BS746" i="2"/>
  <c r="BR746" i="2"/>
  <c r="BQ746" i="2"/>
  <c r="BW746" i="2" s="1"/>
  <c r="BP746" i="2"/>
  <c r="BO746" i="2"/>
  <c r="BN746" i="2"/>
  <c r="BM746" i="2"/>
  <c r="BL746" i="2"/>
  <c r="BK746" i="2"/>
  <c r="BY745" i="2"/>
  <c r="BX745" i="2"/>
  <c r="BS745" i="2"/>
  <c r="BR745" i="2"/>
  <c r="BQ745" i="2"/>
  <c r="BP745" i="2"/>
  <c r="BO745" i="2"/>
  <c r="BZ745" i="2" s="1"/>
  <c r="BN745" i="2"/>
  <c r="BM745" i="2"/>
  <c r="BL745" i="2"/>
  <c r="BK745" i="2"/>
  <c r="BY744" i="2"/>
  <c r="BX744" i="2"/>
  <c r="BS744" i="2"/>
  <c r="BR744" i="2"/>
  <c r="BQ744" i="2"/>
  <c r="BW744" i="2" s="1"/>
  <c r="BP744" i="2"/>
  <c r="BO744" i="2"/>
  <c r="BZ744" i="2" s="1"/>
  <c r="BN744" i="2"/>
  <c r="BM744" i="2"/>
  <c r="BL744" i="2"/>
  <c r="BK744" i="2"/>
  <c r="BY743" i="2"/>
  <c r="BX743" i="2"/>
  <c r="BS743" i="2"/>
  <c r="BR743" i="2"/>
  <c r="BQ743" i="2"/>
  <c r="BP743" i="2"/>
  <c r="BO743" i="2"/>
  <c r="BN743" i="2"/>
  <c r="BM743" i="2"/>
  <c r="BL743" i="2"/>
  <c r="BK743" i="2"/>
  <c r="BY742" i="2"/>
  <c r="BX742" i="2"/>
  <c r="BS742" i="2"/>
  <c r="BR742" i="2"/>
  <c r="BQ742" i="2"/>
  <c r="BW742" i="2" s="1"/>
  <c r="BP742" i="2"/>
  <c r="BO742" i="2"/>
  <c r="BN742" i="2"/>
  <c r="BM742" i="2"/>
  <c r="BL742" i="2"/>
  <c r="BK742" i="2"/>
  <c r="BY741" i="2"/>
  <c r="BX741" i="2"/>
  <c r="BS741" i="2"/>
  <c r="BR741" i="2"/>
  <c r="BQ741" i="2"/>
  <c r="BW741" i="2" s="1"/>
  <c r="BP741" i="2"/>
  <c r="BO741" i="2"/>
  <c r="BN741" i="2"/>
  <c r="BM741" i="2"/>
  <c r="BL741" i="2"/>
  <c r="BK741" i="2"/>
  <c r="BY740" i="2"/>
  <c r="BX740" i="2"/>
  <c r="BS740" i="2"/>
  <c r="BR740" i="2"/>
  <c r="BQ740" i="2"/>
  <c r="BW740" i="2" s="1"/>
  <c r="BP740" i="2"/>
  <c r="BO740" i="2"/>
  <c r="BN740" i="2"/>
  <c r="BM740" i="2"/>
  <c r="BL740" i="2"/>
  <c r="BK740" i="2"/>
  <c r="BY739" i="2"/>
  <c r="BX739" i="2"/>
  <c r="BS739" i="2"/>
  <c r="BR739" i="2"/>
  <c r="BQ739" i="2"/>
  <c r="BW739" i="2" s="1"/>
  <c r="BP739" i="2"/>
  <c r="BO739" i="2"/>
  <c r="BN739" i="2"/>
  <c r="BM739" i="2"/>
  <c r="BL739" i="2"/>
  <c r="BK739" i="2"/>
  <c r="BY738" i="2"/>
  <c r="BX738" i="2"/>
  <c r="BS738" i="2"/>
  <c r="BR738" i="2"/>
  <c r="BQ738" i="2"/>
  <c r="BW738" i="2" s="1"/>
  <c r="BP738" i="2"/>
  <c r="BO738" i="2"/>
  <c r="BN738" i="2"/>
  <c r="BM738" i="2"/>
  <c r="BL738" i="2"/>
  <c r="BK738" i="2"/>
  <c r="BY737" i="2"/>
  <c r="BX737" i="2"/>
  <c r="BS737" i="2"/>
  <c r="BR737" i="2"/>
  <c r="BQ737" i="2"/>
  <c r="BW737" i="2" s="1"/>
  <c r="BP737" i="2"/>
  <c r="BO737" i="2"/>
  <c r="BN737" i="2"/>
  <c r="BM737" i="2"/>
  <c r="BL737" i="2"/>
  <c r="BK737" i="2"/>
  <c r="BY736" i="2"/>
  <c r="BX736" i="2"/>
  <c r="BS736" i="2"/>
  <c r="BR736" i="2"/>
  <c r="BQ736" i="2"/>
  <c r="BP736" i="2"/>
  <c r="BO736" i="2"/>
  <c r="BN736" i="2"/>
  <c r="BM736" i="2"/>
  <c r="BL736" i="2"/>
  <c r="BK736" i="2"/>
  <c r="BY735" i="2"/>
  <c r="BX735" i="2"/>
  <c r="BS735" i="2"/>
  <c r="BR735" i="2"/>
  <c r="BQ735" i="2"/>
  <c r="BP735" i="2"/>
  <c r="BO735" i="2"/>
  <c r="BN735" i="2"/>
  <c r="BM735" i="2"/>
  <c r="BL735" i="2"/>
  <c r="BK735" i="2"/>
  <c r="BY734" i="2"/>
  <c r="BX734" i="2"/>
  <c r="BS734" i="2"/>
  <c r="BR734" i="2"/>
  <c r="BQ734" i="2"/>
  <c r="BP734" i="2"/>
  <c r="BO734" i="2"/>
  <c r="BZ734" i="2" s="1"/>
  <c r="BN734" i="2"/>
  <c r="BM734" i="2"/>
  <c r="BL734" i="2"/>
  <c r="BK734" i="2"/>
  <c r="BY733" i="2"/>
  <c r="BX733" i="2"/>
  <c r="BS733" i="2"/>
  <c r="BR733" i="2"/>
  <c r="BQ733" i="2"/>
  <c r="BW733" i="2" s="1"/>
  <c r="BP733" i="2"/>
  <c r="BO733" i="2"/>
  <c r="BZ733" i="2" s="1"/>
  <c r="BN733" i="2"/>
  <c r="BM733" i="2"/>
  <c r="BL733" i="2"/>
  <c r="BK733" i="2"/>
  <c r="BY732" i="2"/>
  <c r="BX732" i="2"/>
  <c r="BS732" i="2"/>
  <c r="BR732" i="2"/>
  <c r="BQ732" i="2"/>
  <c r="BP732" i="2"/>
  <c r="BO732" i="2"/>
  <c r="BN732" i="2"/>
  <c r="BM732" i="2"/>
  <c r="BL732" i="2"/>
  <c r="BK732" i="2"/>
  <c r="BY731" i="2"/>
  <c r="BX731" i="2"/>
  <c r="BS731" i="2"/>
  <c r="BR731" i="2"/>
  <c r="BQ731" i="2"/>
  <c r="BW731" i="2" s="1"/>
  <c r="BP731" i="2"/>
  <c r="BO731" i="2"/>
  <c r="BN731" i="2"/>
  <c r="BM731" i="2"/>
  <c r="BL731" i="2"/>
  <c r="BK731" i="2"/>
  <c r="BY730" i="2"/>
  <c r="BX730" i="2"/>
  <c r="BS730" i="2"/>
  <c r="BR730" i="2"/>
  <c r="BQ730" i="2"/>
  <c r="BW730" i="2" s="1"/>
  <c r="BP730" i="2"/>
  <c r="BO730" i="2"/>
  <c r="BN730" i="2"/>
  <c r="BM730" i="2"/>
  <c r="BL730" i="2"/>
  <c r="BK730" i="2"/>
  <c r="BY729" i="2"/>
  <c r="BX729" i="2"/>
  <c r="BS729" i="2"/>
  <c r="BR729" i="2"/>
  <c r="BQ729" i="2"/>
  <c r="BP729" i="2"/>
  <c r="BO729" i="2"/>
  <c r="BN729" i="2"/>
  <c r="BM729" i="2"/>
  <c r="BL729" i="2"/>
  <c r="BK729" i="2"/>
  <c r="BY728" i="2"/>
  <c r="BX728" i="2"/>
  <c r="BS728" i="2"/>
  <c r="BR728" i="2"/>
  <c r="BQ728" i="2"/>
  <c r="BW728" i="2" s="1"/>
  <c r="BP728" i="2"/>
  <c r="BO728" i="2"/>
  <c r="BN728" i="2"/>
  <c r="BM728" i="2"/>
  <c r="BL728" i="2"/>
  <c r="BK728" i="2"/>
  <c r="BY727" i="2"/>
  <c r="BX727" i="2"/>
  <c r="BS727" i="2"/>
  <c r="BR727" i="2"/>
  <c r="BQ727" i="2"/>
  <c r="BP727" i="2"/>
  <c r="BO727" i="2"/>
  <c r="BN727" i="2"/>
  <c r="BM727" i="2"/>
  <c r="BL727" i="2"/>
  <c r="BK727" i="2"/>
  <c r="BY726" i="2"/>
  <c r="BX726" i="2"/>
  <c r="BS726" i="2"/>
  <c r="BR726" i="2"/>
  <c r="BQ726" i="2"/>
  <c r="BW726" i="2" s="1"/>
  <c r="BP726" i="2"/>
  <c r="BO726" i="2"/>
  <c r="BN726" i="2"/>
  <c r="BM726" i="2"/>
  <c r="BL726" i="2"/>
  <c r="BK726" i="2"/>
  <c r="BY725" i="2"/>
  <c r="BX725" i="2"/>
  <c r="BS725" i="2"/>
  <c r="BR725" i="2"/>
  <c r="BQ725" i="2"/>
  <c r="BP725" i="2"/>
  <c r="BO725" i="2"/>
  <c r="BN725" i="2"/>
  <c r="BM725" i="2"/>
  <c r="BL725" i="2"/>
  <c r="BK725" i="2"/>
  <c r="BY724" i="2"/>
  <c r="BX724" i="2"/>
  <c r="BS724" i="2"/>
  <c r="BR724" i="2"/>
  <c r="BQ724" i="2"/>
  <c r="BP724" i="2"/>
  <c r="BO724" i="2"/>
  <c r="BN724" i="2"/>
  <c r="BM724" i="2"/>
  <c r="BL724" i="2"/>
  <c r="BK724" i="2"/>
  <c r="BY723" i="2"/>
  <c r="BX723" i="2"/>
  <c r="BS723" i="2"/>
  <c r="BR723" i="2"/>
  <c r="BQ723" i="2"/>
  <c r="BW723" i="2" s="1"/>
  <c r="BP723" i="2"/>
  <c r="BO723" i="2"/>
  <c r="BN723" i="2"/>
  <c r="BM723" i="2"/>
  <c r="BL723" i="2"/>
  <c r="BK723" i="2"/>
  <c r="BY722" i="2"/>
  <c r="BX722" i="2"/>
  <c r="BS722" i="2"/>
  <c r="BR722" i="2"/>
  <c r="BQ722" i="2"/>
  <c r="BW722" i="2" s="1"/>
  <c r="BP722" i="2"/>
  <c r="BO722" i="2"/>
  <c r="BN722" i="2"/>
  <c r="BM722" i="2"/>
  <c r="BL722" i="2"/>
  <c r="BK722" i="2"/>
  <c r="BY721" i="2"/>
  <c r="BX721" i="2"/>
  <c r="BS721" i="2"/>
  <c r="BR721" i="2"/>
  <c r="BQ721" i="2"/>
  <c r="BW721" i="2" s="1"/>
  <c r="BP721" i="2"/>
  <c r="BO721" i="2"/>
  <c r="BN721" i="2"/>
  <c r="BM721" i="2"/>
  <c r="BL721" i="2"/>
  <c r="BK721" i="2"/>
  <c r="BY720" i="2"/>
  <c r="BX720" i="2"/>
  <c r="BS720" i="2"/>
  <c r="BR720" i="2"/>
  <c r="BQ720" i="2"/>
  <c r="BP720" i="2"/>
  <c r="BO720" i="2"/>
  <c r="BN720" i="2"/>
  <c r="BM720" i="2"/>
  <c r="BL720" i="2"/>
  <c r="BK720" i="2"/>
  <c r="BY719" i="2"/>
  <c r="BX719" i="2"/>
  <c r="BS719" i="2"/>
  <c r="BR719" i="2"/>
  <c r="BQ719" i="2"/>
  <c r="BW719" i="2" s="1"/>
  <c r="BP719" i="2"/>
  <c r="BO719" i="2"/>
  <c r="BN719" i="2"/>
  <c r="BM719" i="2"/>
  <c r="BL719" i="2"/>
  <c r="BK719" i="2"/>
  <c r="BY718" i="2"/>
  <c r="BX718" i="2"/>
  <c r="BS718" i="2"/>
  <c r="BR718" i="2"/>
  <c r="BQ718" i="2"/>
  <c r="BW718" i="2" s="1"/>
  <c r="BP718" i="2"/>
  <c r="BO718" i="2"/>
  <c r="BN718" i="2"/>
  <c r="BM718" i="2"/>
  <c r="BL718" i="2"/>
  <c r="BK718" i="2"/>
  <c r="BY717" i="2"/>
  <c r="BX717" i="2"/>
  <c r="BS717" i="2"/>
  <c r="BR717" i="2"/>
  <c r="BQ717" i="2"/>
  <c r="BP717" i="2"/>
  <c r="BO717" i="2"/>
  <c r="BN717" i="2"/>
  <c r="BM717" i="2"/>
  <c r="BL717" i="2"/>
  <c r="BK717" i="2"/>
  <c r="BY716" i="2"/>
  <c r="BX716" i="2"/>
  <c r="BS716" i="2"/>
  <c r="BR716" i="2"/>
  <c r="BQ716" i="2"/>
  <c r="BP716" i="2"/>
  <c r="BO716" i="2"/>
  <c r="BN716" i="2"/>
  <c r="BM716" i="2"/>
  <c r="BL716" i="2"/>
  <c r="BK716" i="2"/>
  <c r="BY715" i="2"/>
  <c r="BX715" i="2"/>
  <c r="BS715" i="2"/>
  <c r="BR715" i="2"/>
  <c r="BQ715" i="2"/>
  <c r="BP715" i="2"/>
  <c r="BO715" i="2"/>
  <c r="BN715" i="2"/>
  <c r="BM715" i="2"/>
  <c r="BL715" i="2"/>
  <c r="BK715" i="2"/>
  <c r="BY714" i="2"/>
  <c r="BX714" i="2"/>
  <c r="BS714" i="2"/>
  <c r="BR714" i="2"/>
  <c r="BQ714" i="2"/>
  <c r="BP714" i="2"/>
  <c r="BO714" i="2"/>
  <c r="BN714" i="2"/>
  <c r="BM714" i="2"/>
  <c r="BL714" i="2"/>
  <c r="BK714" i="2"/>
  <c r="BY713" i="2"/>
  <c r="BX713" i="2"/>
  <c r="BS713" i="2"/>
  <c r="BR713" i="2"/>
  <c r="BQ713" i="2"/>
  <c r="BP713" i="2"/>
  <c r="BO713" i="2"/>
  <c r="BN713" i="2"/>
  <c r="BM713" i="2"/>
  <c r="BL713" i="2"/>
  <c r="BK713" i="2"/>
  <c r="BY712" i="2"/>
  <c r="BX712" i="2"/>
  <c r="BS712" i="2"/>
  <c r="BR712" i="2"/>
  <c r="BQ712" i="2"/>
  <c r="BW712" i="2" s="1"/>
  <c r="BP712" i="2"/>
  <c r="BO712" i="2"/>
  <c r="BN712" i="2"/>
  <c r="BM712" i="2"/>
  <c r="BL712" i="2"/>
  <c r="BK712" i="2"/>
  <c r="BY711" i="2"/>
  <c r="BX711" i="2"/>
  <c r="BS711" i="2"/>
  <c r="BR711" i="2"/>
  <c r="BQ711" i="2"/>
  <c r="BW711" i="2" s="1"/>
  <c r="BP711" i="2"/>
  <c r="BO711" i="2"/>
  <c r="BN711" i="2"/>
  <c r="BM711" i="2"/>
  <c r="BL711" i="2"/>
  <c r="BK711" i="2"/>
  <c r="BY710" i="2"/>
  <c r="BX710" i="2"/>
  <c r="BS710" i="2"/>
  <c r="BR710" i="2"/>
  <c r="BQ710" i="2"/>
  <c r="BW710" i="2" s="1"/>
  <c r="BP710" i="2"/>
  <c r="BO710" i="2"/>
  <c r="BN710" i="2"/>
  <c r="BM710" i="2"/>
  <c r="BL710" i="2"/>
  <c r="BK710" i="2"/>
  <c r="BY709" i="2"/>
  <c r="BX709" i="2"/>
  <c r="BS709" i="2"/>
  <c r="BR709" i="2"/>
  <c r="BQ709" i="2"/>
  <c r="BP709" i="2"/>
  <c r="BO709" i="2"/>
  <c r="BN709" i="2"/>
  <c r="BM709" i="2"/>
  <c r="BL709" i="2"/>
  <c r="BK709" i="2"/>
  <c r="BY708" i="2"/>
  <c r="BX708" i="2"/>
  <c r="BS708" i="2"/>
  <c r="BR708" i="2"/>
  <c r="BQ708" i="2"/>
  <c r="BW708" i="2" s="1"/>
  <c r="BP708" i="2"/>
  <c r="BO708" i="2"/>
  <c r="BN708" i="2"/>
  <c r="BM708" i="2"/>
  <c r="BL708" i="2"/>
  <c r="BK708" i="2"/>
  <c r="BY707" i="2"/>
  <c r="BX707" i="2"/>
  <c r="BS707" i="2"/>
  <c r="BR707" i="2"/>
  <c r="BQ707" i="2"/>
  <c r="BP707" i="2"/>
  <c r="BO707" i="2"/>
  <c r="BN707" i="2"/>
  <c r="BM707" i="2"/>
  <c r="BL707" i="2"/>
  <c r="BK707" i="2"/>
  <c r="BY706" i="2"/>
  <c r="BX706" i="2"/>
  <c r="BS706" i="2"/>
  <c r="BR706" i="2"/>
  <c r="BQ706" i="2"/>
  <c r="BW706" i="2" s="1"/>
  <c r="BP706" i="2"/>
  <c r="BO706" i="2"/>
  <c r="BZ706" i="2" s="1"/>
  <c r="BN706" i="2"/>
  <c r="BM706" i="2"/>
  <c r="BL706" i="2"/>
  <c r="BK706" i="2"/>
  <c r="BY705" i="2"/>
  <c r="BX705" i="2"/>
  <c r="BS705" i="2"/>
  <c r="BR705" i="2"/>
  <c r="BQ705" i="2"/>
  <c r="BP705" i="2"/>
  <c r="BO705" i="2"/>
  <c r="BZ705" i="2" s="1"/>
  <c r="BN705" i="2"/>
  <c r="BM705" i="2"/>
  <c r="BL705" i="2"/>
  <c r="BK705" i="2"/>
  <c r="BY704" i="2"/>
  <c r="BX704" i="2"/>
  <c r="BS704" i="2"/>
  <c r="BR704" i="2"/>
  <c r="BQ704" i="2"/>
  <c r="BP704" i="2"/>
  <c r="BO704" i="2"/>
  <c r="BN704" i="2"/>
  <c r="BM704" i="2"/>
  <c r="BL704" i="2"/>
  <c r="BK704" i="2"/>
  <c r="BY703" i="2"/>
  <c r="BX703" i="2"/>
  <c r="BS703" i="2"/>
  <c r="BR703" i="2"/>
  <c r="BQ703" i="2"/>
  <c r="BP703" i="2"/>
  <c r="BO703" i="2"/>
  <c r="BN703" i="2"/>
  <c r="BM703" i="2"/>
  <c r="BL703" i="2"/>
  <c r="BK703" i="2"/>
  <c r="BY702" i="2"/>
  <c r="BX702" i="2"/>
  <c r="BS702" i="2"/>
  <c r="BR702" i="2"/>
  <c r="BQ702" i="2"/>
  <c r="BW702" i="2" s="1"/>
  <c r="BP702" i="2"/>
  <c r="BO702" i="2"/>
  <c r="BN702" i="2"/>
  <c r="BM702" i="2"/>
  <c r="BL702" i="2"/>
  <c r="BK702" i="2"/>
  <c r="BY701" i="2"/>
  <c r="BX701" i="2"/>
  <c r="BS701" i="2"/>
  <c r="BR701" i="2"/>
  <c r="BQ701" i="2"/>
  <c r="BP701" i="2"/>
  <c r="BO701" i="2"/>
  <c r="BN701" i="2"/>
  <c r="BM701" i="2"/>
  <c r="BL701" i="2"/>
  <c r="BK701" i="2"/>
  <c r="BY700" i="2"/>
  <c r="BX700" i="2"/>
  <c r="BS700" i="2"/>
  <c r="BR700" i="2"/>
  <c r="BQ700" i="2"/>
  <c r="BW700" i="2" s="1"/>
  <c r="BP700" i="2"/>
  <c r="BO700" i="2"/>
  <c r="BN700" i="2"/>
  <c r="BM700" i="2"/>
  <c r="BL700" i="2"/>
  <c r="BK700" i="2"/>
  <c r="BY699" i="2"/>
  <c r="BX699" i="2"/>
  <c r="BS699" i="2"/>
  <c r="BR699" i="2"/>
  <c r="BQ699" i="2"/>
  <c r="BW699" i="2" s="1"/>
  <c r="BP699" i="2"/>
  <c r="BO699" i="2"/>
  <c r="BZ699" i="2" s="1"/>
  <c r="BN699" i="2"/>
  <c r="BM699" i="2"/>
  <c r="BL699" i="2"/>
  <c r="BK699" i="2"/>
  <c r="BY698" i="2"/>
  <c r="BX698" i="2"/>
  <c r="BS698" i="2"/>
  <c r="BR698" i="2"/>
  <c r="BQ698" i="2"/>
  <c r="BW698" i="2" s="1"/>
  <c r="BP698" i="2"/>
  <c r="BO698" i="2"/>
  <c r="BZ698" i="2" s="1"/>
  <c r="BN698" i="2"/>
  <c r="BM698" i="2"/>
  <c r="BL698" i="2"/>
  <c r="BK698" i="2"/>
  <c r="BY697" i="2"/>
  <c r="BX697" i="2"/>
  <c r="BS697" i="2"/>
  <c r="BR697" i="2"/>
  <c r="BQ697" i="2"/>
  <c r="BW697" i="2" s="1"/>
  <c r="BP697" i="2"/>
  <c r="BO697" i="2"/>
  <c r="BN697" i="2"/>
  <c r="BM697" i="2"/>
  <c r="BL697" i="2"/>
  <c r="BK697" i="2"/>
  <c r="BY696" i="2"/>
  <c r="BX696" i="2"/>
  <c r="BS696" i="2"/>
  <c r="BR696" i="2"/>
  <c r="BQ696" i="2"/>
  <c r="BP696" i="2"/>
  <c r="BO696" i="2"/>
  <c r="BN696" i="2"/>
  <c r="BM696" i="2"/>
  <c r="BL696" i="2"/>
  <c r="BK696" i="2"/>
  <c r="BY695" i="2"/>
  <c r="BX695" i="2"/>
  <c r="BS695" i="2"/>
  <c r="BR695" i="2"/>
  <c r="BQ695" i="2"/>
  <c r="BP695" i="2"/>
  <c r="BO695" i="2"/>
  <c r="BN695" i="2"/>
  <c r="BM695" i="2"/>
  <c r="BL695" i="2"/>
  <c r="BK695" i="2"/>
  <c r="BY694" i="2"/>
  <c r="BX694" i="2"/>
  <c r="BS694" i="2"/>
  <c r="BR694" i="2"/>
  <c r="BQ694" i="2"/>
  <c r="BP694" i="2"/>
  <c r="BO694" i="2"/>
  <c r="BN694" i="2"/>
  <c r="BM694" i="2"/>
  <c r="BL694" i="2"/>
  <c r="BK694" i="2"/>
  <c r="BY693" i="2"/>
  <c r="BX693" i="2"/>
  <c r="BS693" i="2"/>
  <c r="BR693" i="2"/>
  <c r="BQ693" i="2"/>
  <c r="BP693" i="2"/>
  <c r="BO693" i="2"/>
  <c r="BN693" i="2"/>
  <c r="BM693" i="2"/>
  <c r="BL693" i="2"/>
  <c r="BK693" i="2"/>
  <c r="BY692" i="2"/>
  <c r="BX692" i="2"/>
  <c r="BS692" i="2"/>
  <c r="BR692" i="2"/>
  <c r="BQ692" i="2"/>
  <c r="BW692" i="2" s="1"/>
  <c r="BP692" i="2"/>
  <c r="BO692" i="2"/>
  <c r="BN692" i="2"/>
  <c r="BM692" i="2"/>
  <c r="BL692" i="2"/>
  <c r="BK692" i="2"/>
  <c r="BY691" i="2"/>
  <c r="BX691" i="2"/>
  <c r="BS691" i="2"/>
  <c r="BR691" i="2"/>
  <c r="BQ691" i="2"/>
  <c r="BW691" i="2" s="1"/>
  <c r="BP691" i="2"/>
  <c r="BO691" i="2"/>
  <c r="BN691" i="2"/>
  <c r="BM691" i="2"/>
  <c r="BL691" i="2"/>
  <c r="BK691" i="2"/>
  <c r="BY690" i="2"/>
  <c r="BX690" i="2"/>
  <c r="BS690" i="2"/>
  <c r="BR690" i="2"/>
  <c r="BQ690" i="2"/>
  <c r="BW690" i="2" s="1"/>
  <c r="BP690" i="2"/>
  <c r="BO690" i="2"/>
  <c r="BN690" i="2"/>
  <c r="BM690" i="2"/>
  <c r="BL690" i="2"/>
  <c r="BK690" i="2"/>
  <c r="BY689" i="2"/>
  <c r="BX689" i="2"/>
  <c r="BS689" i="2"/>
  <c r="BR689" i="2"/>
  <c r="BQ689" i="2"/>
  <c r="BP689" i="2"/>
  <c r="BO689" i="2"/>
  <c r="BN689" i="2"/>
  <c r="BM689" i="2"/>
  <c r="BL689" i="2"/>
  <c r="BK689" i="2"/>
  <c r="BY688" i="2"/>
  <c r="BX688" i="2"/>
  <c r="BS688" i="2"/>
  <c r="BR688" i="2"/>
  <c r="BQ688" i="2"/>
  <c r="BW688" i="2" s="1"/>
  <c r="BP688" i="2"/>
  <c r="BO688" i="2"/>
  <c r="BN688" i="2"/>
  <c r="BM688" i="2"/>
  <c r="BL688" i="2"/>
  <c r="BK688" i="2"/>
  <c r="BY687" i="2"/>
  <c r="BX687" i="2"/>
  <c r="BS687" i="2"/>
  <c r="BR687" i="2"/>
  <c r="BQ687" i="2"/>
  <c r="BP687" i="2"/>
  <c r="BO687" i="2"/>
  <c r="BN687" i="2"/>
  <c r="BM687" i="2"/>
  <c r="BL687" i="2"/>
  <c r="BK687" i="2"/>
  <c r="BY686" i="2"/>
  <c r="BX686" i="2"/>
  <c r="BS686" i="2"/>
  <c r="BR686" i="2"/>
  <c r="BQ686" i="2"/>
  <c r="BW686" i="2" s="1"/>
  <c r="BP686" i="2"/>
  <c r="BO686" i="2"/>
  <c r="BN686" i="2"/>
  <c r="BM686" i="2"/>
  <c r="BL686" i="2"/>
  <c r="BK686" i="2"/>
  <c r="BY685" i="2"/>
  <c r="BX685" i="2"/>
  <c r="BS685" i="2"/>
  <c r="BR685" i="2"/>
  <c r="BQ685" i="2"/>
  <c r="BW685" i="2" s="1"/>
  <c r="BP685" i="2"/>
  <c r="BO685" i="2"/>
  <c r="BN685" i="2"/>
  <c r="BM685" i="2"/>
  <c r="BL685" i="2"/>
  <c r="BK685" i="2"/>
  <c r="BY684" i="2"/>
  <c r="BX684" i="2"/>
  <c r="BS684" i="2"/>
  <c r="BR684" i="2"/>
  <c r="BQ684" i="2"/>
  <c r="BW684" i="2" s="1"/>
  <c r="BP684" i="2"/>
  <c r="BO684" i="2"/>
  <c r="BN684" i="2"/>
  <c r="BM684" i="2"/>
  <c r="BL684" i="2"/>
  <c r="BK684" i="2"/>
  <c r="BY683" i="2"/>
  <c r="BX683" i="2"/>
  <c r="BS683" i="2"/>
  <c r="BR683" i="2"/>
  <c r="BQ683" i="2"/>
  <c r="BP683" i="2"/>
  <c r="BO683" i="2"/>
  <c r="BN683" i="2"/>
  <c r="BM683" i="2"/>
  <c r="BL683" i="2"/>
  <c r="BK683" i="2"/>
  <c r="BY682" i="2"/>
  <c r="BX682" i="2"/>
  <c r="BS682" i="2"/>
  <c r="BR682" i="2"/>
  <c r="BQ682" i="2"/>
  <c r="BW682" i="2" s="1"/>
  <c r="BP682" i="2"/>
  <c r="BO682" i="2"/>
  <c r="BN682" i="2"/>
  <c r="BM682" i="2"/>
  <c r="BL682" i="2"/>
  <c r="BK682" i="2"/>
  <c r="BY681" i="2"/>
  <c r="BX681" i="2"/>
  <c r="BS681" i="2"/>
  <c r="BR681" i="2"/>
  <c r="BQ681" i="2"/>
  <c r="BW681" i="2" s="1"/>
  <c r="BP681" i="2"/>
  <c r="BO681" i="2"/>
  <c r="BN681" i="2"/>
  <c r="BM681" i="2"/>
  <c r="BL681" i="2"/>
  <c r="BK681" i="2"/>
  <c r="BY680" i="2"/>
  <c r="BX680" i="2"/>
  <c r="BS680" i="2"/>
  <c r="BR680" i="2"/>
  <c r="BQ680" i="2"/>
  <c r="BW680" i="2" s="1"/>
  <c r="BP680" i="2"/>
  <c r="BO680" i="2"/>
  <c r="BN680" i="2"/>
  <c r="BM680" i="2"/>
  <c r="BL680" i="2"/>
  <c r="BK680" i="2"/>
  <c r="BY679" i="2"/>
  <c r="BX679" i="2"/>
  <c r="BS679" i="2"/>
  <c r="BR679" i="2"/>
  <c r="BQ679" i="2"/>
  <c r="BW679" i="2" s="1"/>
  <c r="BP679" i="2"/>
  <c r="BO679" i="2"/>
  <c r="BN679" i="2"/>
  <c r="BM679" i="2"/>
  <c r="BL679" i="2"/>
  <c r="BK679" i="2"/>
  <c r="BY678" i="2"/>
  <c r="BX678" i="2"/>
  <c r="BS678" i="2"/>
  <c r="BR678" i="2"/>
  <c r="BQ678" i="2"/>
  <c r="BP678" i="2"/>
  <c r="BO678" i="2"/>
  <c r="BN678" i="2"/>
  <c r="BM678" i="2"/>
  <c r="BL678" i="2"/>
  <c r="BK678" i="2"/>
  <c r="BY677" i="2"/>
  <c r="BX677" i="2"/>
  <c r="BS677" i="2"/>
  <c r="BR677" i="2"/>
  <c r="BQ677" i="2"/>
  <c r="BW677" i="2" s="1"/>
  <c r="BP677" i="2"/>
  <c r="BO677" i="2"/>
  <c r="BN677" i="2"/>
  <c r="BM677" i="2"/>
  <c r="BL677" i="2"/>
  <c r="BK677" i="2"/>
  <c r="BY676" i="2"/>
  <c r="BX676" i="2"/>
  <c r="BS676" i="2"/>
  <c r="BR676" i="2"/>
  <c r="BQ676" i="2"/>
  <c r="BP676" i="2"/>
  <c r="BO676" i="2"/>
  <c r="BN676" i="2"/>
  <c r="BM676" i="2"/>
  <c r="BL676" i="2"/>
  <c r="BK676" i="2"/>
  <c r="BY675" i="2"/>
  <c r="BX675" i="2"/>
  <c r="BS675" i="2"/>
  <c r="BR675" i="2"/>
  <c r="BQ675" i="2"/>
  <c r="BP675" i="2"/>
  <c r="BO675" i="2"/>
  <c r="BN675" i="2"/>
  <c r="BM675" i="2"/>
  <c r="BL675" i="2"/>
  <c r="BK675" i="2"/>
  <c r="BY674" i="2"/>
  <c r="BX674" i="2"/>
  <c r="BS674" i="2"/>
  <c r="BR674" i="2"/>
  <c r="BQ674" i="2"/>
  <c r="BP674" i="2"/>
  <c r="BO674" i="2"/>
  <c r="BZ674" i="2" s="1"/>
  <c r="BN674" i="2"/>
  <c r="BM674" i="2"/>
  <c r="BL674" i="2"/>
  <c r="BK674" i="2"/>
  <c r="BY673" i="2"/>
  <c r="BX673" i="2"/>
  <c r="BS673" i="2"/>
  <c r="BR673" i="2"/>
  <c r="BQ673" i="2"/>
  <c r="BP673" i="2"/>
  <c r="BO673" i="2"/>
  <c r="BN673" i="2"/>
  <c r="BM673" i="2"/>
  <c r="BL673" i="2"/>
  <c r="BK673" i="2"/>
  <c r="BY672" i="2"/>
  <c r="BX672" i="2"/>
  <c r="BS672" i="2"/>
  <c r="BR672" i="2"/>
  <c r="BQ672" i="2"/>
  <c r="BW672" i="2" s="1"/>
  <c r="BP672" i="2"/>
  <c r="BO672" i="2"/>
  <c r="BN672" i="2"/>
  <c r="BM672" i="2"/>
  <c r="BL672" i="2"/>
  <c r="BK672" i="2"/>
  <c r="BY671" i="2"/>
  <c r="BX671" i="2"/>
  <c r="BS671" i="2"/>
  <c r="BR671" i="2"/>
  <c r="BQ671" i="2"/>
  <c r="BW671" i="2" s="1"/>
  <c r="BP671" i="2"/>
  <c r="BO671" i="2"/>
  <c r="BN671" i="2"/>
  <c r="BM671" i="2"/>
  <c r="BL671" i="2"/>
  <c r="BK671" i="2"/>
  <c r="BY670" i="2"/>
  <c r="BX670" i="2"/>
  <c r="BS670" i="2"/>
  <c r="BR670" i="2"/>
  <c r="BQ670" i="2"/>
  <c r="BW670" i="2" s="1"/>
  <c r="BP670" i="2"/>
  <c r="BO670" i="2"/>
  <c r="BN670" i="2"/>
  <c r="BM670" i="2"/>
  <c r="BL670" i="2"/>
  <c r="BK670" i="2"/>
  <c r="BY669" i="2"/>
  <c r="BX669" i="2"/>
  <c r="BS669" i="2"/>
  <c r="BR669" i="2"/>
  <c r="BQ669" i="2"/>
  <c r="BP669" i="2"/>
  <c r="BO669" i="2"/>
  <c r="BN669" i="2"/>
  <c r="BM669" i="2"/>
  <c r="BL669" i="2"/>
  <c r="BK669" i="2"/>
  <c r="BY668" i="2"/>
  <c r="BX668" i="2"/>
  <c r="BS668" i="2"/>
  <c r="BR668" i="2"/>
  <c r="BQ668" i="2"/>
  <c r="BW668" i="2" s="1"/>
  <c r="BP668" i="2"/>
  <c r="BO668" i="2"/>
  <c r="BN668" i="2"/>
  <c r="BM668" i="2"/>
  <c r="BL668" i="2"/>
  <c r="BK668" i="2"/>
  <c r="BY667" i="2"/>
  <c r="BX667" i="2"/>
  <c r="BS667" i="2"/>
  <c r="BR667" i="2"/>
  <c r="BQ667" i="2"/>
  <c r="BW667" i="2" s="1"/>
  <c r="BP667" i="2"/>
  <c r="BO667" i="2"/>
  <c r="BN667" i="2"/>
  <c r="BM667" i="2"/>
  <c r="BL667" i="2"/>
  <c r="BK667" i="2"/>
  <c r="BY666" i="2"/>
  <c r="BX666" i="2"/>
  <c r="BS666" i="2"/>
  <c r="BR666" i="2"/>
  <c r="BQ666" i="2"/>
  <c r="BW666" i="2" s="1"/>
  <c r="BP666" i="2"/>
  <c r="BO666" i="2"/>
  <c r="BN666" i="2"/>
  <c r="BM666" i="2"/>
  <c r="BL666" i="2"/>
  <c r="BK666" i="2"/>
  <c r="BY665" i="2"/>
  <c r="BX665" i="2"/>
  <c r="BS665" i="2"/>
  <c r="BR665" i="2"/>
  <c r="BQ665" i="2"/>
  <c r="BP665" i="2"/>
  <c r="BO665" i="2"/>
  <c r="BN665" i="2"/>
  <c r="BM665" i="2"/>
  <c r="BL665" i="2"/>
  <c r="BK665" i="2"/>
  <c r="BY664" i="2"/>
  <c r="BX664" i="2"/>
  <c r="BS664" i="2"/>
  <c r="BR664" i="2"/>
  <c r="BQ664" i="2"/>
  <c r="BP664" i="2"/>
  <c r="BO664" i="2"/>
  <c r="BN664" i="2"/>
  <c r="BM664" i="2"/>
  <c r="BL664" i="2"/>
  <c r="BK664" i="2"/>
  <c r="BY663" i="2"/>
  <c r="BX663" i="2"/>
  <c r="BS663" i="2"/>
  <c r="BR663" i="2"/>
  <c r="BQ663" i="2"/>
  <c r="BP663" i="2"/>
  <c r="BO663" i="2"/>
  <c r="BN663" i="2"/>
  <c r="BM663" i="2"/>
  <c r="BL663" i="2"/>
  <c r="BK663" i="2"/>
  <c r="BY662" i="2"/>
  <c r="BX662" i="2"/>
  <c r="BS662" i="2"/>
  <c r="BR662" i="2"/>
  <c r="BQ662" i="2"/>
  <c r="BW662" i="2" s="1"/>
  <c r="BP662" i="2"/>
  <c r="BO662" i="2"/>
  <c r="BN662" i="2"/>
  <c r="BM662" i="2"/>
  <c r="BL662" i="2"/>
  <c r="BK662" i="2"/>
  <c r="BY661" i="2"/>
  <c r="BX661" i="2"/>
  <c r="BS661" i="2"/>
  <c r="BR661" i="2"/>
  <c r="BQ661" i="2"/>
  <c r="BP661" i="2"/>
  <c r="BO661" i="2"/>
  <c r="BN661" i="2"/>
  <c r="BM661" i="2"/>
  <c r="BL661" i="2"/>
  <c r="BK661" i="2"/>
  <c r="BY660" i="2"/>
  <c r="BX660" i="2"/>
  <c r="BS660" i="2"/>
  <c r="BR660" i="2"/>
  <c r="BQ660" i="2"/>
  <c r="BW660" i="2" s="1"/>
  <c r="BP660" i="2"/>
  <c r="BO660" i="2"/>
  <c r="BN660" i="2"/>
  <c r="BM660" i="2"/>
  <c r="BL660" i="2"/>
  <c r="BK660" i="2"/>
  <c r="BY659" i="2"/>
  <c r="BX659" i="2"/>
  <c r="BS659" i="2"/>
  <c r="BR659" i="2"/>
  <c r="BQ659" i="2"/>
  <c r="BW659" i="2" s="1"/>
  <c r="BP659" i="2"/>
  <c r="BO659" i="2"/>
  <c r="BN659" i="2"/>
  <c r="BM659" i="2"/>
  <c r="BL659" i="2"/>
  <c r="BK659" i="2"/>
  <c r="BY658" i="2"/>
  <c r="BX658" i="2"/>
  <c r="BS658" i="2"/>
  <c r="BR658" i="2"/>
  <c r="BQ658" i="2"/>
  <c r="BP658" i="2"/>
  <c r="BO658" i="2"/>
  <c r="BN658" i="2"/>
  <c r="BM658" i="2"/>
  <c r="BL658" i="2"/>
  <c r="BK658" i="2"/>
  <c r="BY657" i="2"/>
  <c r="BX657" i="2"/>
  <c r="BS657" i="2"/>
  <c r="BR657" i="2"/>
  <c r="BQ657" i="2"/>
  <c r="BW657" i="2" s="1"/>
  <c r="BP657" i="2"/>
  <c r="BO657" i="2"/>
  <c r="BZ657" i="2" s="1"/>
  <c r="BN657" i="2"/>
  <c r="BM657" i="2"/>
  <c r="BL657" i="2"/>
  <c r="BK657" i="2"/>
  <c r="BY656" i="2"/>
  <c r="BX656" i="2"/>
  <c r="BS656" i="2"/>
  <c r="BR656" i="2"/>
  <c r="BQ656" i="2"/>
  <c r="BP656" i="2"/>
  <c r="BO656" i="2"/>
  <c r="BZ656" i="2" s="1"/>
  <c r="BN656" i="2"/>
  <c r="BM656" i="2"/>
  <c r="BL656" i="2"/>
  <c r="BK656" i="2"/>
  <c r="BY655" i="2"/>
  <c r="BX655" i="2"/>
  <c r="BS655" i="2"/>
  <c r="BR655" i="2"/>
  <c r="BQ655" i="2"/>
  <c r="BP655" i="2"/>
  <c r="BO655" i="2"/>
  <c r="BN655" i="2"/>
  <c r="BM655" i="2"/>
  <c r="BL655" i="2"/>
  <c r="BK655" i="2"/>
  <c r="BY654" i="2"/>
  <c r="BX654" i="2"/>
  <c r="BS654" i="2"/>
  <c r="BR654" i="2"/>
  <c r="BQ654" i="2"/>
  <c r="BW654" i="2" s="1"/>
  <c r="BP654" i="2"/>
  <c r="BO654" i="2"/>
  <c r="BN654" i="2"/>
  <c r="BM654" i="2"/>
  <c r="BL654" i="2"/>
  <c r="BK654" i="2"/>
  <c r="BY653" i="2"/>
  <c r="BX653" i="2"/>
  <c r="BS653" i="2"/>
  <c r="BR653" i="2"/>
  <c r="BQ653" i="2"/>
  <c r="BP653" i="2"/>
  <c r="BO653" i="2"/>
  <c r="BN653" i="2"/>
  <c r="BM653" i="2"/>
  <c r="BL653" i="2"/>
  <c r="BK653" i="2"/>
  <c r="BY652" i="2"/>
  <c r="BX652" i="2"/>
  <c r="BS652" i="2"/>
  <c r="BR652" i="2"/>
  <c r="BQ652" i="2"/>
  <c r="BW652" i="2" s="1"/>
  <c r="BP652" i="2"/>
  <c r="BO652" i="2"/>
  <c r="BN652" i="2"/>
  <c r="BM652" i="2"/>
  <c r="BL652" i="2"/>
  <c r="BK652" i="2"/>
  <c r="BY651" i="2"/>
  <c r="BX651" i="2"/>
  <c r="BS651" i="2"/>
  <c r="BR651" i="2"/>
  <c r="BQ651" i="2"/>
  <c r="BP651" i="2"/>
  <c r="BO651" i="2"/>
  <c r="BN651" i="2"/>
  <c r="BM651" i="2"/>
  <c r="BL651" i="2"/>
  <c r="BK651" i="2"/>
  <c r="BY650" i="2"/>
  <c r="BX650" i="2"/>
  <c r="BS650" i="2"/>
  <c r="BR650" i="2"/>
  <c r="BQ650" i="2"/>
  <c r="BW650" i="2" s="1"/>
  <c r="BP650" i="2"/>
  <c r="BO650" i="2"/>
  <c r="BN650" i="2"/>
  <c r="BM650" i="2"/>
  <c r="BL650" i="2"/>
  <c r="BK650" i="2"/>
  <c r="BY649" i="2"/>
  <c r="BX649" i="2"/>
  <c r="BS649" i="2"/>
  <c r="BR649" i="2"/>
  <c r="BQ649" i="2"/>
  <c r="BP649" i="2"/>
  <c r="BO649" i="2"/>
  <c r="BN649" i="2"/>
  <c r="BM649" i="2"/>
  <c r="BL649" i="2"/>
  <c r="BK649" i="2"/>
  <c r="BY648" i="2"/>
  <c r="BX648" i="2"/>
  <c r="BS648" i="2"/>
  <c r="BR648" i="2"/>
  <c r="BQ648" i="2"/>
  <c r="BW648" i="2" s="1"/>
  <c r="BP648" i="2"/>
  <c r="BO648" i="2"/>
  <c r="BN648" i="2"/>
  <c r="BM648" i="2"/>
  <c r="BL648" i="2"/>
  <c r="BK648" i="2"/>
  <c r="BY647" i="2"/>
  <c r="BX647" i="2"/>
  <c r="BS647" i="2"/>
  <c r="BR647" i="2"/>
  <c r="BQ647" i="2"/>
  <c r="BW647" i="2" s="1"/>
  <c r="BP647" i="2"/>
  <c r="BO647" i="2"/>
  <c r="BN647" i="2"/>
  <c r="BM647" i="2"/>
  <c r="BL647" i="2"/>
  <c r="BK647" i="2"/>
  <c r="BY646" i="2"/>
  <c r="BX646" i="2"/>
  <c r="BS646" i="2"/>
  <c r="BR646" i="2"/>
  <c r="BQ646" i="2"/>
  <c r="BW646" i="2" s="1"/>
  <c r="BP646" i="2"/>
  <c r="BO646" i="2"/>
  <c r="BN646" i="2"/>
  <c r="BM646" i="2"/>
  <c r="BL646" i="2"/>
  <c r="BK646" i="2"/>
  <c r="BY645" i="2"/>
  <c r="BX645" i="2"/>
  <c r="BS645" i="2"/>
  <c r="BR645" i="2"/>
  <c r="BQ645" i="2"/>
  <c r="BP645" i="2"/>
  <c r="BO645" i="2"/>
  <c r="BN645" i="2"/>
  <c r="BM645" i="2"/>
  <c r="BL645" i="2"/>
  <c r="BK645" i="2"/>
  <c r="BY644" i="2"/>
  <c r="BX644" i="2"/>
  <c r="BS644" i="2"/>
  <c r="BR644" i="2"/>
  <c r="BQ644" i="2"/>
  <c r="BW644" i="2" s="1"/>
  <c r="BP644" i="2"/>
  <c r="BO644" i="2"/>
  <c r="BN644" i="2"/>
  <c r="BM644" i="2"/>
  <c r="BL644" i="2"/>
  <c r="BK644" i="2"/>
  <c r="BY643" i="2"/>
  <c r="BX643" i="2"/>
  <c r="BS643" i="2"/>
  <c r="BR643" i="2"/>
  <c r="BQ643" i="2"/>
  <c r="BP643" i="2"/>
  <c r="BO643" i="2"/>
  <c r="BN643" i="2"/>
  <c r="BM643" i="2"/>
  <c r="BL643" i="2"/>
  <c r="BK643" i="2"/>
  <c r="BY642" i="2"/>
  <c r="BX642" i="2"/>
  <c r="BS642" i="2"/>
  <c r="BR642" i="2"/>
  <c r="BQ642" i="2"/>
  <c r="BW642" i="2" s="1"/>
  <c r="BP642" i="2"/>
  <c r="BO642" i="2"/>
  <c r="BN642" i="2"/>
  <c r="BM642" i="2"/>
  <c r="BL642" i="2"/>
  <c r="BK642" i="2"/>
  <c r="BY641" i="2"/>
  <c r="BX641" i="2"/>
  <c r="BS641" i="2"/>
  <c r="BR641" i="2"/>
  <c r="BQ641" i="2"/>
  <c r="BW641" i="2" s="1"/>
  <c r="BP641" i="2"/>
  <c r="BO641" i="2"/>
  <c r="BN641" i="2"/>
  <c r="BM641" i="2"/>
  <c r="BL641" i="2"/>
  <c r="BK641" i="2"/>
  <c r="BY640" i="2"/>
  <c r="BX640" i="2"/>
  <c r="BS640" i="2"/>
  <c r="BR640" i="2"/>
  <c r="BQ640" i="2"/>
  <c r="BW640" i="2" s="1"/>
  <c r="BP640" i="2"/>
  <c r="BO640" i="2"/>
  <c r="BN640" i="2"/>
  <c r="BM640" i="2"/>
  <c r="BL640" i="2"/>
  <c r="BK640" i="2"/>
  <c r="BY639" i="2"/>
  <c r="BX639" i="2"/>
  <c r="BS639" i="2"/>
  <c r="BR639" i="2"/>
  <c r="BQ639" i="2"/>
  <c r="BW639" i="2" s="1"/>
  <c r="BP639" i="2"/>
  <c r="BO639" i="2"/>
  <c r="BN639" i="2"/>
  <c r="BM639" i="2"/>
  <c r="BL639" i="2"/>
  <c r="BK639" i="2"/>
  <c r="BY638" i="2"/>
  <c r="BX638" i="2"/>
  <c r="BS638" i="2"/>
  <c r="BR638" i="2"/>
  <c r="BQ638" i="2"/>
  <c r="BP638" i="2"/>
  <c r="BO638" i="2"/>
  <c r="BN638" i="2"/>
  <c r="BM638" i="2"/>
  <c r="BL638" i="2"/>
  <c r="BK638" i="2"/>
  <c r="BY637" i="2"/>
  <c r="BX637" i="2"/>
  <c r="BS637" i="2"/>
  <c r="BR637" i="2"/>
  <c r="BQ637" i="2"/>
  <c r="BW637" i="2" s="1"/>
  <c r="BP637" i="2"/>
  <c r="BO637" i="2"/>
  <c r="BN637" i="2"/>
  <c r="BM637" i="2"/>
  <c r="BL637" i="2"/>
  <c r="BK637" i="2"/>
  <c r="BY636" i="2"/>
  <c r="BX636" i="2"/>
  <c r="BS636" i="2"/>
  <c r="BR636" i="2"/>
  <c r="BQ636" i="2"/>
  <c r="BP636" i="2"/>
  <c r="BO636" i="2"/>
  <c r="BN636" i="2"/>
  <c r="BM636" i="2"/>
  <c r="BL636" i="2"/>
  <c r="BK636" i="2"/>
  <c r="BY635" i="2"/>
  <c r="BX635" i="2"/>
  <c r="BS635" i="2"/>
  <c r="BR635" i="2"/>
  <c r="BQ635" i="2"/>
  <c r="BP635" i="2"/>
  <c r="BO635" i="2"/>
  <c r="BN635" i="2"/>
  <c r="BM635" i="2"/>
  <c r="BL635" i="2"/>
  <c r="BK635" i="2"/>
  <c r="BY634" i="2"/>
  <c r="BX634" i="2"/>
  <c r="BS634" i="2"/>
  <c r="BR634" i="2"/>
  <c r="BQ634" i="2"/>
  <c r="BP634" i="2"/>
  <c r="BO634" i="2"/>
  <c r="BN634" i="2"/>
  <c r="BM634" i="2"/>
  <c r="BL634" i="2"/>
  <c r="BK634" i="2"/>
  <c r="BY633" i="2"/>
  <c r="BX633" i="2"/>
  <c r="BS633" i="2"/>
  <c r="BR633" i="2"/>
  <c r="BQ633" i="2"/>
  <c r="BP633" i="2"/>
  <c r="BO633" i="2"/>
  <c r="BN633" i="2"/>
  <c r="BM633" i="2"/>
  <c r="BL633" i="2"/>
  <c r="BK633" i="2"/>
  <c r="BY632" i="2"/>
  <c r="BX632" i="2"/>
  <c r="BS632" i="2"/>
  <c r="BR632" i="2"/>
  <c r="BQ632" i="2"/>
  <c r="BW632" i="2" s="1"/>
  <c r="BP632" i="2"/>
  <c r="BO632" i="2"/>
  <c r="BN632" i="2"/>
  <c r="BM632" i="2"/>
  <c r="BL632" i="2"/>
  <c r="BK632" i="2"/>
  <c r="BY631" i="2"/>
  <c r="BX631" i="2"/>
  <c r="BS631" i="2"/>
  <c r="BR631" i="2"/>
  <c r="BQ631" i="2"/>
  <c r="BW631" i="2" s="1"/>
  <c r="BP631" i="2"/>
  <c r="BO631" i="2"/>
  <c r="BN631" i="2"/>
  <c r="BM631" i="2"/>
  <c r="BL631" i="2"/>
  <c r="BK631" i="2"/>
  <c r="BY630" i="2"/>
  <c r="BX630" i="2"/>
  <c r="BS630" i="2"/>
  <c r="BR630" i="2"/>
  <c r="BQ630" i="2"/>
  <c r="BW630" i="2" s="1"/>
  <c r="BP630" i="2"/>
  <c r="BO630" i="2"/>
  <c r="BN630" i="2"/>
  <c r="BM630" i="2"/>
  <c r="BL630" i="2"/>
  <c r="BK630" i="2"/>
  <c r="BY629" i="2"/>
  <c r="BX629" i="2"/>
  <c r="BS629" i="2"/>
  <c r="BR629" i="2"/>
  <c r="BQ629" i="2"/>
  <c r="BW629" i="2" s="1"/>
  <c r="BP629" i="2"/>
  <c r="BO629" i="2"/>
  <c r="BN629" i="2"/>
  <c r="BM629" i="2"/>
  <c r="BL629" i="2"/>
  <c r="BK629" i="2"/>
  <c r="BY628" i="2"/>
  <c r="BX628" i="2"/>
  <c r="BS628" i="2"/>
  <c r="BR628" i="2"/>
  <c r="BQ628" i="2"/>
  <c r="BW628" i="2" s="1"/>
  <c r="BP628" i="2"/>
  <c r="BO628" i="2"/>
  <c r="BN628" i="2"/>
  <c r="BM628" i="2"/>
  <c r="BL628" i="2"/>
  <c r="BK628" i="2"/>
  <c r="BY627" i="2"/>
  <c r="BX627" i="2"/>
  <c r="BS627" i="2"/>
  <c r="BR627" i="2"/>
  <c r="BQ627" i="2"/>
  <c r="BW627" i="2" s="1"/>
  <c r="BP627" i="2"/>
  <c r="BO627" i="2"/>
  <c r="BN627" i="2"/>
  <c r="BM627" i="2"/>
  <c r="BL627" i="2"/>
  <c r="BK627" i="2"/>
  <c r="BY626" i="2"/>
  <c r="BX626" i="2"/>
  <c r="BS626" i="2"/>
  <c r="BR626" i="2"/>
  <c r="BQ626" i="2"/>
  <c r="BW626" i="2" s="1"/>
  <c r="BP626" i="2"/>
  <c r="BO626" i="2"/>
  <c r="BN626" i="2"/>
  <c r="BM626" i="2"/>
  <c r="BL626" i="2"/>
  <c r="BK626" i="2"/>
  <c r="BY625" i="2"/>
  <c r="BX625" i="2"/>
  <c r="BS625" i="2"/>
  <c r="BR625" i="2"/>
  <c r="BQ625" i="2"/>
  <c r="BW625" i="2" s="1"/>
  <c r="BP625" i="2"/>
  <c r="BO625" i="2"/>
  <c r="BN625" i="2"/>
  <c r="BM625" i="2"/>
  <c r="BL625" i="2"/>
  <c r="BK625" i="2"/>
  <c r="BY624" i="2"/>
  <c r="BX624" i="2"/>
  <c r="BS624" i="2"/>
  <c r="BR624" i="2"/>
  <c r="BQ624" i="2"/>
  <c r="BP624" i="2"/>
  <c r="BO624" i="2"/>
  <c r="BN624" i="2"/>
  <c r="BM624" i="2"/>
  <c r="BL624" i="2"/>
  <c r="BK624" i="2"/>
  <c r="BY623" i="2"/>
  <c r="BX623" i="2"/>
  <c r="BS623" i="2"/>
  <c r="BR623" i="2"/>
  <c r="BQ623" i="2"/>
  <c r="BW623" i="2" s="1"/>
  <c r="BP623" i="2"/>
  <c r="BO623" i="2"/>
  <c r="BN623" i="2"/>
  <c r="BM623" i="2"/>
  <c r="BL623" i="2"/>
  <c r="BK623" i="2"/>
  <c r="BY622" i="2"/>
  <c r="BX622" i="2"/>
  <c r="BS622" i="2"/>
  <c r="BR622" i="2"/>
  <c r="BQ622" i="2"/>
  <c r="BW622" i="2" s="1"/>
  <c r="BP622" i="2"/>
  <c r="BO622" i="2"/>
  <c r="BN622" i="2"/>
  <c r="BM622" i="2"/>
  <c r="BL622" i="2"/>
  <c r="BK622" i="2"/>
  <c r="BY621" i="2"/>
  <c r="BX621" i="2"/>
  <c r="BS621" i="2"/>
  <c r="BR621" i="2"/>
  <c r="BQ621" i="2"/>
  <c r="BP621" i="2"/>
  <c r="BO621" i="2"/>
  <c r="BN621" i="2"/>
  <c r="BM621" i="2"/>
  <c r="BL621" i="2"/>
  <c r="BK621" i="2"/>
  <c r="BY620" i="2"/>
  <c r="BX620" i="2"/>
  <c r="BS620" i="2"/>
  <c r="BR620" i="2"/>
  <c r="BQ620" i="2"/>
  <c r="BP620" i="2"/>
  <c r="BO620" i="2"/>
  <c r="BN620" i="2"/>
  <c r="BM620" i="2"/>
  <c r="BL620" i="2"/>
  <c r="BK620" i="2"/>
  <c r="BY619" i="2"/>
  <c r="BX619" i="2"/>
  <c r="BS619" i="2"/>
  <c r="BR619" i="2"/>
  <c r="BQ619" i="2"/>
  <c r="BW619" i="2" s="1"/>
  <c r="BP619" i="2"/>
  <c r="BO619" i="2"/>
  <c r="BN619" i="2"/>
  <c r="BM619" i="2"/>
  <c r="BL619" i="2"/>
  <c r="BK619" i="2"/>
  <c r="BY618" i="2"/>
  <c r="BX618" i="2"/>
  <c r="BS618" i="2"/>
  <c r="BR618" i="2"/>
  <c r="BQ618" i="2"/>
  <c r="BP618" i="2"/>
  <c r="BO618" i="2"/>
  <c r="BN618" i="2"/>
  <c r="BM618" i="2"/>
  <c r="BL618" i="2"/>
  <c r="BK618" i="2"/>
  <c r="BY617" i="2"/>
  <c r="BX617" i="2"/>
  <c r="BS617" i="2"/>
  <c r="BR617" i="2"/>
  <c r="BQ617" i="2"/>
  <c r="BW617" i="2" s="1"/>
  <c r="BP617" i="2"/>
  <c r="BO617" i="2"/>
  <c r="BN617" i="2"/>
  <c r="BM617" i="2"/>
  <c r="BL617" i="2"/>
  <c r="BK617" i="2"/>
  <c r="BY616" i="2"/>
  <c r="BX616" i="2"/>
  <c r="BS616" i="2"/>
  <c r="BR616" i="2"/>
  <c r="BQ616" i="2"/>
  <c r="BP616" i="2"/>
  <c r="BO616" i="2"/>
  <c r="BN616" i="2"/>
  <c r="BM616" i="2"/>
  <c r="BL616" i="2"/>
  <c r="BK616" i="2"/>
  <c r="BY615" i="2"/>
  <c r="BX615" i="2"/>
  <c r="BS615" i="2"/>
  <c r="BR615" i="2"/>
  <c r="BQ615" i="2"/>
  <c r="BP615" i="2"/>
  <c r="BO615" i="2"/>
  <c r="BN615" i="2"/>
  <c r="BM615" i="2"/>
  <c r="BL615" i="2"/>
  <c r="BK615" i="2"/>
  <c r="BY614" i="2"/>
  <c r="BX614" i="2"/>
  <c r="BS614" i="2"/>
  <c r="BR614" i="2"/>
  <c r="BQ614" i="2"/>
  <c r="BP614" i="2"/>
  <c r="BO614" i="2"/>
  <c r="BN614" i="2"/>
  <c r="BM614" i="2"/>
  <c r="BL614" i="2"/>
  <c r="BK614" i="2"/>
  <c r="BY613" i="2"/>
  <c r="BX613" i="2"/>
  <c r="BS613" i="2"/>
  <c r="BR613" i="2"/>
  <c r="BQ613" i="2"/>
  <c r="BP613" i="2"/>
  <c r="BO613" i="2"/>
  <c r="BN613" i="2"/>
  <c r="BM613" i="2"/>
  <c r="BL613" i="2"/>
  <c r="BK613" i="2"/>
  <c r="BY612" i="2"/>
  <c r="BX612" i="2"/>
  <c r="BS612" i="2"/>
  <c r="BR612" i="2"/>
  <c r="BQ612" i="2"/>
  <c r="BP612" i="2"/>
  <c r="BO612" i="2"/>
  <c r="BN612" i="2"/>
  <c r="BM612" i="2"/>
  <c r="BL612" i="2"/>
  <c r="BK612" i="2"/>
  <c r="BY611" i="2"/>
  <c r="BX611" i="2"/>
  <c r="BS611" i="2"/>
  <c r="BR611" i="2"/>
  <c r="BQ611" i="2"/>
  <c r="BW611" i="2" s="1"/>
  <c r="BP611" i="2"/>
  <c r="BO611" i="2"/>
  <c r="BN611" i="2"/>
  <c r="BM611" i="2"/>
  <c r="BL611" i="2"/>
  <c r="BK611" i="2"/>
  <c r="BY610" i="2"/>
  <c r="BX610" i="2"/>
  <c r="BS610" i="2"/>
  <c r="BR610" i="2"/>
  <c r="BQ610" i="2"/>
  <c r="BP610" i="2"/>
  <c r="BO610" i="2"/>
  <c r="BN610" i="2"/>
  <c r="BM610" i="2"/>
  <c r="BL610" i="2"/>
  <c r="BK610" i="2"/>
  <c r="BY609" i="2"/>
  <c r="BX609" i="2"/>
  <c r="BS609" i="2"/>
  <c r="BR609" i="2"/>
  <c r="BQ609" i="2"/>
  <c r="BP609" i="2"/>
  <c r="BO609" i="2"/>
  <c r="BN609" i="2"/>
  <c r="BM609" i="2"/>
  <c r="BL609" i="2"/>
  <c r="BK609" i="2"/>
  <c r="BY608" i="2"/>
  <c r="BX608" i="2"/>
  <c r="BS608" i="2"/>
  <c r="BR608" i="2"/>
  <c r="BQ608" i="2"/>
  <c r="BW608" i="2" s="1"/>
  <c r="BP608" i="2"/>
  <c r="BO608" i="2"/>
  <c r="BN608" i="2"/>
  <c r="BM608" i="2"/>
  <c r="BL608" i="2"/>
  <c r="BK608" i="2"/>
  <c r="BY607" i="2"/>
  <c r="BX607" i="2"/>
  <c r="BS607" i="2"/>
  <c r="BR607" i="2"/>
  <c r="BQ607" i="2"/>
  <c r="BW607" i="2" s="1"/>
  <c r="BP607" i="2"/>
  <c r="BO607" i="2"/>
  <c r="BZ607" i="2" s="1"/>
  <c r="BN607" i="2"/>
  <c r="BM607" i="2"/>
  <c r="BL607" i="2"/>
  <c r="BK607" i="2"/>
  <c r="BY606" i="2"/>
  <c r="BX606" i="2"/>
  <c r="BS606" i="2"/>
  <c r="BR606" i="2"/>
  <c r="BQ606" i="2"/>
  <c r="BW606" i="2" s="1"/>
  <c r="BP606" i="2"/>
  <c r="BO606" i="2"/>
  <c r="BZ606" i="2" s="1"/>
  <c r="BN606" i="2"/>
  <c r="BM606" i="2"/>
  <c r="BL606" i="2"/>
  <c r="BK606" i="2"/>
  <c r="BY605" i="2"/>
  <c r="BX605" i="2"/>
  <c r="BS605" i="2"/>
  <c r="BR605" i="2"/>
  <c r="BQ605" i="2"/>
  <c r="BP605" i="2"/>
  <c r="BO605" i="2"/>
  <c r="BN605" i="2"/>
  <c r="BM605" i="2"/>
  <c r="BL605" i="2"/>
  <c r="BK605" i="2"/>
  <c r="BY604" i="2"/>
  <c r="BX604" i="2"/>
  <c r="BS604" i="2"/>
  <c r="BR604" i="2"/>
  <c r="BQ604" i="2"/>
  <c r="BP604" i="2"/>
  <c r="BO604" i="2"/>
  <c r="BN604" i="2"/>
  <c r="BM604" i="2"/>
  <c r="BL604" i="2"/>
  <c r="BK604" i="2"/>
  <c r="BY603" i="2"/>
  <c r="BX603" i="2"/>
  <c r="BS603" i="2"/>
  <c r="BR603" i="2"/>
  <c r="BQ603" i="2"/>
  <c r="BP603" i="2"/>
  <c r="BO603" i="2"/>
  <c r="BN603" i="2"/>
  <c r="BM603" i="2"/>
  <c r="BL603" i="2"/>
  <c r="BK603" i="2"/>
  <c r="BY602" i="2"/>
  <c r="BX602" i="2"/>
  <c r="BS602" i="2"/>
  <c r="BR602" i="2"/>
  <c r="BQ602" i="2"/>
  <c r="BW602" i="2" s="1"/>
  <c r="BP602" i="2"/>
  <c r="BO602" i="2"/>
  <c r="BN602" i="2"/>
  <c r="BM602" i="2"/>
  <c r="BL602" i="2"/>
  <c r="BK602" i="2"/>
  <c r="BY601" i="2"/>
  <c r="BX601" i="2"/>
  <c r="BS601" i="2"/>
  <c r="BR601" i="2"/>
  <c r="BQ601" i="2"/>
  <c r="BW601" i="2" s="1"/>
  <c r="BP601" i="2"/>
  <c r="BO601" i="2"/>
  <c r="BN601" i="2"/>
  <c r="BM601" i="2"/>
  <c r="BL601" i="2"/>
  <c r="BK601" i="2"/>
  <c r="BY600" i="2"/>
  <c r="BX600" i="2"/>
  <c r="BS600" i="2"/>
  <c r="BR600" i="2"/>
  <c r="BQ600" i="2"/>
  <c r="BP600" i="2"/>
  <c r="BO600" i="2"/>
  <c r="BN600" i="2"/>
  <c r="BM600" i="2"/>
  <c r="BL600" i="2"/>
  <c r="BK600" i="2"/>
  <c r="BY599" i="2"/>
  <c r="BX599" i="2"/>
  <c r="BS599" i="2"/>
  <c r="BR599" i="2"/>
  <c r="BQ599" i="2"/>
  <c r="BW599" i="2" s="1"/>
  <c r="BP599" i="2"/>
  <c r="BO599" i="2"/>
  <c r="BN599" i="2"/>
  <c r="BM599" i="2"/>
  <c r="BL599" i="2"/>
  <c r="BK599" i="2"/>
  <c r="BY598" i="2"/>
  <c r="BX598" i="2"/>
  <c r="BS598" i="2"/>
  <c r="BR598" i="2"/>
  <c r="BQ598" i="2"/>
  <c r="BW598" i="2" s="1"/>
  <c r="BP598" i="2"/>
  <c r="BO598" i="2"/>
  <c r="BN598" i="2"/>
  <c r="BM598" i="2"/>
  <c r="BL598" i="2"/>
  <c r="BK598" i="2"/>
  <c r="BY597" i="2"/>
  <c r="BX597" i="2"/>
  <c r="BS597" i="2"/>
  <c r="BR597" i="2"/>
  <c r="BQ597" i="2"/>
  <c r="BW597" i="2" s="1"/>
  <c r="BP597" i="2"/>
  <c r="BO597" i="2"/>
  <c r="BN597" i="2"/>
  <c r="BM597" i="2"/>
  <c r="BL597" i="2"/>
  <c r="BK597" i="2"/>
  <c r="BY596" i="2"/>
  <c r="BX596" i="2"/>
  <c r="BS596" i="2"/>
  <c r="BR596" i="2"/>
  <c r="BQ596" i="2"/>
  <c r="BP596" i="2"/>
  <c r="BO596" i="2"/>
  <c r="BN596" i="2"/>
  <c r="BM596" i="2"/>
  <c r="BL596" i="2"/>
  <c r="BK596" i="2"/>
  <c r="BY595" i="2"/>
  <c r="BX595" i="2"/>
  <c r="BS595" i="2"/>
  <c r="BR595" i="2"/>
  <c r="BQ595" i="2"/>
  <c r="BW595" i="2" s="1"/>
  <c r="BP595" i="2"/>
  <c r="BO595" i="2"/>
  <c r="BN595" i="2"/>
  <c r="BM595" i="2"/>
  <c r="BL595" i="2"/>
  <c r="BK595" i="2"/>
  <c r="BY594" i="2"/>
  <c r="BX594" i="2"/>
  <c r="BS594" i="2"/>
  <c r="BR594" i="2"/>
  <c r="BQ594" i="2"/>
  <c r="BP594" i="2"/>
  <c r="BO594" i="2"/>
  <c r="BN594" i="2"/>
  <c r="BM594" i="2"/>
  <c r="BL594" i="2"/>
  <c r="BK594" i="2"/>
  <c r="BY593" i="2"/>
  <c r="BX593" i="2"/>
  <c r="BS593" i="2"/>
  <c r="BR593" i="2"/>
  <c r="BQ593" i="2"/>
  <c r="BW593" i="2" s="1"/>
  <c r="BP593" i="2"/>
  <c r="BO593" i="2"/>
  <c r="BN593" i="2"/>
  <c r="BM593" i="2"/>
  <c r="BL593" i="2"/>
  <c r="BK593" i="2"/>
  <c r="BY592" i="2"/>
  <c r="BX592" i="2"/>
  <c r="BS592" i="2"/>
  <c r="BR592" i="2"/>
  <c r="BQ592" i="2"/>
  <c r="BW592" i="2" s="1"/>
  <c r="BP592" i="2"/>
  <c r="BO592" i="2"/>
  <c r="BN592" i="2"/>
  <c r="BM592" i="2"/>
  <c r="BL592" i="2"/>
  <c r="BK592" i="2"/>
  <c r="BY591" i="2"/>
  <c r="BX591" i="2"/>
  <c r="BS591" i="2"/>
  <c r="BR591" i="2"/>
  <c r="BQ591" i="2"/>
  <c r="BW591" i="2" s="1"/>
  <c r="BP591" i="2"/>
  <c r="BO591" i="2"/>
  <c r="BN591" i="2"/>
  <c r="BM591" i="2"/>
  <c r="BL591" i="2"/>
  <c r="BK591" i="2"/>
  <c r="BY590" i="2"/>
  <c r="BX590" i="2"/>
  <c r="BS590" i="2"/>
  <c r="BR590" i="2"/>
  <c r="BQ590" i="2"/>
  <c r="BP590" i="2"/>
  <c r="BO590" i="2"/>
  <c r="BN590" i="2"/>
  <c r="BM590" i="2"/>
  <c r="BL590" i="2"/>
  <c r="BK590" i="2"/>
  <c r="BY589" i="2"/>
  <c r="BX589" i="2"/>
  <c r="BS589" i="2"/>
  <c r="BR589" i="2"/>
  <c r="BQ589" i="2"/>
  <c r="BW589" i="2" s="1"/>
  <c r="BP589" i="2"/>
  <c r="BO589" i="2"/>
  <c r="BN589" i="2"/>
  <c r="BM589" i="2"/>
  <c r="BL589" i="2"/>
  <c r="BK589" i="2"/>
  <c r="BY588" i="2"/>
  <c r="BX588" i="2"/>
  <c r="BS588" i="2"/>
  <c r="BR588" i="2"/>
  <c r="BQ588" i="2"/>
  <c r="BW588" i="2" s="1"/>
  <c r="BP588" i="2"/>
  <c r="BO588" i="2"/>
  <c r="BZ588" i="2" s="1"/>
  <c r="BN588" i="2"/>
  <c r="BM588" i="2"/>
  <c r="BL588" i="2"/>
  <c r="BK588" i="2"/>
  <c r="BY587" i="2"/>
  <c r="BX587" i="2"/>
  <c r="BS587" i="2"/>
  <c r="BR587" i="2"/>
  <c r="BQ587" i="2"/>
  <c r="BW587" i="2" s="1"/>
  <c r="BP587" i="2"/>
  <c r="BO587" i="2"/>
  <c r="BN587" i="2"/>
  <c r="BM587" i="2"/>
  <c r="BL587" i="2"/>
  <c r="BK587" i="2"/>
  <c r="BY586" i="2"/>
  <c r="BX586" i="2"/>
  <c r="BS586" i="2"/>
  <c r="BR586" i="2"/>
  <c r="BQ586" i="2"/>
  <c r="BW586" i="2" s="1"/>
  <c r="BP586" i="2"/>
  <c r="BO586" i="2"/>
  <c r="BN586" i="2"/>
  <c r="BM586" i="2"/>
  <c r="BL586" i="2"/>
  <c r="BK586" i="2"/>
  <c r="BY585" i="2"/>
  <c r="BX585" i="2"/>
  <c r="BS585" i="2"/>
  <c r="BR585" i="2"/>
  <c r="BQ585" i="2"/>
  <c r="BW585" i="2" s="1"/>
  <c r="BP585" i="2"/>
  <c r="BO585" i="2"/>
  <c r="BZ585" i="2" s="1"/>
  <c r="BN585" i="2"/>
  <c r="BM585" i="2"/>
  <c r="BL585" i="2"/>
  <c r="BK585" i="2"/>
  <c r="BY584" i="2"/>
  <c r="BX584" i="2"/>
  <c r="BS584" i="2"/>
  <c r="BR584" i="2"/>
  <c r="BQ584" i="2"/>
  <c r="BP584" i="2"/>
  <c r="BO584" i="2"/>
  <c r="BZ584" i="2" s="1"/>
  <c r="BN584" i="2"/>
  <c r="BM584" i="2"/>
  <c r="BL584" i="2"/>
  <c r="BK584" i="2"/>
  <c r="BY583" i="2"/>
  <c r="BX583" i="2"/>
  <c r="BS583" i="2"/>
  <c r="BR583" i="2"/>
  <c r="BQ583" i="2"/>
  <c r="BP583" i="2"/>
  <c r="BO583" i="2"/>
  <c r="BN583" i="2"/>
  <c r="BM583" i="2"/>
  <c r="BL583" i="2"/>
  <c r="BK583" i="2"/>
  <c r="BY582" i="2"/>
  <c r="BX582" i="2"/>
  <c r="BS582" i="2"/>
  <c r="BR582" i="2"/>
  <c r="BQ582" i="2"/>
  <c r="BW582" i="2" s="1"/>
  <c r="BP582" i="2"/>
  <c r="BO582" i="2"/>
  <c r="BZ582" i="2" s="1"/>
  <c r="BN582" i="2"/>
  <c r="BM582" i="2"/>
  <c r="BL582" i="2"/>
  <c r="BK582" i="2"/>
  <c r="BY581" i="2"/>
  <c r="BX581" i="2"/>
  <c r="BS581" i="2"/>
  <c r="BR581" i="2"/>
  <c r="BQ581" i="2"/>
  <c r="BW581" i="2" s="1"/>
  <c r="BP581" i="2"/>
  <c r="BO581" i="2"/>
  <c r="BZ581" i="2" s="1"/>
  <c r="BN581" i="2"/>
  <c r="BM581" i="2"/>
  <c r="BL581" i="2"/>
  <c r="BK581" i="2"/>
  <c r="BY580" i="2"/>
  <c r="BX580" i="2"/>
  <c r="BS580" i="2"/>
  <c r="BR580" i="2"/>
  <c r="BQ580" i="2"/>
  <c r="BW580" i="2" s="1"/>
  <c r="BP580" i="2"/>
  <c r="BO580" i="2"/>
  <c r="BN580" i="2"/>
  <c r="BM580" i="2"/>
  <c r="BL580" i="2"/>
  <c r="BK580" i="2"/>
  <c r="BY579" i="2"/>
  <c r="BX579" i="2"/>
  <c r="BS579" i="2"/>
  <c r="BR579" i="2"/>
  <c r="BQ579" i="2"/>
  <c r="BW579" i="2" s="1"/>
  <c r="BP579" i="2"/>
  <c r="BO579" i="2"/>
  <c r="BN579" i="2"/>
  <c r="BM579" i="2"/>
  <c r="BL579" i="2"/>
  <c r="BK579" i="2"/>
  <c r="BY578" i="2"/>
  <c r="BX578" i="2"/>
  <c r="BS578" i="2"/>
  <c r="BR578" i="2"/>
  <c r="BQ578" i="2"/>
  <c r="BW578" i="2" s="1"/>
  <c r="BP578" i="2"/>
  <c r="BO578" i="2"/>
  <c r="BN578" i="2"/>
  <c r="BM578" i="2"/>
  <c r="BL578" i="2"/>
  <c r="BK578" i="2"/>
  <c r="BY577" i="2"/>
  <c r="BX577" i="2"/>
  <c r="BS577" i="2"/>
  <c r="BR577" i="2"/>
  <c r="BQ577" i="2"/>
  <c r="BW577" i="2" s="1"/>
  <c r="BP577" i="2"/>
  <c r="BO577" i="2"/>
  <c r="BN577" i="2"/>
  <c r="BM577" i="2"/>
  <c r="BL577" i="2"/>
  <c r="BK577" i="2"/>
  <c r="BY576" i="2"/>
  <c r="BX576" i="2"/>
  <c r="BS576" i="2"/>
  <c r="BR576" i="2"/>
  <c r="BQ576" i="2"/>
  <c r="BP576" i="2"/>
  <c r="BO576" i="2"/>
  <c r="BN576" i="2"/>
  <c r="BM576" i="2"/>
  <c r="BL576" i="2"/>
  <c r="BK576" i="2"/>
  <c r="BY575" i="2"/>
  <c r="BX575" i="2"/>
  <c r="BS575" i="2"/>
  <c r="BR575" i="2"/>
  <c r="BQ575" i="2"/>
  <c r="BP575" i="2"/>
  <c r="BO575" i="2"/>
  <c r="BZ575" i="2" s="1"/>
  <c r="BN575" i="2"/>
  <c r="BM575" i="2"/>
  <c r="BL575" i="2"/>
  <c r="BK575" i="2"/>
  <c r="BY574" i="2"/>
  <c r="BX574" i="2"/>
  <c r="BS574" i="2"/>
  <c r="BR574" i="2"/>
  <c r="BQ574" i="2"/>
  <c r="BP574" i="2"/>
  <c r="BO574" i="2"/>
  <c r="BZ574" i="2" s="1"/>
  <c r="BN574" i="2"/>
  <c r="BM574" i="2"/>
  <c r="BL574" i="2"/>
  <c r="BK574" i="2"/>
  <c r="BY573" i="2"/>
  <c r="BX573" i="2"/>
  <c r="BS573" i="2"/>
  <c r="BR573" i="2"/>
  <c r="BQ573" i="2"/>
  <c r="BW573" i="2" s="1"/>
  <c r="BP573" i="2"/>
  <c r="BO573" i="2"/>
  <c r="BZ573" i="2" s="1"/>
  <c r="BN573" i="2"/>
  <c r="BM573" i="2"/>
  <c r="BL573" i="2"/>
  <c r="BK573" i="2"/>
  <c r="BY572" i="2"/>
  <c r="BX572" i="2"/>
  <c r="BS572" i="2"/>
  <c r="BR572" i="2"/>
  <c r="BQ572" i="2"/>
  <c r="BW572" i="2" s="1"/>
  <c r="BP572" i="2"/>
  <c r="BO572" i="2"/>
  <c r="BZ572" i="2" s="1"/>
  <c r="BN572" i="2"/>
  <c r="BM572" i="2"/>
  <c r="BL572" i="2"/>
  <c r="BK572" i="2"/>
  <c r="BY571" i="2"/>
  <c r="BX571" i="2"/>
  <c r="BS571" i="2"/>
  <c r="BR571" i="2"/>
  <c r="BQ571" i="2"/>
  <c r="BW571" i="2" s="1"/>
  <c r="BP571" i="2"/>
  <c r="BO571" i="2"/>
  <c r="BZ571" i="2" s="1"/>
  <c r="BN571" i="2"/>
  <c r="BM571" i="2"/>
  <c r="BL571" i="2"/>
  <c r="BK571" i="2"/>
  <c r="BY570" i="2"/>
  <c r="BX570" i="2"/>
  <c r="BS570" i="2"/>
  <c r="BR570" i="2"/>
  <c r="BQ570" i="2"/>
  <c r="BP570" i="2"/>
  <c r="BO570" i="2"/>
  <c r="BZ570" i="2" s="1"/>
  <c r="BN570" i="2"/>
  <c r="BM570" i="2"/>
  <c r="BL570" i="2"/>
  <c r="BK570" i="2"/>
  <c r="BY569" i="2"/>
  <c r="BX569" i="2"/>
  <c r="BS569" i="2"/>
  <c r="BR569" i="2"/>
  <c r="BQ569" i="2"/>
  <c r="BW569" i="2" s="1"/>
  <c r="BP569" i="2"/>
  <c r="BO569" i="2"/>
  <c r="BZ569" i="2" s="1"/>
  <c r="BN569" i="2"/>
  <c r="BM569" i="2"/>
  <c r="BL569" i="2"/>
  <c r="BK569" i="2"/>
  <c r="BY568" i="2"/>
  <c r="BX568" i="2"/>
  <c r="BS568" i="2"/>
  <c r="BR568" i="2"/>
  <c r="BQ568" i="2"/>
  <c r="BW568" i="2" s="1"/>
  <c r="BP568" i="2"/>
  <c r="BO568" i="2"/>
  <c r="BZ568" i="2" s="1"/>
  <c r="BN568" i="2"/>
  <c r="BM568" i="2"/>
  <c r="BL568" i="2"/>
  <c r="BK568" i="2"/>
  <c r="BY567" i="2"/>
  <c r="BX567" i="2"/>
  <c r="BS567" i="2"/>
  <c r="BR567" i="2"/>
  <c r="BQ567" i="2"/>
  <c r="BP567" i="2"/>
  <c r="BO567" i="2"/>
  <c r="BZ567" i="2" s="1"/>
  <c r="BN567" i="2"/>
  <c r="BM567" i="2"/>
  <c r="BL567" i="2"/>
  <c r="BK567" i="2"/>
  <c r="BY566" i="2"/>
  <c r="BX566" i="2"/>
  <c r="BS566" i="2"/>
  <c r="BR566" i="2"/>
  <c r="BQ566" i="2"/>
  <c r="BP566" i="2"/>
  <c r="BO566" i="2"/>
  <c r="BZ566" i="2" s="1"/>
  <c r="BN566" i="2"/>
  <c r="BM566" i="2"/>
  <c r="BL566" i="2"/>
  <c r="BK566" i="2"/>
  <c r="BY565" i="2"/>
  <c r="BX565" i="2"/>
  <c r="BS565" i="2"/>
  <c r="BR565" i="2"/>
  <c r="BQ565" i="2"/>
  <c r="BW565" i="2" s="1"/>
  <c r="BP565" i="2"/>
  <c r="BO565" i="2"/>
  <c r="BZ565" i="2" s="1"/>
  <c r="BN565" i="2"/>
  <c r="BM565" i="2"/>
  <c r="BL565" i="2"/>
  <c r="BK565" i="2"/>
  <c r="BY564" i="2"/>
  <c r="BX564" i="2"/>
  <c r="BS564" i="2"/>
  <c r="BR564" i="2"/>
  <c r="BQ564" i="2"/>
  <c r="BP564" i="2"/>
  <c r="BO564" i="2"/>
  <c r="BZ564" i="2" s="1"/>
  <c r="BN564" i="2"/>
  <c r="BM564" i="2"/>
  <c r="BL564" i="2"/>
  <c r="BK564" i="2"/>
  <c r="BY563" i="2"/>
  <c r="BX563" i="2"/>
  <c r="BS563" i="2"/>
  <c r="BR563" i="2"/>
  <c r="BQ563" i="2"/>
  <c r="BW563" i="2" s="1"/>
  <c r="BP563" i="2"/>
  <c r="BO563" i="2"/>
  <c r="BN563" i="2"/>
  <c r="BM563" i="2"/>
  <c r="BL563" i="2"/>
  <c r="BK563" i="2"/>
  <c r="BY562" i="2"/>
  <c r="BX562" i="2"/>
  <c r="BS562" i="2"/>
  <c r="BR562" i="2"/>
  <c r="BQ562" i="2"/>
  <c r="BP562" i="2"/>
  <c r="BO562" i="2"/>
  <c r="BZ562" i="2" s="1"/>
  <c r="BN562" i="2"/>
  <c r="BM562" i="2"/>
  <c r="BL562" i="2"/>
  <c r="BK562" i="2"/>
  <c r="BY561" i="2"/>
  <c r="BX561" i="2"/>
  <c r="BS561" i="2"/>
  <c r="BR561" i="2"/>
  <c r="BQ561" i="2"/>
  <c r="BP561" i="2"/>
  <c r="BO561" i="2"/>
  <c r="BZ561" i="2" s="1"/>
  <c r="BN561" i="2"/>
  <c r="BM561" i="2"/>
  <c r="BL561" i="2"/>
  <c r="BK561" i="2"/>
  <c r="BY560" i="2"/>
  <c r="BX560" i="2"/>
  <c r="BS560" i="2"/>
  <c r="BR560" i="2"/>
  <c r="BQ560" i="2"/>
  <c r="BW560" i="2" s="1"/>
  <c r="BP560" i="2"/>
  <c r="BO560" i="2"/>
  <c r="BN560" i="2"/>
  <c r="BM560" i="2"/>
  <c r="BL560" i="2"/>
  <c r="BK560" i="2"/>
  <c r="BY559" i="2"/>
  <c r="BX559" i="2"/>
  <c r="BS559" i="2"/>
  <c r="BR559" i="2"/>
  <c r="BQ559" i="2"/>
  <c r="BW559" i="2" s="1"/>
  <c r="BP559" i="2"/>
  <c r="BO559" i="2"/>
  <c r="BN559" i="2"/>
  <c r="BM559" i="2"/>
  <c r="BL559" i="2"/>
  <c r="BK559" i="2"/>
  <c r="BY558" i="2"/>
  <c r="BX558" i="2"/>
  <c r="BS558" i="2"/>
  <c r="BR558" i="2"/>
  <c r="BQ558" i="2"/>
  <c r="BP558" i="2"/>
  <c r="BO558" i="2"/>
  <c r="BN558" i="2"/>
  <c r="BM558" i="2"/>
  <c r="BL558" i="2"/>
  <c r="BK558" i="2"/>
  <c r="BY557" i="2"/>
  <c r="BX557" i="2"/>
  <c r="BS557" i="2"/>
  <c r="BR557" i="2"/>
  <c r="BQ557" i="2"/>
  <c r="BW557" i="2" s="1"/>
  <c r="BP557" i="2"/>
  <c r="BO557" i="2"/>
  <c r="BN557" i="2"/>
  <c r="BM557" i="2"/>
  <c r="BL557" i="2"/>
  <c r="BK557" i="2"/>
  <c r="BY556" i="2"/>
  <c r="BX556" i="2"/>
  <c r="BS556" i="2"/>
  <c r="BR556" i="2"/>
  <c r="BQ556" i="2"/>
  <c r="BW556" i="2" s="1"/>
  <c r="BP556" i="2"/>
  <c r="BO556" i="2"/>
  <c r="BN556" i="2"/>
  <c r="BM556" i="2"/>
  <c r="BL556" i="2"/>
  <c r="BK556" i="2"/>
  <c r="BY555" i="2"/>
  <c r="BX555" i="2"/>
  <c r="BS555" i="2"/>
  <c r="BR555" i="2"/>
  <c r="BQ555" i="2"/>
  <c r="BP555" i="2"/>
  <c r="BO555" i="2"/>
  <c r="BN555" i="2"/>
  <c r="BM555" i="2"/>
  <c r="BL555" i="2"/>
  <c r="BK555" i="2"/>
  <c r="BY554" i="2"/>
  <c r="BX554" i="2"/>
  <c r="BS554" i="2"/>
  <c r="BR554" i="2"/>
  <c r="BQ554" i="2"/>
  <c r="BP554" i="2"/>
  <c r="BO554" i="2"/>
  <c r="BN554" i="2"/>
  <c r="BM554" i="2"/>
  <c r="BL554" i="2"/>
  <c r="BK554" i="2"/>
  <c r="BY553" i="2"/>
  <c r="BX553" i="2"/>
  <c r="BS553" i="2"/>
  <c r="BR553" i="2"/>
  <c r="BQ553" i="2"/>
  <c r="BW553" i="2" s="1"/>
  <c r="BP553" i="2"/>
  <c r="BO553" i="2"/>
  <c r="BN553" i="2"/>
  <c r="BM553" i="2"/>
  <c r="BL553" i="2"/>
  <c r="BK553" i="2"/>
  <c r="BY552" i="2"/>
  <c r="BX552" i="2"/>
  <c r="BS552" i="2"/>
  <c r="BR552" i="2"/>
  <c r="BQ552" i="2"/>
  <c r="BW552" i="2" s="1"/>
  <c r="BP552" i="2"/>
  <c r="BO552" i="2"/>
  <c r="BN552" i="2"/>
  <c r="BM552" i="2"/>
  <c r="BL552" i="2"/>
  <c r="BK552" i="2"/>
  <c r="BY551" i="2"/>
  <c r="BX551" i="2"/>
  <c r="BS551" i="2"/>
  <c r="BR551" i="2"/>
  <c r="BQ551" i="2"/>
  <c r="BW551" i="2" s="1"/>
  <c r="BP551" i="2"/>
  <c r="BO551" i="2"/>
  <c r="BN551" i="2"/>
  <c r="BM551" i="2"/>
  <c r="BL551" i="2"/>
  <c r="BK551" i="2"/>
  <c r="BY550" i="2"/>
  <c r="BX550" i="2"/>
  <c r="BS550" i="2"/>
  <c r="BR550" i="2"/>
  <c r="BQ550" i="2"/>
  <c r="BW550" i="2" s="1"/>
  <c r="BP550" i="2"/>
  <c r="BO550" i="2"/>
  <c r="BZ550" i="2" s="1"/>
  <c r="BN550" i="2"/>
  <c r="BM550" i="2"/>
  <c r="BL550" i="2"/>
  <c r="BK550" i="2"/>
  <c r="BY549" i="2"/>
  <c r="BX549" i="2"/>
  <c r="BS549" i="2"/>
  <c r="BR549" i="2"/>
  <c r="BQ549" i="2"/>
  <c r="BW549" i="2" s="1"/>
  <c r="BP549" i="2"/>
  <c r="BO549" i="2"/>
  <c r="BZ549" i="2" s="1"/>
  <c r="BN549" i="2"/>
  <c r="BM549" i="2"/>
  <c r="BL549" i="2"/>
  <c r="BK549" i="2"/>
  <c r="BY548" i="2"/>
  <c r="BX548" i="2"/>
  <c r="BS548" i="2"/>
  <c r="BR548" i="2"/>
  <c r="BQ548" i="2"/>
  <c r="BW548" i="2" s="1"/>
  <c r="BP548" i="2"/>
  <c r="BO548" i="2"/>
  <c r="BN548" i="2"/>
  <c r="BM548" i="2"/>
  <c r="BL548" i="2"/>
  <c r="BK548" i="2"/>
  <c r="BY547" i="2"/>
  <c r="BX547" i="2"/>
  <c r="BS547" i="2"/>
  <c r="BR547" i="2"/>
  <c r="BQ547" i="2"/>
  <c r="BP547" i="2"/>
  <c r="BO547" i="2"/>
  <c r="BN547" i="2"/>
  <c r="BM547" i="2"/>
  <c r="BL547" i="2"/>
  <c r="BK547" i="2"/>
  <c r="BY546" i="2"/>
  <c r="BX546" i="2"/>
  <c r="BS546" i="2"/>
  <c r="BR546" i="2"/>
  <c r="BQ546" i="2"/>
  <c r="BW546" i="2" s="1"/>
  <c r="BP546" i="2"/>
  <c r="BO546" i="2"/>
  <c r="BN546" i="2"/>
  <c r="BM546" i="2"/>
  <c r="BL546" i="2"/>
  <c r="BK546" i="2"/>
  <c r="BY545" i="2"/>
  <c r="BX545" i="2"/>
  <c r="BS545" i="2"/>
  <c r="BR545" i="2"/>
  <c r="BQ545" i="2"/>
  <c r="BP545" i="2"/>
  <c r="BO545" i="2"/>
  <c r="BN545" i="2"/>
  <c r="BM545" i="2"/>
  <c r="BL545" i="2"/>
  <c r="BK545" i="2"/>
  <c r="BY544" i="2"/>
  <c r="BX544" i="2"/>
  <c r="BS544" i="2"/>
  <c r="BR544" i="2"/>
  <c r="BQ544" i="2"/>
  <c r="BP544" i="2"/>
  <c r="BO544" i="2"/>
  <c r="BN544" i="2"/>
  <c r="BM544" i="2"/>
  <c r="BL544" i="2"/>
  <c r="BK544" i="2"/>
  <c r="BY543" i="2"/>
  <c r="BX543" i="2"/>
  <c r="BS543" i="2"/>
  <c r="BR543" i="2"/>
  <c r="BQ543" i="2"/>
  <c r="BW543" i="2" s="1"/>
  <c r="BP543" i="2"/>
  <c r="BO543" i="2"/>
  <c r="BZ543" i="2" s="1"/>
  <c r="BN543" i="2"/>
  <c r="BM543" i="2"/>
  <c r="BL543" i="2"/>
  <c r="BK543" i="2"/>
  <c r="BY542" i="2"/>
  <c r="BX542" i="2"/>
  <c r="BS542" i="2"/>
  <c r="BR542" i="2"/>
  <c r="BQ542" i="2"/>
  <c r="BW542" i="2" s="1"/>
  <c r="BP542" i="2"/>
  <c r="BO542" i="2"/>
  <c r="BZ542" i="2" s="1"/>
  <c r="BN542" i="2"/>
  <c r="BM542" i="2"/>
  <c r="BL542" i="2"/>
  <c r="BK542" i="2"/>
  <c r="BY541" i="2"/>
  <c r="BX541" i="2"/>
  <c r="BS541" i="2"/>
  <c r="BR541" i="2"/>
  <c r="BQ541" i="2"/>
  <c r="BP541" i="2"/>
  <c r="BO541" i="2"/>
  <c r="BZ541" i="2" s="1"/>
  <c r="BN541" i="2"/>
  <c r="BM541" i="2"/>
  <c r="BL541" i="2"/>
  <c r="BK541" i="2"/>
  <c r="BY540" i="2"/>
  <c r="BX540" i="2"/>
  <c r="BS540" i="2"/>
  <c r="BR540" i="2"/>
  <c r="BQ540" i="2"/>
  <c r="BP540" i="2"/>
  <c r="BO540" i="2"/>
  <c r="BZ540" i="2" s="1"/>
  <c r="BN540" i="2"/>
  <c r="BM540" i="2"/>
  <c r="BL540" i="2"/>
  <c r="BK540" i="2"/>
  <c r="BY539" i="2"/>
  <c r="BX539" i="2"/>
  <c r="BS539" i="2"/>
  <c r="BR539" i="2"/>
  <c r="BQ539" i="2"/>
  <c r="BP539" i="2"/>
  <c r="BO539" i="2"/>
  <c r="BN539" i="2"/>
  <c r="BM539" i="2"/>
  <c r="BL539" i="2"/>
  <c r="BK539" i="2"/>
  <c r="BY538" i="2"/>
  <c r="BX538" i="2"/>
  <c r="BS538" i="2"/>
  <c r="BR538" i="2"/>
  <c r="BQ538" i="2"/>
  <c r="BW538" i="2" s="1"/>
  <c r="BP538" i="2"/>
  <c r="BO538" i="2"/>
  <c r="BN538" i="2"/>
  <c r="BM538" i="2"/>
  <c r="BL538" i="2"/>
  <c r="BK538" i="2"/>
  <c r="BY537" i="2"/>
  <c r="BX537" i="2"/>
  <c r="BS537" i="2"/>
  <c r="BR537" i="2"/>
  <c r="BQ537" i="2"/>
  <c r="BP537" i="2"/>
  <c r="BO537" i="2"/>
  <c r="BZ537" i="2" s="1"/>
  <c r="BN537" i="2"/>
  <c r="BM537" i="2"/>
  <c r="BL537" i="2"/>
  <c r="BK537" i="2"/>
  <c r="BY536" i="2"/>
  <c r="BX536" i="2"/>
  <c r="BS536" i="2"/>
  <c r="BR536" i="2"/>
  <c r="BQ536" i="2"/>
  <c r="BP536" i="2"/>
  <c r="BO536" i="2"/>
  <c r="BN536" i="2"/>
  <c r="BM536" i="2"/>
  <c r="BL536" i="2"/>
  <c r="BK536" i="2"/>
  <c r="BY535" i="2"/>
  <c r="BX535" i="2"/>
  <c r="BS535" i="2"/>
  <c r="BR535" i="2"/>
  <c r="BQ535" i="2"/>
  <c r="BP535" i="2"/>
  <c r="BO535" i="2"/>
  <c r="BN535" i="2"/>
  <c r="BM535" i="2"/>
  <c r="BL535" i="2"/>
  <c r="BK535" i="2"/>
  <c r="BY534" i="2"/>
  <c r="BX534" i="2"/>
  <c r="BS534" i="2"/>
  <c r="BR534" i="2"/>
  <c r="BQ534" i="2"/>
  <c r="BW534" i="2" s="1"/>
  <c r="BP534" i="2"/>
  <c r="BO534" i="2"/>
  <c r="BN534" i="2"/>
  <c r="BM534" i="2"/>
  <c r="BL534" i="2"/>
  <c r="BK534" i="2"/>
  <c r="BY533" i="2"/>
  <c r="BX533" i="2"/>
  <c r="BS533" i="2"/>
  <c r="BR533" i="2"/>
  <c r="BQ533" i="2"/>
  <c r="BP533" i="2"/>
  <c r="BO533" i="2"/>
  <c r="BN533" i="2"/>
  <c r="BM533" i="2"/>
  <c r="BL533" i="2"/>
  <c r="BK533" i="2"/>
  <c r="BY532" i="2"/>
  <c r="BX532" i="2"/>
  <c r="BS532" i="2"/>
  <c r="BR532" i="2"/>
  <c r="BQ532" i="2"/>
  <c r="BW532" i="2" s="1"/>
  <c r="BP532" i="2"/>
  <c r="BO532" i="2"/>
  <c r="BN532" i="2"/>
  <c r="BM532" i="2"/>
  <c r="BL532" i="2"/>
  <c r="BK532" i="2"/>
  <c r="BY531" i="2"/>
  <c r="BX531" i="2"/>
  <c r="BS531" i="2"/>
  <c r="BR531" i="2"/>
  <c r="BQ531" i="2"/>
  <c r="BW531" i="2" s="1"/>
  <c r="BP531" i="2"/>
  <c r="BO531" i="2"/>
  <c r="BN531" i="2"/>
  <c r="BM531" i="2"/>
  <c r="BL531" i="2"/>
  <c r="BK531" i="2"/>
  <c r="BY530" i="2"/>
  <c r="BX530" i="2"/>
  <c r="BS530" i="2"/>
  <c r="BR530" i="2"/>
  <c r="BQ530" i="2"/>
  <c r="BP530" i="2"/>
  <c r="BO530" i="2"/>
  <c r="BN530" i="2"/>
  <c r="BM530" i="2"/>
  <c r="BL530" i="2"/>
  <c r="BK530" i="2"/>
  <c r="BY529" i="2"/>
  <c r="BX529" i="2"/>
  <c r="BS529" i="2"/>
  <c r="BR529" i="2"/>
  <c r="BQ529" i="2"/>
  <c r="BW529" i="2" s="1"/>
  <c r="BP529" i="2"/>
  <c r="BO529" i="2"/>
  <c r="BN529" i="2"/>
  <c r="BM529" i="2"/>
  <c r="BL529" i="2"/>
  <c r="BK529" i="2"/>
  <c r="BY528" i="2"/>
  <c r="BX528" i="2"/>
  <c r="BS528" i="2"/>
  <c r="BR528" i="2"/>
  <c r="BQ528" i="2"/>
  <c r="BW528" i="2" s="1"/>
  <c r="BP528" i="2"/>
  <c r="BO528" i="2"/>
  <c r="BN528" i="2"/>
  <c r="BM528" i="2"/>
  <c r="BL528" i="2"/>
  <c r="BK528" i="2"/>
  <c r="BY527" i="2"/>
  <c r="BX527" i="2"/>
  <c r="BS527" i="2"/>
  <c r="BR527" i="2"/>
  <c r="BQ527" i="2"/>
  <c r="BW527" i="2" s="1"/>
  <c r="BP527" i="2"/>
  <c r="BO527" i="2"/>
  <c r="BN527" i="2"/>
  <c r="BM527" i="2"/>
  <c r="BL527" i="2"/>
  <c r="BK527" i="2"/>
  <c r="BY526" i="2"/>
  <c r="BX526" i="2"/>
  <c r="BS526" i="2"/>
  <c r="BR526" i="2"/>
  <c r="BQ526" i="2"/>
  <c r="BW526" i="2" s="1"/>
  <c r="BP526" i="2"/>
  <c r="BO526" i="2"/>
  <c r="BN526" i="2"/>
  <c r="BM526" i="2"/>
  <c r="BL526" i="2"/>
  <c r="BK526" i="2"/>
  <c r="BY525" i="2"/>
  <c r="BX525" i="2"/>
  <c r="BS525" i="2"/>
  <c r="BR525" i="2"/>
  <c r="BQ525" i="2"/>
  <c r="BW525" i="2" s="1"/>
  <c r="BP525" i="2"/>
  <c r="BO525" i="2"/>
  <c r="BN525" i="2"/>
  <c r="BM525" i="2"/>
  <c r="BL525" i="2"/>
  <c r="BK525" i="2"/>
  <c r="BY524" i="2"/>
  <c r="BX524" i="2"/>
  <c r="BS524" i="2"/>
  <c r="BR524" i="2"/>
  <c r="BQ524" i="2"/>
  <c r="BP524" i="2"/>
  <c r="BO524" i="2"/>
  <c r="BN524" i="2"/>
  <c r="BM524" i="2"/>
  <c r="BL524" i="2"/>
  <c r="BK524" i="2"/>
  <c r="BY523" i="2"/>
  <c r="BX523" i="2"/>
  <c r="BS523" i="2"/>
  <c r="BR523" i="2"/>
  <c r="BQ523" i="2"/>
  <c r="BP523" i="2"/>
  <c r="BO523" i="2"/>
  <c r="BN523" i="2"/>
  <c r="BM523" i="2"/>
  <c r="BL523" i="2"/>
  <c r="BK523" i="2"/>
  <c r="BY522" i="2"/>
  <c r="BX522" i="2"/>
  <c r="BS522" i="2"/>
  <c r="BR522" i="2"/>
  <c r="BQ522" i="2"/>
  <c r="BW522" i="2" s="1"/>
  <c r="BP522" i="2"/>
  <c r="BO522" i="2"/>
  <c r="BN522" i="2"/>
  <c r="BM522" i="2"/>
  <c r="BL522" i="2"/>
  <c r="BK522" i="2"/>
  <c r="BY521" i="2"/>
  <c r="BX521" i="2"/>
  <c r="BS521" i="2"/>
  <c r="BR521" i="2"/>
  <c r="BQ521" i="2"/>
  <c r="BW521" i="2" s="1"/>
  <c r="BP521" i="2"/>
  <c r="BO521" i="2"/>
  <c r="BN521" i="2"/>
  <c r="BM521" i="2"/>
  <c r="BL521" i="2"/>
  <c r="BK521" i="2"/>
  <c r="BY520" i="2"/>
  <c r="BX520" i="2"/>
  <c r="BS520" i="2"/>
  <c r="BR520" i="2"/>
  <c r="BQ520" i="2"/>
  <c r="BW520" i="2" s="1"/>
  <c r="BP520" i="2"/>
  <c r="BO520" i="2"/>
  <c r="BN520" i="2"/>
  <c r="BM520" i="2"/>
  <c r="BL520" i="2"/>
  <c r="BK520" i="2"/>
  <c r="BY519" i="2"/>
  <c r="BX519" i="2"/>
  <c r="BS519" i="2"/>
  <c r="BR519" i="2"/>
  <c r="BQ519" i="2"/>
  <c r="BW519" i="2" s="1"/>
  <c r="BP519" i="2"/>
  <c r="BO519" i="2"/>
  <c r="BN519" i="2"/>
  <c r="BM519" i="2"/>
  <c r="BL519" i="2"/>
  <c r="BK519" i="2"/>
  <c r="BY518" i="2"/>
  <c r="BX518" i="2"/>
  <c r="BS518" i="2"/>
  <c r="BR518" i="2"/>
  <c r="BQ518" i="2"/>
  <c r="BP518" i="2"/>
  <c r="BO518" i="2"/>
  <c r="BN518" i="2"/>
  <c r="BM518" i="2"/>
  <c r="BL518" i="2"/>
  <c r="BK518" i="2"/>
  <c r="BY517" i="2"/>
  <c r="BX517" i="2"/>
  <c r="BS517" i="2"/>
  <c r="BR517" i="2"/>
  <c r="BQ517" i="2"/>
  <c r="BP517" i="2"/>
  <c r="BO517" i="2"/>
  <c r="BN517" i="2"/>
  <c r="BM517" i="2"/>
  <c r="BL517" i="2"/>
  <c r="BK517" i="2"/>
  <c r="BY516" i="2"/>
  <c r="BX516" i="2"/>
  <c r="BS516" i="2"/>
  <c r="BR516" i="2"/>
  <c r="BQ516" i="2"/>
  <c r="BW516" i="2" s="1"/>
  <c r="BP516" i="2"/>
  <c r="BO516" i="2"/>
  <c r="BN516" i="2"/>
  <c r="BM516" i="2"/>
  <c r="BL516" i="2"/>
  <c r="BK516" i="2"/>
  <c r="BY515" i="2"/>
  <c r="BX515" i="2"/>
  <c r="BS515" i="2"/>
  <c r="BR515" i="2"/>
  <c r="BQ515" i="2"/>
  <c r="BP515" i="2"/>
  <c r="BO515" i="2"/>
  <c r="BN515" i="2"/>
  <c r="BM515" i="2"/>
  <c r="BL515" i="2"/>
  <c r="BK515" i="2"/>
  <c r="BY514" i="2"/>
  <c r="BX514" i="2"/>
  <c r="BS514" i="2"/>
  <c r="BR514" i="2"/>
  <c r="BQ514" i="2"/>
  <c r="BW514" i="2" s="1"/>
  <c r="BP514" i="2"/>
  <c r="BO514" i="2"/>
  <c r="BN514" i="2"/>
  <c r="BM514" i="2"/>
  <c r="BL514" i="2"/>
  <c r="BK514" i="2"/>
  <c r="BY513" i="2"/>
  <c r="BX513" i="2"/>
  <c r="BS513" i="2"/>
  <c r="BR513" i="2"/>
  <c r="BQ513" i="2"/>
  <c r="BW513" i="2" s="1"/>
  <c r="BP513" i="2"/>
  <c r="BO513" i="2"/>
  <c r="BN513" i="2"/>
  <c r="BM513" i="2"/>
  <c r="BL513" i="2"/>
  <c r="BK513" i="2"/>
  <c r="BY512" i="2"/>
  <c r="BX512" i="2"/>
  <c r="BS512" i="2"/>
  <c r="BR512" i="2"/>
  <c r="BQ512" i="2"/>
  <c r="BP512" i="2"/>
  <c r="BO512" i="2"/>
  <c r="BN512" i="2"/>
  <c r="BM512" i="2"/>
  <c r="BL512" i="2"/>
  <c r="BK512" i="2"/>
  <c r="BY511" i="2"/>
  <c r="BX511" i="2"/>
  <c r="BS511" i="2"/>
  <c r="BR511" i="2"/>
  <c r="BQ511" i="2"/>
  <c r="BW511" i="2" s="1"/>
  <c r="BP511" i="2"/>
  <c r="BO511" i="2"/>
  <c r="BN511" i="2"/>
  <c r="BM511" i="2"/>
  <c r="BL511" i="2"/>
  <c r="BK511" i="2"/>
  <c r="BY510" i="2"/>
  <c r="BX510" i="2"/>
  <c r="BS510" i="2"/>
  <c r="BR510" i="2"/>
  <c r="BQ510" i="2"/>
  <c r="BP510" i="2"/>
  <c r="BO510" i="2"/>
  <c r="BN510" i="2"/>
  <c r="BM510" i="2"/>
  <c r="BL510" i="2"/>
  <c r="BK510" i="2"/>
  <c r="BY509" i="2"/>
  <c r="BX509" i="2"/>
  <c r="BS509" i="2"/>
  <c r="BR509" i="2"/>
  <c r="BQ509" i="2"/>
  <c r="BW509" i="2" s="1"/>
  <c r="BP509" i="2"/>
  <c r="BO509" i="2"/>
  <c r="BN509" i="2"/>
  <c r="BM509" i="2"/>
  <c r="BL509" i="2"/>
  <c r="BK509" i="2"/>
  <c r="BY508" i="2"/>
  <c r="BX508" i="2"/>
  <c r="BS508" i="2"/>
  <c r="BR508" i="2"/>
  <c r="BQ508" i="2"/>
  <c r="BP508" i="2"/>
  <c r="BO508" i="2"/>
  <c r="BN508" i="2"/>
  <c r="BM508" i="2"/>
  <c r="BL508" i="2"/>
  <c r="BK508" i="2"/>
  <c r="BY507" i="2"/>
  <c r="BX507" i="2"/>
  <c r="BS507" i="2"/>
  <c r="BR507" i="2"/>
  <c r="BQ507" i="2"/>
  <c r="BW507" i="2" s="1"/>
  <c r="BP507" i="2"/>
  <c r="BO507" i="2"/>
  <c r="BN507" i="2"/>
  <c r="BM507" i="2"/>
  <c r="BL507" i="2"/>
  <c r="BK507" i="2"/>
  <c r="BY506" i="2"/>
  <c r="BX506" i="2"/>
  <c r="BS506" i="2"/>
  <c r="BR506" i="2"/>
  <c r="BQ506" i="2"/>
  <c r="BP506" i="2"/>
  <c r="BO506" i="2"/>
  <c r="BN506" i="2"/>
  <c r="BM506" i="2"/>
  <c r="BL506" i="2"/>
  <c r="BK506" i="2"/>
  <c r="BY505" i="2"/>
  <c r="BX505" i="2"/>
  <c r="BS505" i="2"/>
  <c r="BR505" i="2"/>
  <c r="BQ505" i="2"/>
  <c r="BP505" i="2"/>
  <c r="BO505" i="2"/>
  <c r="BN505" i="2"/>
  <c r="BM505" i="2"/>
  <c r="BL505" i="2"/>
  <c r="BK505" i="2"/>
  <c r="BY504" i="2"/>
  <c r="BX504" i="2"/>
  <c r="BS504" i="2"/>
  <c r="BR504" i="2"/>
  <c r="BQ504" i="2"/>
  <c r="BP504" i="2"/>
  <c r="BO504" i="2"/>
  <c r="BZ504" i="2" s="1"/>
  <c r="BN504" i="2"/>
  <c r="BM504" i="2"/>
  <c r="BL504" i="2"/>
  <c r="BK504" i="2"/>
  <c r="BY503" i="2"/>
  <c r="BX503" i="2"/>
  <c r="BS503" i="2"/>
  <c r="BR503" i="2"/>
  <c r="BQ503" i="2"/>
  <c r="BW503" i="2" s="1"/>
  <c r="BP503" i="2"/>
  <c r="BO503" i="2"/>
  <c r="BZ503" i="2" s="1"/>
  <c r="BN503" i="2"/>
  <c r="BM503" i="2"/>
  <c r="BL503" i="2"/>
  <c r="BK503" i="2"/>
  <c r="BY502" i="2"/>
  <c r="BX502" i="2"/>
  <c r="BS502" i="2"/>
  <c r="BR502" i="2"/>
  <c r="BQ502" i="2"/>
  <c r="BW502" i="2" s="1"/>
  <c r="BP502" i="2"/>
  <c r="BO502" i="2"/>
  <c r="BZ502" i="2" s="1"/>
  <c r="BN502" i="2"/>
  <c r="BM502" i="2"/>
  <c r="BL502" i="2"/>
  <c r="BK502" i="2"/>
  <c r="BY501" i="2"/>
  <c r="BX501" i="2"/>
  <c r="BS501" i="2"/>
  <c r="BR501" i="2"/>
  <c r="BQ501" i="2"/>
  <c r="BW501" i="2" s="1"/>
  <c r="BP501" i="2"/>
  <c r="BO501" i="2"/>
  <c r="BN501" i="2"/>
  <c r="BM501" i="2"/>
  <c r="BL501" i="2"/>
  <c r="BK501" i="2"/>
  <c r="BY500" i="2"/>
  <c r="BX500" i="2"/>
  <c r="BS500" i="2"/>
  <c r="BR500" i="2"/>
  <c r="BQ500" i="2"/>
  <c r="BW500" i="2" s="1"/>
  <c r="BP500" i="2"/>
  <c r="BO500" i="2"/>
  <c r="BN500" i="2"/>
  <c r="BM500" i="2"/>
  <c r="BL500" i="2"/>
  <c r="BK500" i="2"/>
  <c r="BY499" i="2"/>
  <c r="BX499" i="2"/>
  <c r="BS499" i="2"/>
  <c r="BR499" i="2"/>
  <c r="BQ499" i="2"/>
  <c r="BP499" i="2"/>
  <c r="BO499" i="2"/>
  <c r="BN499" i="2"/>
  <c r="BM499" i="2"/>
  <c r="BL499" i="2"/>
  <c r="BK499" i="2"/>
  <c r="BY498" i="2"/>
  <c r="BX498" i="2"/>
  <c r="BS498" i="2"/>
  <c r="BR498" i="2"/>
  <c r="BQ498" i="2"/>
  <c r="BP498" i="2"/>
  <c r="BO498" i="2"/>
  <c r="BN498" i="2"/>
  <c r="BM498" i="2"/>
  <c r="BL498" i="2"/>
  <c r="BK498" i="2"/>
  <c r="BY497" i="2"/>
  <c r="BX497" i="2"/>
  <c r="BS497" i="2"/>
  <c r="BR497" i="2"/>
  <c r="BQ497" i="2"/>
  <c r="BW497" i="2" s="1"/>
  <c r="BP497" i="2"/>
  <c r="BO497" i="2"/>
  <c r="BN497" i="2"/>
  <c r="BM497" i="2"/>
  <c r="BL497" i="2"/>
  <c r="BK497" i="2"/>
  <c r="BY496" i="2"/>
  <c r="BX496" i="2"/>
  <c r="BS496" i="2"/>
  <c r="BR496" i="2"/>
  <c r="BQ496" i="2"/>
  <c r="BP496" i="2"/>
  <c r="BO496" i="2"/>
  <c r="BN496" i="2"/>
  <c r="BM496" i="2"/>
  <c r="BL496" i="2"/>
  <c r="BK496" i="2"/>
  <c r="BY495" i="2"/>
  <c r="BX495" i="2"/>
  <c r="BS495" i="2"/>
  <c r="BR495" i="2"/>
  <c r="BQ495" i="2"/>
  <c r="BW495" i="2" s="1"/>
  <c r="BP495" i="2"/>
  <c r="BO495" i="2"/>
  <c r="BN495" i="2"/>
  <c r="BM495" i="2"/>
  <c r="BL495" i="2"/>
  <c r="BK495" i="2"/>
  <c r="BY494" i="2"/>
  <c r="BX494" i="2"/>
  <c r="BS494" i="2"/>
  <c r="BR494" i="2"/>
  <c r="BQ494" i="2"/>
  <c r="BW494" i="2" s="1"/>
  <c r="BP494" i="2"/>
  <c r="BO494" i="2"/>
  <c r="BN494" i="2"/>
  <c r="BM494" i="2"/>
  <c r="BL494" i="2"/>
  <c r="BK494" i="2"/>
  <c r="BY493" i="2"/>
  <c r="BX493" i="2"/>
  <c r="BS493" i="2"/>
  <c r="BR493" i="2"/>
  <c r="BQ493" i="2"/>
  <c r="BP493" i="2"/>
  <c r="BO493" i="2"/>
  <c r="BN493" i="2"/>
  <c r="BM493" i="2"/>
  <c r="BL493" i="2"/>
  <c r="BK493" i="2"/>
  <c r="BY492" i="2"/>
  <c r="BX492" i="2"/>
  <c r="BS492" i="2"/>
  <c r="BR492" i="2"/>
  <c r="BQ492" i="2"/>
  <c r="BP492" i="2"/>
  <c r="BO492" i="2"/>
  <c r="BN492" i="2"/>
  <c r="BM492" i="2"/>
  <c r="BL492" i="2"/>
  <c r="BK492" i="2"/>
  <c r="BY491" i="2"/>
  <c r="BX491" i="2"/>
  <c r="BS491" i="2"/>
  <c r="BR491" i="2"/>
  <c r="BQ491" i="2"/>
  <c r="BW491" i="2" s="1"/>
  <c r="BP491" i="2"/>
  <c r="BO491" i="2"/>
  <c r="BN491" i="2"/>
  <c r="BM491" i="2"/>
  <c r="BL491" i="2"/>
  <c r="BK491" i="2"/>
  <c r="BY490" i="2"/>
  <c r="BX490" i="2"/>
  <c r="BS490" i="2"/>
  <c r="BR490" i="2"/>
  <c r="BQ490" i="2"/>
  <c r="BW490" i="2" s="1"/>
  <c r="BP490" i="2"/>
  <c r="BO490" i="2"/>
  <c r="BN490" i="2"/>
  <c r="BM490" i="2"/>
  <c r="BL490" i="2"/>
  <c r="BK490" i="2"/>
  <c r="BY489" i="2"/>
  <c r="BX489" i="2"/>
  <c r="BS489" i="2"/>
  <c r="BR489" i="2"/>
  <c r="BQ489" i="2"/>
  <c r="BW489" i="2" s="1"/>
  <c r="BP489" i="2"/>
  <c r="BO489" i="2"/>
  <c r="BN489" i="2"/>
  <c r="BM489" i="2"/>
  <c r="BL489" i="2"/>
  <c r="BK489" i="2"/>
  <c r="BY488" i="2"/>
  <c r="BX488" i="2"/>
  <c r="BS488" i="2"/>
  <c r="BR488" i="2"/>
  <c r="BQ488" i="2"/>
  <c r="BW488" i="2" s="1"/>
  <c r="BP488" i="2"/>
  <c r="BO488" i="2"/>
  <c r="BN488" i="2"/>
  <c r="BM488" i="2"/>
  <c r="BL488" i="2"/>
  <c r="BK488" i="2"/>
  <c r="BY487" i="2"/>
  <c r="BX487" i="2"/>
  <c r="BS487" i="2"/>
  <c r="BR487" i="2"/>
  <c r="BQ487" i="2"/>
  <c r="BW487" i="2" s="1"/>
  <c r="BP487" i="2"/>
  <c r="BO487" i="2"/>
  <c r="BN487" i="2"/>
  <c r="BM487" i="2"/>
  <c r="BL487" i="2"/>
  <c r="BK487" i="2"/>
  <c r="BY486" i="2"/>
  <c r="BX486" i="2"/>
  <c r="BS486" i="2"/>
  <c r="BR486" i="2"/>
  <c r="BQ486" i="2"/>
  <c r="BP486" i="2"/>
  <c r="BO486" i="2"/>
  <c r="BN486" i="2"/>
  <c r="BM486" i="2"/>
  <c r="BL486" i="2"/>
  <c r="BK486" i="2"/>
  <c r="BY485" i="2"/>
  <c r="BX485" i="2"/>
  <c r="BS485" i="2"/>
  <c r="BR485" i="2"/>
  <c r="BQ485" i="2"/>
  <c r="BW485" i="2" s="1"/>
  <c r="BP485" i="2"/>
  <c r="BO485" i="2"/>
  <c r="BN485" i="2"/>
  <c r="BM485" i="2"/>
  <c r="BL485" i="2"/>
  <c r="BK485" i="2"/>
  <c r="BY484" i="2"/>
  <c r="BX484" i="2"/>
  <c r="BS484" i="2"/>
  <c r="BR484" i="2"/>
  <c r="BQ484" i="2"/>
  <c r="BW484" i="2" s="1"/>
  <c r="BP484" i="2"/>
  <c r="BO484" i="2"/>
  <c r="BN484" i="2"/>
  <c r="BM484" i="2"/>
  <c r="BL484" i="2"/>
  <c r="BK484" i="2"/>
  <c r="BY483" i="2"/>
  <c r="BX483" i="2"/>
  <c r="BS483" i="2"/>
  <c r="BR483" i="2"/>
  <c r="BQ483" i="2"/>
  <c r="BW483" i="2" s="1"/>
  <c r="BP483" i="2"/>
  <c r="BO483" i="2"/>
  <c r="BN483" i="2"/>
  <c r="BM483" i="2"/>
  <c r="BL483" i="2"/>
  <c r="BK483" i="2"/>
  <c r="BY482" i="2"/>
  <c r="BX482" i="2"/>
  <c r="BS482" i="2"/>
  <c r="BR482" i="2"/>
  <c r="BQ482" i="2"/>
  <c r="BP482" i="2"/>
  <c r="BO482" i="2"/>
  <c r="BN482" i="2"/>
  <c r="BM482" i="2"/>
  <c r="BL482" i="2"/>
  <c r="BK482" i="2"/>
  <c r="BY481" i="2"/>
  <c r="BX481" i="2"/>
  <c r="BS481" i="2"/>
  <c r="BR481" i="2"/>
  <c r="BQ481" i="2"/>
  <c r="BW481" i="2" s="1"/>
  <c r="BP481" i="2"/>
  <c r="BO481" i="2"/>
  <c r="BN481" i="2"/>
  <c r="BM481" i="2"/>
  <c r="BL481" i="2"/>
  <c r="BK481" i="2"/>
  <c r="BY480" i="2"/>
  <c r="BX480" i="2"/>
  <c r="BS480" i="2"/>
  <c r="BR480" i="2"/>
  <c r="BQ480" i="2"/>
  <c r="BP480" i="2"/>
  <c r="BO480" i="2"/>
  <c r="BN480" i="2"/>
  <c r="BM480" i="2"/>
  <c r="BL480" i="2"/>
  <c r="BK480" i="2"/>
  <c r="BY479" i="2"/>
  <c r="BX479" i="2"/>
  <c r="BS479" i="2"/>
  <c r="BR479" i="2"/>
  <c r="BQ479" i="2"/>
  <c r="BW479" i="2" s="1"/>
  <c r="BP479" i="2"/>
  <c r="BO479" i="2"/>
  <c r="BN479" i="2"/>
  <c r="BM479" i="2"/>
  <c r="BL479" i="2"/>
  <c r="BK479" i="2"/>
  <c r="BY478" i="2"/>
  <c r="BX478" i="2"/>
  <c r="BS478" i="2"/>
  <c r="BR478" i="2"/>
  <c r="BQ478" i="2"/>
  <c r="BW478" i="2" s="1"/>
  <c r="BP478" i="2"/>
  <c r="BO478" i="2"/>
  <c r="BZ478" i="2" s="1"/>
  <c r="BN478" i="2"/>
  <c r="BM478" i="2"/>
  <c r="BL478" i="2"/>
  <c r="BK478" i="2"/>
  <c r="BY477" i="2"/>
  <c r="BX477" i="2"/>
  <c r="BS477" i="2"/>
  <c r="BR477" i="2"/>
  <c r="BQ477" i="2"/>
  <c r="BW477" i="2" s="1"/>
  <c r="BP477" i="2"/>
  <c r="BO477" i="2"/>
  <c r="BZ477" i="2" s="1"/>
  <c r="BN477" i="2"/>
  <c r="BM477" i="2"/>
  <c r="BL477" i="2"/>
  <c r="BK477" i="2"/>
  <c r="BY476" i="2"/>
  <c r="BX476" i="2"/>
  <c r="BS476" i="2"/>
  <c r="BR476" i="2"/>
  <c r="BQ476" i="2"/>
  <c r="BP476" i="2"/>
  <c r="BO476" i="2"/>
  <c r="BN476" i="2"/>
  <c r="BM476" i="2"/>
  <c r="BL476" i="2"/>
  <c r="BK476" i="2"/>
  <c r="BY475" i="2"/>
  <c r="BX475" i="2"/>
  <c r="BS475" i="2"/>
  <c r="BR475" i="2"/>
  <c r="BQ475" i="2"/>
  <c r="BP475" i="2"/>
  <c r="BO475" i="2"/>
  <c r="BN475" i="2"/>
  <c r="BM475" i="2"/>
  <c r="BL475" i="2"/>
  <c r="BK475" i="2"/>
  <c r="BY474" i="2"/>
  <c r="BX474" i="2"/>
  <c r="BS474" i="2"/>
  <c r="BR474" i="2"/>
  <c r="BQ474" i="2"/>
  <c r="BW474" i="2" s="1"/>
  <c r="BP474" i="2"/>
  <c r="BO474" i="2"/>
  <c r="BN474" i="2"/>
  <c r="BM474" i="2"/>
  <c r="BL474" i="2"/>
  <c r="BK474" i="2"/>
  <c r="BY473" i="2"/>
  <c r="BX473" i="2"/>
  <c r="BS473" i="2"/>
  <c r="BR473" i="2"/>
  <c r="BQ473" i="2"/>
  <c r="BP473" i="2"/>
  <c r="BO473" i="2"/>
  <c r="BN473" i="2"/>
  <c r="BM473" i="2"/>
  <c r="BL473" i="2"/>
  <c r="BK473" i="2"/>
  <c r="BY472" i="2"/>
  <c r="BX472" i="2"/>
  <c r="BS472" i="2"/>
  <c r="BR472" i="2"/>
  <c r="BQ472" i="2"/>
  <c r="BW472" i="2" s="1"/>
  <c r="BP472" i="2"/>
  <c r="BO472" i="2"/>
  <c r="BN472" i="2"/>
  <c r="BM472" i="2"/>
  <c r="BL472" i="2"/>
  <c r="BK472" i="2"/>
  <c r="BY471" i="2"/>
  <c r="BX471" i="2"/>
  <c r="BS471" i="2"/>
  <c r="BR471" i="2"/>
  <c r="BQ471" i="2"/>
  <c r="BW471" i="2" s="1"/>
  <c r="BP471" i="2"/>
  <c r="BO471" i="2"/>
  <c r="BN471" i="2"/>
  <c r="BM471" i="2"/>
  <c r="BL471" i="2"/>
  <c r="BK471" i="2"/>
  <c r="BY470" i="2"/>
  <c r="BX470" i="2"/>
  <c r="BS470" i="2"/>
  <c r="BR470" i="2"/>
  <c r="BQ470" i="2"/>
  <c r="BP470" i="2"/>
  <c r="BO470" i="2"/>
  <c r="BN470" i="2"/>
  <c r="BM470" i="2"/>
  <c r="BL470" i="2"/>
  <c r="BK470" i="2"/>
  <c r="BY469" i="2"/>
  <c r="BX469" i="2"/>
  <c r="BS469" i="2"/>
  <c r="BR469" i="2"/>
  <c r="BQ469" i="2"/>
  <c r="BP469" i="2"/>
  <c r="BO469" i="2"/>
  <c r="BN469" i="2"/>
  <c r="BM469" i="2"/>
  <c r="BL469" i="2"/>
  <c r="BK469" i="2"/>
  <c r="BY468" i="2"/>
  <c r="BX468" i="2"/>
  <c r="BS468" i="2"/>
  <c r="BR468" i="2"/>
  <c r="BQ468" i="2"/>
  <c r="BP468" i="2"/>
  <c r="BO468" i="2"/>
  <c r="BN468" i="2"/>
  <c r="BM468" i="2"/>
  <c r="BL468" i="2"/>
  <c r="BK468" i="2"/>
  <c r="BY467" i="2"/>
  <c r="BX467" i="2"/>
  <c r="BS467" i="2"/>
  <c r="BR467" i="2"/>
  <c r="BQ467" i="2"/>
  <c r="BW467" i="2" s="1"/>
  <c r="BP467" i="2"/>
  <c r="BO467" i="2"/>
  <c r="BN467" i="2"/>
  <c r="BM467" i="2"/>
  <c r="BL467" i="2"/>
  <c r="BK467" i="2"/>
  <c r="BY466" i="2"/>
  <c r="BX466" i="2"/>
  <c r="BS466" i="2"/>
  <c r="BR466" i="2"/>
  <c r="BQ466" i="2"/>
  <c r="BP466" i="2"/>
  <c r="BO466" i="2"/>
  <c r="BZ466" i="2" s="1"/>
  <c r="BN466" i="2"/>
  <c r="BM466" i="2"/>
  <c r="BL466" i="2"/>
  <c r="BK466" i="2"/>
  <c r="BY465" i="2"/>
  <c r="BX465" i="2"/>
  <c r="BS465" i="2"/>
  <c r="BR465" i="2"/>
  <c r="BQ465" i="2"/>
  <c r="BP465" i="2"/>
  <c r="BO465" i="2"/>
  <c r="BN465" i="2"/>
  <c r="BM465" i="2"/>
  <c r="BL465" i="2"/>
  <c r="BK465" i="2"/>
  <c r="BY464" i="2"/>
  <c r="BX464" i="2"/>
  <c r="BS464" i="2"/>
  <c r="BR464" i="2"/>
  <c r="BQ464" i="2"/>
  <c r="BW464" i="2" s="1"/>
  <c r="BP464" i="2"/>
  <c r="BO464" i="2"/>
  <c r="BN464" i="2"/>
  <c r="BM464" i="2"/>
  <c r="BL464" i="2"/>
  <c r="BK464" i="2"/>
  <c r="BY463" i="2"/>
  <c r="BX463" i="2"/>
  <c r="BS463" i="2"/>
  <c r="BR463" i="2"/>
  <c r="BQ463" i="2"/>
  <c r="BP463" i="2"/>
  <c r="BO463" i="2"/>
  <c r="BN463" i="2"/>
  <c r="BM463" i="2"/>
  <c r="BL463" i="2"/>
  <c r="BK463" i="2"/>
  <c r="BY462" i="2"/>
  <c r="BX462" i="2"/>
  <c r="BS462" i="2"/>
  <c r="BR462" i="2"/>
  <c r="BQ462" i="2"/>
  <c r="BP462" i="2"/>
  <c r="BO462" i="2"/>
  <c r="BN462" i="2"/>
  <c r="BM462" i="2"/>
  <c r="BL462" i="2"/>
  <c r="BK462" i="2"/>
  <c r="BY461" i="2"/>
  <c r="BX461" i="2"/>
  <c r="BS461" i="2"/>
  <c r="BR461" i="2"/>
  <c r="BQ461" i="2"/>
  <c r="BW461" i="2" s="1"/>
  <c r="BP461" i="2"/>
  <c r="BO461" i="2"/>
  <c r="BN461" i="2"/>
  <c r="BM461" i="2"/>
  <c r="BL461" i="2"/>
  <c r="BK461" i="2"/>
  <c r="BY460" i="2"/>
  <c r="BX460" i="2"/>
  <c r="BS460" i="2"/>
  <c r="BR460" i="2"/>
  <c r="BQ460" i="2"/>
  <c r="BP460" i="2"/>
  <c r="BO460" i="2"/>
  <c r="BN460" i="2"/>
  <c r="BM460" i="2"/>
  <c r="BL460" i="2"/>
  <c r="BK460" i="2"/>
  <c r="BY459" i="2"/>
  <c r="BX459" i="2"/>
  <c r="BS459" i="2"/>
  <c r="BR459" i="2"/>
  <c r="BQ459" i="2"/>
  <c r="BW459" i="2" s="1"/>
  <c r="BP459" i="2"/>
  <c r="BO459" i="2"/>
  <c r="BN459" i="2"/>
  <c r="BM459" i="2"/>
  <c r="BL459" i="2"/>
  <c r="BK459" i="2"/>
  <c r="BY458" i="2"/>
  <c r="BX458" i="2"/>
  <c r="BS458" i="2"/>
  <c r="BR458" i="2"/>
  <c r="BQ458" i="2"/>
  <c r="BP458" i="2"/>
  <c r="BO458" i="2"/>
  <c r="BN458" i="2"/>
  <c r="BM458" i="2"/>
  <c r="BL458" i="2"/>
  <c r="BK458" i="2"/>
  <c r="BY457" i="2"/>
  <c r="BX457" i="2"/>
  <c r="BS457" i="2"/>
  <c r="BR457" i="2"/>
  <c r="BQ457" i="2"/>
  <c r="BW457" i="2" s="1"/>
  <c r="BP457" i="2"/>
  <c r="BO457" i="2"/>
  <c r="BN457" i="2"/>
  <c r="BM457" i="2"/>
  <c r="BL457" i="2"/>
  <c r="BK457" i="2"/>
  <c r="BY456" i="2"/>
  <c r="BX456" i="2"/>
  <c r="BS456" i="2"/>
  <c r="BR456" i="2"/>
  <c r="BQ456" i="2"/>
  <c r="BP456" i="2"/>
  <c r="BO456" i="2"/>
  <c r="BN456" i="2"/>
  <c r="BM456" i="2"/>
  <c r="BL456" i="2"/>
  <c r="BK456" i="2"/>
  <c r="BY455" i="2"/>
  <c r="BX455" i="2"/>
  <c r="BS455" i="2"/>
  <c r="BR455" i="2"/>
  <c r="BQ455" i="2"/>
  <c r="BP455" i="2"/>
  <c r="BO455" i="2"/>
  <c r="BN455" i="2"/>
  <c r="BM455" i="2"/>
  <c r="BL455" i="2"/>
  <c r="BK455" i="2"/>
  <c r="BY454" i="2"/>
  <c r="BX454" i="2"/>
  <c r="BS454" i="2"/>
  <c r="BR454" i="2"/>
  <c r="BQ454" i="2"/>
  <c r="BP454" i="2"/>
  <c r="BO454" i="2"/>
  <c r="BN454" i="2"/>
  <c r="BM454" i="2"/>
  <c r="BL454" i="2"/>
  <c r="BK454" i="2"/>
  <c r="BY453" i="2"/>
  <c r="BX453" i="2"/>
  <c r="BS453" i="2"/>
  <c r="BR453" i="2"/>
  <c r="BQ453" i="2"/>
  <c r="BP453" i="2"/>
  <c r="BO453" i="2"/>
  <c r="BN453" i="2"/>
  <c r="BM453" i="2"/>
  <c r="BL453" i="2"/>
  <c r="BK453" i="2"/>
  <c r="BY452" i="2"/>
  <c r="BX452" i="2"/>
  <c r="BS452" i="2"/>
  <c r="BR452" i="2"/>
  <c r="BQ452" i="2"/>
  <c r="BP452" i="2"/>
  <c r="BO452" i="2"/>
  <c r="BN452" i="2"/>
  <c r="BM452" i="2"/>
  <c r="BL452" i="2"/>
  <c r="BK452" i="2"/>
  <c r="BY451" i="2"/>
  <c r="BX451" i="2"/>
  <c r="BS451" i="2"/>
  <c r="BR451" i="2"/>
  <c r="BQ451" i="2"/>
  <c r="BP451" i="2"/>
  <c r="BO451" i="2"/>
  <c r="BN451" i="2"/>
  <c r="BM451" i="2"/>
  <c r="BL451" i="2"/>
  <c r="BK451" i="2"/>
  <c r="BY450" i="2"/>
  <c r="BX450" i="2"/>
  <c r="BS450" i="2"/>
  <c r="BR450" i="2"/>
  <c r="BQ450" i="2"/>
  <c r="BW450" i="2" s="1"/>
  <c r="BP450" i="2"/>
  <c r="BO450" i="2"/>
  <c r="BN450" i="2"/>
  <c r="BM450" i="2"/>
  <c r="BL450" i="2"/>
  <c r="BK450" i="2"/>
  <c r="BY449" i="2"/>
  <c r="BX449" i="2"/>
  <c r="BS449" i="2"/>
  <c r="BR449" i="2"/>
  <c r="BQ449" i="2"/>
  <c r="BP449" i="2"/>
  <c r="BO449" i="2"/>
  <c r="BN449" i="2"/>
  <c r="BM449" i="2"/>
  <c r="BL449" i="2"/>
  <c r="BK449" i="2"/>
  <c r="BY448" i="2"/>
  <c r="BX448" i="2"/>
  <c r="BS448" i="2"/>
  <c r="BR448" i="2"/>
  <c r="BQ448" i="2"/>
  <c r="BW448" i="2" s="1"/>
  <c r="BP448" i="2"/>
  <c r="BO448" i="2"/>
  <c r="BN448" i="2"/>
  <c r="BM448" i="2"/>
  <c r="BL448" i="2"/>
  <c r="BK448" i="2"/>
  <c r="BY447" i="2"/>
  <c r="BX447" i="2"/>
  <c r="BS447" i="2"/>
  <c r="BR447" i="2"/>
  <c r="BQ447" i="2"/>
  <c r="BP447" i="2"/>
  <c r="BO447" i="2"/>
  <c r="BN447" i="2"/>
  <c r="BM447" i="2"/>
  <c r="BL447" i="2"/>
  <c r="BK447" i="2"/>
  <c r="BY446" i="2"/>
  <c r="BX446" i="2"/>
  <c r="BS446" i="2"/>
  <c r="BR446" i="2"/>
  <c r="BQ446" i="2"/>
  <c r="BP446" i="2"/>
  <c r="BO446" i="2"/>
  <c r="BN446" i="2"/>
  <c r="BM446" i="2"/>
  <c r="BL446" i="2"/>
  <c r="BK446" i="2"/>
  <c r="BY445" i="2"/>
  <c r="BX445" i="2"/>
  <c r="BS445" i="2"/>
  <c r="BR445" i="2"/>
  <c r="BQ445" i="2"/>
  <c r="BP445" i="2"/>
  <c r="BO445" i="2"/>
  <c r="BZ445" i="2" s="1"/>
  <c r="BN445" i="2"/>
  <c r="BM445" i="2"/>
  <c r="BL445" i="2"/>
  <c r="BK445" i="2"/>
  <c r="BY444" i="2"/>
  <c r="BX444" i="2"/>
  <c r="BS444" i="2"/>
  <c r="BR444" i="2"/>
  <c r="BQ444" i="2"/>
  <c r="BW444" i="2" s="1"/>
  <c r="BP444" i="2"/>
  <c r="BO444" i="2"/>
  <c r="BN444" i="2"/>
  <c r="BM444" i="2"/>
  <c r="BL444" i="2"/>
  <c r="BK444" i="2"/>
  <c r="BY443" i="2"/>
  <c r="BX443" i="2"/>
  <c r="BS443" i="2"/>
  <c r="BR443" i="2"/>
  <c r="BQ443" i="2"/>
  <c r="BP443" i="2"/>
  <c r="BO443" i="2"/>
  <c r="BN443" i="2"/>
  <c r="BM443" i="2"/>
  <c r="BL443" i="2"/>
  <c r="BK443" i="2"/>
  <c r="BY442" i="2"/>
  <c r="BX442" i="2"/>
  <c r="BS442" i="2"/>
  <c r="BR442" i="2"/>
  <c r="BQ442" i="2"/>
  <c r="BW442" i="2" s="1"/>
  <c r="BP442" i="2"/>
  <c r="BO442" i="2"/>
  <c r="BN442" i="2"/>
  <c r="BM442" i="2"/>
  <c r="BL442" i="2"/>
  <c r="BK442" i="2"/>
  <c r="BY441" i="2"/>
  <c r="BX441" i="2"/>
  <c r="BS441" i="2"/>
  <c r="BR441" i="2"/>
  <c r="BQ441" i="2"/>
  <c r="BW441" i="2" s="1"/>
  <c r="BP441" i="2"/>
  <c r="BO441" i="2"/>
  <c r="BN441" i="2"/>
  <c r="BM441" i="2"/>
  <c r="BL441" i="2"/>
  <c r="BK441" i="2"/>
  <c r="BY440" i="2"/>
  <c r="BX440" i="2"/>
  <c r="BS440" i="2"/>
  <c r="BR440" i="2"/>
  <c r="BQ440" i="2"/>
  <c r="BW440" i="2" s="1"/>
  <c r="BP440" i="2"/>
  <c r="BO440" i="2"/>
  <c r="BN440" i="2"/>
  <c r="BM440" i="2"/>
  <c r="BL440" i="2"/>
  <c r="BK440" i="2"/>
  <c r="BY439" i="2"/>
  <c r="BX439" i="2"/>
  <c r="BS439" i="2"/>
  <c r="BR439" i="2"/>
  <c r="BQ439" i="2"/>
  <c r="BW439" i="2" s="1"/>
  <c r="BP439" i="2"/>
  <c r="BO439" i="2"/>
  <c r="BN439" i="2"/>
  <c r="BM439" i="2"/>
  <c r="BL439" i="2"/>
  <c r="BK439" i="2"/>
  <c r="BY438" i="2"/>
  <c r="BX438" i="2"/>
  <c r="BS438" i="2"/>
  <c r="BR438" i="2"/>
  <c r="BQ438" i="2"/>
  <c r="BW438" i="2" s="1"/>
  <c r="BP438" i="2"/>
  <c r="BO438" i="2"/>
  <c r="BN438" i="2"/>
  <c r="BM438" i="2"/>
  <c r="BL438" i="2"/>
  <c r="BK438" i="2"/>
  <c r="BY437" i="2"/>
  <c r="BX437" i="2"/>
  <c r="BS437" i="2"/>
  <c r="BR437" i="2"/>
  <c r="BQ437" i="2"/>
  <c r="BW437" i="2" s="1"/>
  <c r="BP437" i="2"/>
  <c r="BO437" i="2"/>
  <c r="BN437" i="2"/>
  <c r="BM437" i="2"/>
  <c r="BL437" i="2"/>
  <c r="BK437" i="2"/>
  <c r="BY436" i="2"/>
  <c r="BX436" i="2"/>
  <c r="BS436" i="2"/>
  <c r="BR436" i="2"/>
  <c r="BQ436" i="2"/>
  <c r="BP436" i="2"/>
  <c r="BO436" i="2"/>
  <c r="BN436" i="2"/>
  <c r="BM436" i="2"/>
  <c r="BL436" i="2"/>
  <c r="BK436" i="2"/>
  <c r="BY435" i="2"/>
  <c r="BX435" i="2"/>
  <c r="BS435" i="2"/>
  <c r="BR435" i="2"/>
  <c r="BQ435" i="2"/>
  <c r="BP435" i="2"/>
  <c r="BO435" i="2"/>
  <c r="BN435" i="2"/>
  <c r="BM435" i="2"/>
  <c r="BL435" i="2"/>
  <c r="BK435" i="2"/>
  <c r="BY434" i="2"/>
  <c r="BX434" i="2"/>
  <c r="BS434" i="2"/>
  <c r="BR434" i="2"/>
  <c r="BQ434" i="2"/>
  <c r="BP434" i="2"/>
  <c r="BO434" i="2"/>
  <c r="BN434" i="2"/>
  <c r="BM434" i="2"/>
  <c r="BL434" i="2"/>
  <c r="BK434" i="2"/>
  <c r="BY433" i="2"/>
  <c r="BX433" i="2"/>
  <c r="BS433" i="2"/>
  <c r="BR433" i="2"/>
  <c r="BQ433" i="2"/>
  <c r="BW433" i="2" s="1"/>
  <c r="BP433" i="2"/>
  <c r="BO433" i="2"/>
  <c r="BN433" i="2"/>
  <c r="BM433" i="2"/>
  <c r="BL433" i="2"/>
  <c r="BK433" i="2"/>
  <c r="BY432" i="2"/>
  <c r="BX432" i="2"/>
  <c r="BS432" i="2"/>
  <c r="BR432" i="2"/>
  <c r="BQ432" i="2"/>
  <c r="BP432" i="2"/>
  <c r="BO432" i="2"/>
  <c r="BN432" i="2"/>
  <c r="BM432" i="2"/>
  <c r="BL432" i="2"/>
  <c r="BK432" i="2"/>
  <c r="BY431" i="2"/>
  <c r="BX431" i="2"/>
  <c r="BS431" i="2"/>
  <c r="BR431" i="2"/>
  <c r="BQ431" i="2"/>
  <c r="BP431" i="2"/>
  <c r="BO431" i="2"/>
  <c r="BN431" i="2"/>
  <c r="BM431" i="2"/>
  <c r="BL431" i="2"/>
  <c r="BK431" i="2"/>
  <c r="BY430" i="2"/>
  <c r="BX430" i="2"/>
  <c r="BS430" i="2"/>
  <c r="BR430" i="2"/>
  <c r="BQ430" i="2"/>
  <c r="BP430" i="2"/>
  <c r="BO430" i="2"/>
  <c r="BN430" i="2"/>
  <c r="BM430" i="2"/>
  <c r="BL430" i="2"/>
  <c r="BK430" i="2"/>
  <c r="BY429" i="2"/>
  <c r="BX429" i="2"/>
  <c r="BS429" i="2"/>
  <c r="BR429" i="2"/>
  <c r="BQ429" i="2"/>
  <c r="BP429" i="2"/>
  <c r="BO429" i="2"/>
  <c r="BN429" i="2"/>
  <c r="BM429" i="2"/>
  <c r="BL429" i="2"/>
  <c r="BK429" i="2"/>
  <c r="BY428" i="2"/>
  <c r="BX428" i="2"/>
  <c r="BS428" i="2"/>
  <c r="BR428" i="2"/>
  <c r="BQ428" i="2"/>
  <c r="BP428" i="2"/>
  <c r="BO428" i="2"/>
  <c r="BN428" i="2"/>
  <c r="BM428" i="2"/>
  <c r="BL428" i="2"/>
  <c r="BK428" i="2"/>
  <c r="BY427" i="2"/>
  <c r="BX427" i="2"/>
  <c r="BS427" i="2"/>
  <c r="BR427" i="2"/>
  <c r="BQ427" i="2"/>
  <c r="BW427" i="2" s="1"/>
  <c r="BP427" i="2"/>
  <c r="BO427" i="2"/>
  <c r="BN427" i="2"/>
  <c r="BM427" i="2"/>
  <c r="BL427" i="2"/>
  <c r="BK427" i="2"/>
  <c r="BY426" i="2"/>
  <c r="BX426" i="2"/>
  <c r="BS426" i="2"/>
  <c r="BR426" i="2"/>
  <c r="BQ426" i="2"/>
  <c r="BP426" i="2"/>
  <c r="BO426" i="2"/>
  <c r="BN426" i="2"/>
  <c r="BM426" i="2"/>
  <c r="BL426" i="2"/>
  <c r="BK426" i="2"/>
  <c r="BY425" i="2"/>
  <c r="BX425" i="2"/>
  <c r="BS425" i="2"/>
  <c r="BR425" i="2"/>
  <c r="BQ425" i="2"/>
  <c r="BP425" i="2"/>
  <c r="BO425" i="2"/>
  <c r="BN425" i="2"/>
  <c r="BM425" i="2"/>
  <c r="BL425" i="2"/>
  <c r="BK425" i="2"/>
  <c r="BY424" i="2"/>
  <c r="BX424" i="2"/>
  <c r="BS424" i="2"/>
  <c r="BR424" i="2"/>
  <c r="BQ424" i="2"/>
  <c r="BP424" i="2"/>
  <c r="BO424" i="2"/>
  <c r="BN424" i="2"/>
  <c r="BM424" i="2"/>
  <c r="BL424" i="2"/>
  <c r="BK424" i="2"/>
  <c r="BY423" i="2"/>
  <c r="BX423" i="2"/>
  <c r="BS423" i="2"/>
  <c r="BR423" i="2"/>
  <c r="BQ423" i="2"/>
  <c r="BW423" i="2" s="1"/>
  <c r="BP423" i="2"/>
  <c r="BO423" i="2"/>
  <c r="BN423" i="2"/>
  <c r="BM423" i="2"/>
  <c r="BL423" i="2"/>
  <c r="BK423" i="2"/>
  <c r="BY422" i="2"/>
  <c r="BX422" i="2"/>
  <c r="BS422" i="2"/>
  <c r="BR422" i="2"/>
  <c r="BQ422" i="2"/>
  <c r="BW422" i="2" s="1"/>
  <c r="BP422" i="2"/>
  <c r="BO422" i="2"/>
  <c r="BN422" i="2"/>
  <c r="BM422" i="2"/>
  <c r="BL422" i="2"/>
  <c r="BK422" i="2"/>
  <c r="BY421" i="2"/>
  <c r="BX421" i="2"/>
  <c r="BS421" i="2"/>
  <c r="BR421" i="2"/>
  <c r="BQ421" i="2"/>
  <c r="BW421" i="2" s="1"/>
  <c r="BP421" i="2"/>
  <c r="BO421" i="2"/>
  <c r="BN421" i="2"/>
  <c r="BM421" i="2"/>
  <c r="BL421" i="2"/>
  <c r="BK421" i="2"/>
  <c r="BY420" i="2"/>
  <c r="BX420" i="2"/>
  <c r="BS420" i="2"/>
  <c r="BR420" i="2"/>
  <c r="BQ420" i="2"/>
  <c r="BW420" i="2" s="1"/>
  <c r="BP420" i="2"/>
  <c r="BO420" i="2"/>
  <c r="BN420" i="2"/>
  <c r="BM420" i="2"/>
  <c r="BL420" i="2"/>
  <c r="BK420" i="2"/>
  <c r="BY419" i="2"/>
  <c r="BX419" i="2"/>
  <c r="BS419" i="2"/>
  <c r="BR419" i="2"/>
  <c r="BQ419" i="2"/>
  <c r="BW419" i="2" s="1"/>
  <c r="BP419" i="2"/>
  <c r="BO419" i="2"/>
  <c r="BN419" i="2"/>
  <c r="BM419" i="2"/>
  <c r="BL419" i="2"/>
  <c r="BK419" i="2"/>
  <c r="BY418" i="2"/>
  <c r="BX418" i="2"/>
  <c r="BS418" i="2"/>
  <c r="BR418" i="2"/>
  <c r="BQ418" i="2"/>
  <c r="BP418" i="2"/>
  <c r="BO418" i="2"/>
  <c r="BN418" i="2"/>
  <c r="BM418" i="2"/>
  <c r="BL418" i="2"/>
  <c r="BK418" i="2"/>
  <c r="BY417" i="2"/>
  <c r="BX417" i="2"/>
  <c r="BS417" i="2"/>
  <c r="BR417" i="2"/>
  <c r="BQ417" i="2"/>
  <c r="BW417" i="2" s="1"/>
  <c r="BP417" i="2"/>
  <c r="BO417" i="2"/>
  <c r="BN417" i="2"/>
  <c r="BM417" i="2"/>
  <c r="BL417" i="2"/>
  <c r="BK417" i="2"/>
  <c r="BY416" i="2"/>
  <c r="BX416" i="2"/>
  <c r="BS416" i="2"/>
  <c r="BR416" i="2"/>
  <c r="BQ416" i="2"/>
  <c r="BP416" i="2"/>
  <c r="BO416" i="2"/>
  <c r="BN416" i="2"/>
  <c r="BM416" i="2"/>
  <c r="BL416" i="2"/>
  <c r="BK416" i="2"/>
  <c r="BY415" i="2"/>
  <c r="BX415" i="2"/>
  <c r="BS415" i="2"/>
  <c r="BR415" i="2"/>
  <c r="BQ415" i="2"/>
  <c r="BP415" i="2"/>
  <c r="BO415" i="2"/>
  <c r="BN415" i="2"/>
  <c r="BM415" i="2"/>
  <c r="BL415" i="2"/>
  <c r="BK415" i="2"/>
  <c r="BY414" i="2"/>
  <c r="BX414" i="2"/>
  <c r="BS414" i="2"/>
  <c r="BR414" i="2"/>
  <c r="BQ414" i="2"/>
  <c r="BP414" i="2"/>
  <c r="BO414" i="2"/>
  <c r="BN414" i="2"/>
  <c r="BM414" i="2"/>
  <c r="BL414" i="2"/>
  <c r="BK414" i="2"/>
  <c r="BY413" i="2"/>
  <c r="BX413" i="2"/>
  <c r="BS413" i="2"/>
  <c r="BR413" i="2"/>
  <c r="BQ413" i="2"/>
  <c r="BP413" i="2"/>
  <c r="BO413" i="2"/>
  <c r="BN413" i="2"/>
  <c r="BM413" i="2"/>
  <c r="BL413" i="2"/>
  <c r="BK413" i="2"/>
  <c r="BY412" i="2"/>
  <c r="BX412" i="2"/>
  <c r="BS412" i="2"/>
  <c r="BR412" i="2"/>
  <c r="BQ412" i="2"/>
  <c r="BP412" i="2"/>
  <c r="BO412" i="2"/>
  <c r="BN412" i="2"/>
  <c r="BM412" i="2"/>
  <c r="BL412" i="2"/>
  <c r="BK412" i="2"/>
  <c r="BY411" i="2"/>
  <c r="BX411" i="2"/>
  <c r="BS411" i="2"/>
  <c r="BR411" i="2"/>
  <c r="BQ411" i="2"/>
  <c r="BW411" i="2" s="1"/>
  <c r="BP411" i="2"/>
  <c r="BO411" i="2"/>
  <c r="BN411" i="2"/>
  <c r="BM411" i="2"/>
  <c r="BL411" i="2"/>
  <c r="BK411" i="2"/>
  <c r="BY410" i="2"/>
  <c r="BX410" i="2"/>
  <c r="BS410" i="2"/>
  <c r="BR410" i="2"/>
  <c r="BQ410" i="2"/>
  <c r="BP410" i="2"/>
  <c r="BO410" i="2"/>
  <c r="BN410" i="2"/>
  <c r="BM410" i="2"/>
  <c r="BL410" i="2"/>
  <c r="BK410" i="2"/>
  <c r="BY409" i="2"/>
  <c r="BX409" i="2"/>
  <c r="BS409" i="2"/>
  <c r="BR409" i="2"/>
  <c r="BQ409" i="2"/>
  <c r="BP409" i="2"/>
  <c r="BO409" i="2"/>
  <c r="BN409" i="2"/>
  <c r="BM409" i="2"/>
  <c r="BL409" i="2"/>
  <c r="BK409" i="2"/>
  <c r="BY408" i="2"/>
  <c r="BX408" i="2"/>
  <c r="BS408" i="2"/>
  <c r="BR408" i="2"/>
  <c r="BQ408" i="2"/>
  <c r="BP408" i="2"/>
  <c r="BO408" i="2"/>
  <c r="BN408" i="2"/>
  <c r="BM408" i="2"/>
  <c r="BL408" i="2"/>
  <c r="BK408" i="2"/>
  <c r="BY407" i="2"/>
  <c r="BX407" i="2"/>
  <c r="BS407" i="2"/>
  <c r="BR407" i="2"/>
  <c r="BQ407" i="2"/>
  <c r="BW407" i="2" s="1"/>
  <c r="BP407" i="2"/>
  <c r="BO407" i="2"/>
  <c r="BN407" i="2"/>
  <c r="BM407" i="2"/>
  <c r="BL407" i="2"/>
  <c r="BK407" i="2"/>
  <c r="BY406" i="2"/>
  <c r="BX406" i="2"/>
  <c r="BS406" i="2"/>
  <c r="BR406" i="2"/>
  <c r="BQ406" i="2"/>
  <c r="BW406" i="2" s="1"/>
  <c r="BP406" i="2"/>
  <c r="BO406" i="2"/>
  <c r="BN406" i="2"/>
  <c r="BM406" i="2"/>
  <c r="BL406" i="2"/>
  <c r="BK406" i="2"/>
  <c r="BY405" i="2"/>
  <c r="BX405" i="2"/>
  <c r="BS405" i="2"/>
  <c r="BR405" i="2"/>
  <c r="BQ405" i="2"/>
  <c r="BP405" i="2"/>
  <c r="BO405" i="2"/>
  <c r="BN405" i="2"/>
  <c r="BM405" i="2"/>
  <c r="BL405" i="2"/>
  <c r="BK405" i="2"/>
  <c r="BY404" i="2"/>
  <c r="BX404" i="2"/>
  <c r="BS404" i="2"/>
  <c r="BR404" i="2"/>
  <c r="BQ404" i="2"/>
  <c r="BW404" i="2" s="1"/>
  <c r="BP404" i="2"/>
  <c r="BO404" i="2"/>
  <c r="BN404" i="2"/>
  <c r="BM404" i="2"/>
  <c r="BL404" i="2"/>
  <c r="BK404" i="2"/>
  <c r="BY403" i="2"/>
  <c r="BX403" i="2"/>
  <c r="BS403" i="2"/>
  <c r="BR403" i="2"/>
  <c r="BQ403" i="2"/>
  <c r="BP403" i="2"/>
  <c r="BO403" i="2"/>
  <c r="BN403" i="2"/>
  <c r="BM403" i="2"/>
  <c r="BL403" i="2"/>
  <c r="BK403" i="2"/>
  <c r="BY402" i="2"/>
  <c r="BX402" i="2"/>
  <c r="BS402" i="2"/>
  <c r="BR402" i="2"/>
  <c r="BQ402" i="2"/>
  <c r="BW402" i="2" s="1"/>
  <c r="BP402" i="2"/>
  <c r="BO402" i="2"/>
  <c r="BN402" i="2"/>
  <c r="BM402" i="2"/>
  <c r="BL402" i="2"/>
  <c r="BK402" i="2"/>
  <c r="BY401" i="2"/>
  <c r="BX401" i="2"/>
  <c r="BS401" i="2"/>
  <c r="BR401" i="2"/>
  <c r="BQ401" i="2"/>
  <c r="BW401" i="2" s="1"/>
  <c r="BP401" i="2"/>
  <c r="BO401" i="2"/>
  <c r="BN401" i="2"/>
  <c r="BM401" i="2"/>
  <c r="BL401" i="2"/>
  <c r="BK401" i="2"/>
  <c r="BY400" i="2"/>
  <c r="BX400" i="2"/>
  <c r="BS400" i="2"/>
  <c r="BR400" i="2"/>
  <c r="BQ400" i="2"/>
  <c r="BP400" i="2"/>
  <c r="BO400" i="2"/>
  <c r="BN400" i="2"/>
  <c r="BM400" i="2"/>
  <c r="BL400" i="2"/>
  <c r="BK400" i="2"/>
  <c r="BY399" i="2"/>
  <c r="BX399" i="2"/>
  <c r="BS399" i="2"/>
  <c r="BR399" i="2"/>
  <c r="BQ399" i="2"/>
  <c r="BW399" i="2" s="1"/>
  <c r="BP399" i="2"/>
  <c r="BO399" i="2"/>
  <c r="BN399" i="2"/>
  <c r="BM399" i="2"/>
  <c r="BL399" i="2"/>
  <c r="BK399" i="2"/>
  <c r="BY398" i="2"/>
  <c r="BX398" i="2"/>
  <c r="BS398" i="2"/>
  <c r="BR398" i="2"/>
  <c r="BQ398" i="2"/>
  <c r="BW398" i="2" s="1"/>
  <c r="BP398" i="2"/>
  <c r="BO398" i="2"/>
  <c r="BN398" i="2"/>
  <c r="BM398" i="2"/>
  <c r="BL398" i="2"/>
  <c r="BK398" i="2"/>
  <c r="BY397" i="2"/>
  <c r="BX397" i="2"/>
  <c r="BS397" i="2"/>
  <c r="BR397" i="2"/>
  <c r="BQ397" i="2"/>
  <c r="BW397" i="2" s="1"/>
  <c r="BP397" i="2"/>
  <c r="BO397" i="2"/>
  <c r="BN397" i="2"/>
  <c r="BM397" i="2"/>
  <c r="BL397" i="2"/>
  <c r="BK397" i="2"/>
  <c r="BY396" i="2"/>
  <c r="BX396" i="2"/>
  <c r="BS396" i="2"/>
  <c r="BR396" i="2"/>
  <c r="BQ396" i="2"/>
  <c r="BP396" i="2"/>
  <c r="BO396" i="2"/>
  <c r="BN396" i="2"/>
  <c r="BM396" i="2"/>
  <c r="BL396" i="2"/>
  <c r="BK396" i="2"/>
  <c r="BY395" i="2"/>
  <c r="BX395" i="2"/>
  <c r="BS395" i="2"/>
  <c r="BR395" i="2"/>
  <c r="BQ395" i="2"/>
  <c r="BP395" i="2"/>
  <c r="BO395" i="2"/>
  <c r="BN395" i="2"/>
  <c r="BM395" i="2"/>
  <c r="BL395" i="2"/>
  <c r="BK395" i="2"/>
  <c r="BY394" i="2"/>
  <c r="BX394" i="2"/>
  <c r="BS394" i="2"/>
  <c r="BR394" i="2"/>
  <c r="BQ394" i="2"/>
  <c r="BP394" i="2"/>
  <c r="BO394" i="2"/>
  <c r="BN394" i="2"/>
  <c r="BM394" i="2"/>
  <c r="BL394" i="2"/>
  <c r="BK394" i="2"/>
  <c r="BY393" i="2"/>
  <c r="BX393" i="2"/>
  <c r="BS393" i="2"/>
  <c r="BR393" i="2"/>
  <c r="BQ393" i="2"/>
  <c r="BW393" i="2" s="1"/>
  <c r="BP393" i="2"/>
  <c r="BO393" i="2"/>
  <c r="BN393" i="2"/>
  <c r="BM393" i="2"/>
  <c r="BL393" i="2"/>
  <c r="BK393" i="2"/>
  <c r="BY392" i="2"/>
  <c r="BX392" i="2"/>
  <c r="BS392" i="2"/>
  <c r="BR392" i="2"/>
  <c r="BQ392" i="2"/>
  <c r="BW392" i="2" s="1"/>
  <c r="BP392" i="2"/>
  <c r="BO392" i="2"/>
  <c r="BN392" i="2"/>
  <c r="BM392" i="2"/>
  <c r="BL392" i="2"/>
  <c r="BK392" i="2"/>
  <c r="BY391" i="2"/>
  <c r="BX391" i="2"/>
  <c r="BS391" i="2"/>
  <c r="BR391" i="2"/>
  <c r="BQ391" i="2"/>
  <c r="BW391" i="2" s="1"/>
  <c r="BP391" i="2"/>
  <c r="BO391" i="2"/>
  <c r="BN391" i="2"/>
  <c r="BM391" i="2"/>
  <c r="BL391" i="2"/>
  <c r="BK391" i="2"/>
  <c r="BY390" i="2"/>
  <c r="BX390" i="2"/>
  <c r="BS390" i="2"/>
  <c r="BR390" i="2"/>
  <c r="BQ390" i="2"/>
  <c r="BP390" i="2"/>
  <c r="BO390" i="2"/>
  <c r="BN390" i="2"/>
  <c r="BM390" i="2"/>
  <c r="BL390" i="2"/>
  <c r="BK390" i="2"/>
  <c r="BY389" i="2"/>
  <c r="BX389" i="2"/>
  <c r="BS389" i="2"/>
  <c r="BR389" i="2"/>
  <c r="BQ389" i="2"/>
  <c r="BW389" i="2" s="1"/>
  <c r="BP389" i="2"/>
  <c r="BO389" i="2"/>
  <c r="BN389" i="2"/>
  <c r="BM389" i="2"/>
  <c r="BL389" i="2"/>
  <c r="BK389" i="2"/>
  <c r="BY388" i="2"/>
  <c r="BX388" i="2"/>
  <c r="BS388" i="2"/>
  <c r="BR388" i="2"/>
  <c r="BQ388" i="2"/>
  <c r="BP388" i="2"/>
  <c r="BO388" i="2"/>
  <c r="BN388" i="2"/>
  <c r="BM388" i="2"/>
  <c r="BL388" i="2"/>
  <c r="BK388" i="2"/>
  <c r="BY387" i="2"/>
  <c r="BX387" i="2"/>
  <c r="BS387" i="2"/>
  <c r="BR387" i="2"/>
  <c r="BQ387" i="2"/>
  <c r="BP387" i="2"/>
  <c r="BO387" i="2"/>
  <c r="BN387" i="2"/>
  <c r="BM387" i="2"/>
  <c r="BL387" i="2"/>
  <c r="BK387" i="2"/>
  <c r="BY386" i="2"/>
  <c r="BX386" i="2"/>
  <c r="BS386" i="2"/>
  <c r="BR386" i="2"/>
  <c r="BQ386" i="2"/>
  <c r="BP386" i="2"/>
  <c r="BO386" i="2"/>
  <c r="BN386" i="2"/>
  <c r="BM386" i="2"/>
  <c r="BL386" i="2"/>
  <c r="BK386" i="2"/>
  <c r="BY385" i="2"/>
  <c r="BX385" i="2"/>
  <c r="BS385" i="2"/>
  <c r="BR385" i="2"/>
  <c r="BQ385" i="2"/>
  <c r="BP385" i="2"/>
  <c r="BO385" i="2"/>
  <c r="BN385" i="2"/>
  <c r="BM385" i="2"/>
  <c r="BL385" i="2"/>
  <c r="BK385" i="2"/>
  <c r="BY384" i="2"/>
  <c r="BX384" i="2"/>
  <c r="BS384" i="2"/>
  <c r="BR384" i="2"/>
  <c r="BQ384" i="2"/>
  <c r="BP384" i="2"/>
  <c r="BO384" i="2"/>
  <c r="BN384" i="2"/>
  <c r="BM384" i="2"/>
  <c r="BL384" i="2"/>
  <c r="BK384" i="2"/>
  <c r="BY383" i="2"/>
  <c r="BX383" i="2"/>
  <c r="BS383" i="2"/>
  <c r="BR383" i="2"/>
  <c r="BQ383" i="2"/>
  <c r="BP383" i="2"/>
  <c r="BO383" i="2"/>
  <c r="BN383" i="2"/>
  <c r="BM383" i="2"/>
  <c r="BL383" i="2"/>
  <c r="BK383" i="2"/>
  <c r="BY382" i="2"/>
  <c r="BX382" i="2"/>
  <c r="BS382" i="2"/>
  <c r="BR382" i="2"/>
  <c r="BQ382" i="2"/>
  <c r="BP382" i="2"/>
  <c r="BO382" i="2"/>
  <c r="BN382" i="2"/>
  <c r="BM382" i="2"/>
  <c r="BL382" i="2"/>
  <c r="BK382" i="2"/>
  <c r="BY381" i="2"/>
  <c r="BX381" i="2"/>
  <c r="BS381" i="2"/>
  <c r="BR381" i="2"/>
  <c r="BQ381" i="2"/>
  <c r="BP381" i="2"/>
  <c r="BO381" i="2"/>
  <c r="BZ381" i="2" s="1"/>
  <c r="BN381" i="2"/>
  <c r="BM381" i="2"/>
  <c r="BL381" i="2"/>
  <c r="BK381" i="2"/>
  <c r="BY380" i="2"/>
  <c r="BX380" i="2"/>
  <c r="BS380" i="2"/>
  <c r="BR380" i="2"/>
  <c r="BQ380" i="2"/>
  <c r="BW380" i="2" s="1"/>
  <c r="BP380" i="2"/>
  <c r="BO380" i="2"/>
  <c r="BN380" i="2"/>
  <c r="BM380" i="2"/>
  <c r="BL380" i="2"/>
  <c r="BK380" i="2"/>
  <c r="BY379" i="2"/>
  <c r="BX379" i="2"/>
  <c r="BS379" i="2"/>
  <c r="BR379" i="2"/>
  <c r="BQ379" i="2"/>
  <c r="BP379" i="2"/>
  <c r="BO379" i="2"/>
  <c r="BN379" i="2"/>
  <c r="BM379" i="2"/>
  <c r="BL379" i="2"/>
  <c r="BK379" i="2"/>
  <c r="BY378" i="2"/>
  <c r="BX378" i="2"/>
  <c r="BS378" i="2"/>
  <c r="BR378" i="2"/>
  <c r="BQ378" i="2"/>
  <c r="BW378" i="2" s="1"/>
  <c r="BP378" i="2"/>
  <c r="BO378" i="2"/>
  <c r="BN378" i="2"/>
  <c r="BM378" i="2"/>
  <c r="BL378" i="2"/>
  <c r="BK378" i="2"/>
  <c r="BY377" i="2"/>
  <c r="BX377" i="2"/>
  <c r="BS377" i="2"/>
  <c r="BR377" i="2"/>
  <c r="BQ377" i="2"/>
  <c r="BW377" i="2" s="1"/>
  <c r="BP377" i="2"/>
  <c r="BO377" i="2"/>
  <c r="BN377" i="2"/>
  <c r="BM377" i="2"/>
  <c r="BL377" i="2"/>
  <c r="BK377" i="2"/>
  <c r="BY376" i="2"/>
  <c r="BX376" i="2"/>
  <c r="BS376" i="2"/>
  <c r="BR376" i="2"/>
  <c r="BQ376" i="2"/>
  <c r="BW376" i="2" s="1"/>
  <c r="BP376" i="2"/>
  <c r="BO376" i="2"/>
  <c r="BN376" i="2"/>
  <c r="BM376" i="2"/>
  <c r="BL376" i="2"/>
  <c r="BK376" i="2"/>
  <c r="BY375" i="2"/>
  <c r="BX375" i="2"/>
  <c r="BS375" i="2"/>
  <c r="BR375" i="2"/>
  <c r="BQ375" i="2"/>
  <c r="BW375" i="2" s="1"/>
  <c r="BP375" i="2"/>
  <c r="BO375" i="2"/>
  <c r="BZ375" i="2" s="1"/>
  <c r="BN375" i="2"/>
  <c r="BM375" i="2"/>
  <c r="BL375" i="2"/>
  <c r="BK375" i="2"/>
  <c r="BY374" i="2"/>
  <c r="BX374" i="2"/>
  <c r="BS374" i="2"/>
  <c r="BR374" i="2"/>
  <c r="BQ374" i="2"/>
  <c r="BP374" i="2"/>
  <c r="BO374" i="2"/>
  <c r="BZ374" i="2" s="1"/>
  <c r="BN374" i="2"/>
  <c r="BM374" i="2"/>
  <c r="BL374" i="2"/>
  <c r="BK374" i="2"/>
  <c r="BY373" i="2"/>
  <c r="BX373" i="2"/>
  <c r="BS373" i="2"/>
  <c r="BR373" i="2"/>
  <c r="BQ373" i="2"/>
  <c r="BP373" i="2"/>
  <c r="BO373" i="2"/>
  <c r="BN373" i="2"/>
  <c r="BM373" i="2"/>
  <c r="BL373" i="2"/>
  <c r="BK373" i="2"/>
  <c r="BY372" i="2"/>
  <c r="BX372" i="2"/>
  <c r="BS372" i="2"/>
  <c r="BR372" i="2"/>
  <c r="BQ372" i="2"/>
  <c r="BW372" i="2" s="1"/>
  <c r="BP372" i="2"/>
  <c r="BO372" i="2"/>
  <c r="BN372" i="2"/>
  <c r="BM372" i="2"/>
  <c r="BL372" i="2"/>
  <c r="BK372" i="2"/>
  <c r="BY371" i="2"/>
  <c r="BX371" i="2"/>
  <c r="BS371" i="2"/>
  <c r="BR371" i="2"/>
  <c r="BQ371" i="2"/>
  <c r="BP371" i="2"/>
  <c r="BO371" i="2"/>
  <c r="BN371" i="2"/>
  <c r="BM371" i="2"/>
  <c r="BL371" i="2"/>
  <c r="BK371" i="2"/>
  <c r="BY370" i="2"/>
  <c r="BX370" i="2"/>
  <c r="BS370" i="2"/>
  <c r="BR370" i="2"/>
  <c r="BQ370" i="2"/>
  <c r="BW370" i="2" s="1"/>
  <c r="BP370" i="2"/>
  <c r="BO370" i="2"/>
  <c r="BN370" i="2"/>
  <c r="BM370" i="2"/>
  <c r="BL370" i="2"/>
  <c r="BK370" i="2"/>
  <c r="BY369" i="2"/>
  <c r="BX369" i="2"/>
  <c r="BS369" i="2"/>
  <c r="BR369" i="2"/>
  <c r="BQ369" i="2"/>
  <c r="BW369" i="2" s="1"/>
  <c r="BP369" i="2"/>
  <c r="BO369" i="2"/>
  <c r="BN369" i="2"/>
  <c r="BM369" i="2"/>
  <c r="BL369" i="2"/>
  <c r="BK369" i="2"/>
  <c r="BY368" i="2"/>
  <c r="BX368" i="2"/>
  <c r="BS368" i="2"/>
  <c r="BR368" i="2"/>
  <c r="BQ368" i="2"/>
  <c r="BP368" i="2"/>
  <c r="BO368" i="2"/>
  <c r="BN368" i="2"/>
  <c r="BM368" i="2"/>
  <c r="BL368" i="2"/>
  <c r="BK368" i="2"/>
  <c r="BY367" i="2"/>
  <c r="BX367" i="2"/>
  <c r="BS367" i="2"/>
  <c r="BR367" i="2"/>
  <c r="BQ367" i="2"/>
  <c r="BP367" i="2"/>
  <c r="BO367" i="2"/>
  <c r="BN367" i="2"/>
  <c r="BM367" i="2"/>
  <c r="BL367" i="2"/>
  <c r="BK367" i="2"/>
  <c r="BY366" i="2"/>
  <c r="BX366" i="2"/>
  <c r="BS366" i="2"/>
  <c r="BR366" i="2"/>
  <c r="BQ366" i="2"/>
  <c r="BW366" i="2" s="1"/>
  <c r="BP366" i="2"/>
  <c r="BO366" i="2"/>
  <c r="BN366" i="2"/>
  <c r="BM366" i="2"/>
  <c r="BL366" i="2"/>
  <c r="BK366" i="2"/>
  <c r="BY365" i="2"/>
  <c r="BX365" i="2"/>
  <c r="BS365" i="2"/>
  <c r="BR365" i="2"/>
  <c r="BQ365" i="2"/>
  <c r="BW365" i="2" s="1"/>
  <c r="BP365" i="2"/>
  <c r="BO365" i="2"/>
  <c r="BN365" i="2"/>
  <c r="BM365" i="2"/>
  <c r="BL365" i="2"/>
  <c r="BK365" i="2"/>
  <c r="BY364" i="2"/>
  <c r="BX364" i="2"/>
  <c r="BS364" i="2"/>
  <c r="BR364" i="2"/>
  <c r="BQ364" i="2"/>
  <c r="BP364" i="2"/>
  <c r="BO364" i="2"/>
  <c r="BN364" i="2"/>
  <c r="BM364" i="2"/>
  <c r="BL364" i="2"/>
  <c r="BK364" i="2"/>
  <c r="BY363" i="2"/>
  <c r="BX363" i="2"/>
  <c r="BS363" i="2"/>
  <c r="BR363" i="2"/>
  <c r="BQ363" i="2"/>
  <c r="BW363" i="2" s="1"/>
  <c r="BP363" i="2"/>
  <c r="BO363" i="2"/>
  <c r="BN363" i="2"/>
  <c r="BM363" i="2"/>
  <c r="BL363" i="2"/>
  <c r="BK363" i="2"/>
  <c r="BY362" i="2"/>
  <c r="BX362" i="2"/>
  <c r="BS362" i="2"/>
  <c r="BR362" i="2"/>
  <c r="BQ362" i="2"/>
  <c r="BW362" i="2" s="1"/>
  <c r="BP362" i="2"/>
  <c r="BO362" i="2"/>
  <c r="BN362" i="2"/>
  <c r="BM362" i="2"/>
  <c r="BL362" i="2"/>
  <c r="BK362" i="2"/>
  <c r="BY361" i="2"/>
  <c r="BX361" i="2"/>
  <c r="BS361" i="2"/>
  <c r="BR361" i="2"/>
  <c r="BQ361" i="2"/>
  <c r="BP361" i="2"/>
  <c r="BO361" i="2"/>
  <c r="BN361" i="2"/>
  <c r="BM361" i="2"/>
  <c r="BL361" i="2"/>
  <c r="BK361" i="2"/>
  <c r="BY360" i="2"/>
  <c r="BX360" i="2"/>
  <c r="BS360" i="2"/>
  <c r="BR360" i="2"/>
  <c r="BQ360" i="2"/>
  <c r="BP360" i="2"/>
  <c r="BO360" i="2"/>
  <c r="BN360" i="2"/>
  <c r="BM360" i="2"/>
  <c r="BL360" i="2"/>
  <c r="BK360" i="2"/>
  <c r="BY359" i="2"/>
  <c r="BX359" i="2"/>
  <c r="BS359" i="2"/>
  <c r="BR359" i="2"/>
  <c r="BQ359" i="2"/>
  <c r="BW359" i="2" s="1"/>
  <c r="BP359" i="2"/>
  <c r="BO359" i="2"/>
  <c r="BN359" i="2"/>
  <c r="BM359" i="2"/>
  <c r="BL359" i="2"/>
  <c r="BK359" i="2"/>
  <c r="BY358" i="2"/>
  <c r="BX358" i="2"/>
  <c r="BS358" i="2"/>
  <c r="BR358" i="2"/>
  <c r="BQ358" i="2"/>
  <c r="BW358" i="2" s="1"/>
  <c r="BP358" i="2"/>
  <c r="BO358" i="2"/>
  <c r="BN358" i="2"/>
  <c r="BM358" i="2"/>
  <c r="BL358" i="2"/>
  <c r="BK358" i="2"/>
  <c r="BY357" i="2"/>
  <c r="BX357" i="2"/>
  <c r="BS357" i="2"/>
  <c r="BR357" i="2"/>
  <c r="BQ357" i="2"/>
  <c r="BW357" i="2" s="1"/>
  <c r="BP357" i="2"/>
  <c r="BO357" i="2"/>
  <c r="BN357" i="2"/>
  <c r="BM357" i="2"/>
  <c r="BL357" i="2"/>
  <c r="BK357" i="2"/>
  <c r="BY356" i="2"/>
  <c r="BX356" i="2"/>
  <c r="BS356" i="2"/>
  <c r="BR356" i="2"/>
  <c r="BQ356" i="2"/>
  <c r="BW356" i="2" s="1"/>
  <c r="BP356" i="2"/>
  <c r="BO356" i="2"/>
  <c r="BN356" i="2"/>
  <c r="BM356" i="2"/>
  <c r="BL356" i="2"/>
  <c r="BK356" i="2"/>
  <c r="BY355" i="2"/>
  <c r="BX355" i="2"/>
  <c r="BS355" i="2"/>
  <c r="BR355" i="2"/>
  <c r="BQ355" i="2"/>
  <c r="BW355" i="2" s="1"/>
  <c r="BP355" i="2"/>
  <c r="BO355" i="2"/>
  <c r="BN355" i="2"/>
  <c r="BM355" i="2"/>
  <c r="BL355" i="2"/>
  <c r="BK355" i="2"/>
  <c r="BY354" i="2"/>
  <c r="BX354" i="2"/>
  <c r="BS354" i="2"/>
  <c r="BR354" i="2"/>
  <c r="BQ354" i="2"/>
  <c r="BP354" i="2"/>
  <c r="BO354" i="2"/>
  <c r="BN354" i="2"/>
  <c r="BM354" i="2"/>
  <c r="BL354" i="2"/>
  <c r="BK354" i="2"/>
  <c r="BY353" i="2"/>
  <c r="BX353" i="2"/>
  <c r="BS353" i="2"/>
  <c r="BR353" i="2"/>
  <c r="BQ353" i="2"/>
  <c r="BW353" i="2" s="1"/>
  <c r="BP353" i="2"/>
  <c r="BO353" i="2"/>
  <c r="BN353" i="2"/>
  <c r="BM353" i="2"/>
  <c r="BL353" i="2"/>
  <c r="BK353" i="2"/>
  <c r="BY352" i="2"/>
  <c r="BX352" i="2"/>
  <c r="BS352" i="2"/>
  <c r="BR352" i="2"/>
  <c r="BQ352" i="2"/>
  <c r="BP352" i="2"/>
  <c r="BO352" i="2"/>
  <c r="BN352" i="2"/>
  <c r="BM352" i="2"/>
  <c r="BL352" i="2"/>
  <c r="BK352" i="2"/>
  <c r="BY351" i="2"/>
  <c r="BX351" i="2"/>
  <c r="BS351" i="2"/>
  <c r="BR351" i="2"/>
  <c r="BQ351" i="2"/>
  <c r="BW351" i="2" s="1"/>
  <c r="BP351" i="2"/>
  <c r="BO351" i="2"/>
  <c r="BN351" i="2"/>
  <c r="BM351" i="2"/>
  <c r="BL351" i="2"/>
  <c r="BK351" i="2"/>
  <c r="BY350" i="2"/>
  <c r="BX350" i="2"/>
  <c r="BS350" i="2"/>
  <c r="BR350" i="2"/>
  <c r="BQ350" i="2"/>
  <c r="BP350" i="2"/>
  <c r="BO350" i="2"/>
  <c r="BN350" i="2"/>
  <c r="BM350" i="2"/>
  <c r="BL350" i="2"/>
  <c r="BK350" i="2"/>
  <c r="BY349" i="2"/>
  <c r="BX349" i="2"/>
  <c r="BS349" i="2"/>
  <c r="BR349" i="2"/>
  <c r="BQ349" i="2"/>
  <c r="BW349" i="2" s="1"/>
  <c r="BP349" i="2"/>
  <c r="BO349" i="2"/>
  <c r="BN349" i="2"/>
  <c r="BM349" i="2"/>
  <c r="BL349" i="2"/>
  <c r="BK349" i="2"/>
  <c r="BY348" i="2"/>
  <c r="BX348" i="2"/>
  <c r="BS348" i="2"/>
  <c r="BR348" i="2"/>
  <c r="BQ348" i="2"/>
  <c r="BP348" i="2"/>
  <c r="BO348" i="2"/>
  <c r="BN348" i="2"/>
  <c r="BM348" i="2"/>
  <c r="BL348" i="2"/>
  <c r="BK348" i="2"/>
  <c r="BY347" i="2"/>
  <c r="BX347" i="2"/>
  <c r="BS347" i="2"/>
  <c r="BR347" i="2"/>
  <c r="BQ347" i="2"/>
  <c r="BW347" i="2" s="1"/>
  <c r="BP347" i="2"/>
  <c r="BO347" i="2"/>
  <c r="BN347" i="2"/>
  <c r="BM347" i="2"/>
  <c r="BL347" i="2"/>
  <c r="BK347" i="2"/>
  <c r="BY346" i="2"/>
  <c r="BX346" i="2"/>
  <c r="BS346" i="2"/>
  <c r="BR346" i="2"/>
  <c r="BQ346" i="2"/>
  <c r="BW346" i="2" s="1"/>
  <c r="BP346" i="2"/>
  <c r="BO346" i="2"/>
  <c r="BN346" i="2"/>
  <c r="BM346" i="2"/>
  <c r="BL346" i="2"/>
  <c r="BK346" i="2"/>
  <c r="BY345" i="2"/>
  <c r="BX345" i="2"/>
  <c r="BS345" i="2"/>
  <c r="BR345" i="2"/>
  <c r="BQ345" i="2"/>
  <c r="BP345" i="2"/>
  <c r="BO345" i="2"/>
  <c r="BN345" i="2"/>
  <c r="BM345" i="2"/>
  <c r="BL345" i="2"/>
  <c r="BK345" i="2"/>
  <c r="BY344" i="2"/>
  <c r="BX344" i="2"/>
  <c r="BS344" i="2"/>
  <c r="BR344" i="2"/>
  <c r="BQ344" i="2"/>
  <c r="BW344" i="2" s="1"/>
  <c r="BP344" i="2"/>
  <c r="BO344" i="2"/>
  <c r="BN344" i="2"/>
  <c r="BM344" i="2"/>
  <c r="BL344" i="2"/>
  <c r="BK344" i="2"/>
  <c r="BY343" i="2"/>
  <c r="BX343" i="2"/>
  <c r="BS343" i="2"/>
  <c r="BR343" i="2"/>
  <c r="BQ343" i="2"/>
  <c r="BP343" i="2"/>
  <c r="BO343" i="2"/>
  <c r="BN343" i="2"/>
  <c r="BM343" i="2"/>
  <c r="BL343" i="2"/>
  <c r="BK343" i="2"/>
  <c r="BY342" i="2"/>
  <c r="BX342" i="2"/>
  <c r="BS342" i="2"/>
  <c r="BR342" i="2"/>
  <c r="BQ342" i="2"/>
  <c r="BP342" i="2"/>
  <c r="BO342" i="2"/>
  <c r="BN342" i="2"/>
  <c r="BM342" i="2"/>
  <c r="BL342" i="2"/>
  <c r="BK342" i="2"/>
  <c r="BY341" i="2"/>
  <c r="BX341" i="2"/>
  <c r="BS341" i="2"/>
  <c r="BR341" i="2"/>
  <c r="BQ341" i="2"/>
  <c r="BP341" i="2"/>
  <c r="BO341" i="2"/>
  <c r="BN341" i="2"/>
  <c r="BM341" i="2"/>
  <c r="BL341" i="2"/>
  <c r="BK341" i="2"/>
  <c r="BY340" i="2"/>
  <c r="BX340" i="2"/>
  <c r="BS340" i="2"/>
  <c r="BR340" i="2"/>
  <c r="BQ340" i="2"/>
  <c r="BP340" i="2"/>
  <c r="BO340" i="2"/>
  <c r="BN340" i="2"/>
  <c r="BM340" i="2"/>
  <c r="BL340" i="2"/>
  <c r="BK340" i="2"/>
  <c r="BY339" i="2"/>
  <c r="BX339" i="2"/>
  <c r="BS339" i="2"/>
  <c r="BR339" i="2"/>
  <c r="BQ339" i="2"/>
  <c r="BW339" i="2" s="1"/>
  <c r="BP339" i="2"/>
  <c r="BO339" i="2"/>
  <c r="BN339" i="2"/>
  <c r="BM339" i="2"/>
  <c r="BL339" i="2"/>
  <c r="BK339" i="2"/>
  <c r="BY338" i="2"/>
  <c r="BX338" i="2"/>
  <c r="BS338" i="2"/>
  <c r="BR338" i="2"/>
  <c r="BQ338" i="2"/>
  <c r="BP338" i="2"/>
  <c r="BO338" i="2"/>
  <c r="BN338" i="2"/>
  <c r="BM338" i="2"/>
  <c r="BL338" i="2"/>
  <c r="BK338" i="2"/>
  <c r="BY337" i="2"/>
  <c r="BX337" i="2"/>
  <c r="BS337" i="2"/>
  <c r="BR337" i="2"/>
  <c r="BQ337" i="2"/>
  <c r="BP337" i="2"/>
  <c r="BO337" i="2"/>
  <c r="BN337" i="2"/>
  <c r="BM337" i="2"/>
  <c r="BL337" i="2"/>
  <c r="BK337" i="2"/>
  <c r="BY336" i="2"/>
  <c r="BX336" i="2"/>
  <c r="BS336" i="2"/>
  <c r="BR336" i="2"/>
  <c r="BQ336" i="2"/>
  <c r="BP336" i="2"/>
  <c r="BO336" i="2"/>
  <c r="BN336" i="2"/>
  <c r="BM336" i="2"/>
  <c r="BL336" i="2"/>
  <c r="BK336" i="2"/>
  <c r="BY335" i="2"/>
  <c r="BX335" i="2"/>
  <c r="BS335" i="2"/>
  <c r="BR335" i="2"/>
  <c r="BQ335" i="2"/>
  <c r="BW335" i="2" s="1"/>
  <c r="BP335" i="2"/>
  <c r="BO335" i="2"/>
  <c r="BN335" i="2"/>
  <c r="BM335" i="2"/>
  <c r="BL335" i="2"/>
  <c r="BK335" i="2"/>
  <c r="BY334" i="2"/>
  <c r="BX334" i="2"/>
  <c r="BS334" i="2"/>
  <c r="BR334" i="2"/>
  <c r="BQ334" i="2"/>
  <c r="BP334" i="2"/>
  <c r="BO334" i="2"/>
  <c r="BN334" i="2"/>
  <c r="BM334" i="2"/>
  <c r="BL334" i="2"/>
  <c r="BK334" i="2"/>
  <c r="BY333" i="2"/>
  <c r="BX333" i="2"/>
  <c r="BS333" i="2"/>
  <c r="BR333" i="2"/>
  <c r="BQ333" i="2"/>
  <c r="BW333" i="2" s="1"/>
  <c r="BP333" i="2"/>
  <c r="BO333" i="2"/>
  <c r="BN333" i="2"/>
  <c r="BM333" i="2"/>
  <c r="BL333" i="2"/>
  <c r="BK333" i="2"/>
  <c r="BY332" i="2"/>
  <c r="BX332" i="2"/>
  <c r="BS332" i="2"/>
  <c r="BR332" i="2"/>
  <c r="BQ332" i="2"/>
  <c r="BW332" i="2" s="1"/>
  <c r="BP332" i="2"/>
  <c r="BO332" i="2"/>
  <c r="BN332" i="2"/>
  <c r="BM332" i="2"/>
  <c r="BL332" i="2"/>
  <c r="BK332" i="2"/>
  <c r="BY331" i="2"/>
  <c r="BX331" i="2"/>
  <c r="BS331" i="2"/>
  <c r="BR331" i="2"/>
  <c r="BQ331" i="2"/>
  <c r="BP331" i="2"/>
  <c r="BO331" i="2"/>
  <c r="BN331" i="2"/>
  <c r="BM331" i="2"/>
  <c r="BL331" i="2"/>
  <c r="BK331" i="2"/>
  <c r="BY330" i="2"/>
  <c r="BX330" i="2"/>
  <c r="BS330" i="2"/>
  <c r="BR330" i="2"/>
  <c r="BQ330" i="2"/>
  <c r="BW330" i="2" s="1"/>
  <c r="BP330" i="2"/>
  <c r="BO330" i="2"/>
  <c r="BN330" i="2"/>
  <c r="BM330" i="2"/>
  <c r="BL330" i="2"/>
  <c r="BK330" i="2"/>
  <c r="BY329" i="2"/>
  <c r="BX329" i="2"/>
  <c r="BS329" i="2"/>
  <c r="BR329" i="2"/>
  <c r="BQ329" i="2"/>
  <c r="BP329" i="2"/>
  <c r="BO329" i="2"/>
  <c r="BN329" i="2"/>
  <c r="BM329" i="2"/>
  <c r="BL329" i="2"/>
  <c r="BK329" i="2"/>
  <c r="BY328" i="2"/>
  <c r="BX328" i="2"/>
  <c r="BS328" i="2"/>
  <c r="BR328" i="2"/>
  <c r="BQ328" i="2"/>
  <c r="BP328" i="2"/>
  <c r="BO328" i="2"/>
  <c r="BN328" i="2"/>
  <c r="BM328" i="2"/>
  <c r="BL328" i="2"/>
  <c r="BK328" i="2"/>
  <c r="BY327" i="2"/>
  <c r="BX327" i="2"/>
  <c r="BS327" i="2"/>
  <c r="BR327" i="2"/>
  <c r="BQ327" i="2"/>
  <c r="BP327" i="2"/>
  <c r="BO327" i="2"/>
  <c r="BZ327" i="2" s="1"/>
  <c r="BN327" i="2"/>
  <c r="BM327" i="2"/>
  <c r="BL327" i="2"/>
  <c r="BK327" i="2"/>
  <c r="BY326" i="2"/>
  <c r="BX326" i="2"/>
  <c r="BS326" i="2"/>
  <c r="BR326" i="2"/>
  <c r="BQ326" i="2"/>
  <c r="BW326" i="2" s="1"/>
  <c r="BP326" i="2"/>
  <c r="BO326" i="2"/>
  <c r="BZ326" i="2" s="1"/>
  <c r="BN326" i="2"/>
  <c r="BM326" i="2"/>
  <c r="BL326" i="2"/>
  <c r="BK326" i="2"/>
  <c r="BY325" i="2"/>
  <c r="BX325" i="2"/>
  <c r="BS325" i="2"/>
  <c r="BR325" i="2"/>
  <c r="BQ325" i="2"/>
  <c r="BP325" i="2"/>
  <c r="BO325" i="2"/>
  <c r="BN325" i="2"/>
  <c r="BM325" i="2"/>
  <c r="BL325" i="2"/>
  <c r="BK325" i="2"/>
  <c r="BY324" i="2"/>
  <c r="BX324" i="2"/>
  <c r="BS324" i="2"/>
  <c r="BR324" i="2"/>
  <c r="BQ324" i="2"/>
  <c r="BP324" i="2"/>
  <c r="BO324" i="2"/>
  <c r="BN324" i="2"/>
  <c r="BM324" i="2"/>
  <c r="BL324" i="2"/>
  <c r="BK324" i="2"/>
  <c r="BY323" i="2"/>
  <c r="BX323" i="2"/>
  <c r="BS323" i="2"/>
  <c r="BR323" i="2"/>
  <c r="BQ323" i="2"/>
  <c r="BW323" i="2" s="1"/>
  <c r="BP323" i="2"/>
  <c r="BO323" i="2"/>
  <c r="BN323" i="2"/>
  <c r="BM323" i="2"/>
  <c r="BL323" i="2"/>
  <c r="BK323" i="2"/>
  <c r="BY322" i="2"/>
  <c r="BX322" i="2"/>
  <c r="BS322" i="2"/>
  <c r="BR322" i="2"/>
  <c r="BQ322" i="2"/>
  <c r="BP322" i="2"/>
  <c r="BO322" i="2"/>
  <c r="BN322" i="2"/>
  <c r="BM322" i="2"/>
  <c r="BL322" i="2"/>
  <c r="BK322" i="2"/>
  <c r="BY321" i="2"/>
  <c r="BX321" i="2"/>
  <c r="BS321" i="2"/>
  <c r="BR321" i="2"/>
  <c r="BQ321" i="2"/>
  <c r="BP321" i="2"/>
  <c r="BO321" i="2"/>
  <c r="BN321" i="2"/>
  <c r="BM321" i="2"/>
  <c r="BL321" i="2"/>
  <c r="BK321" i="2"/>
  <c r="BY320" i="2"/>
  <c r="BX320" i="2"/>
  <c r="BS320" i="2"/>
  <c r="BR320" i="2"/>
  <c r="BQ320" i="2"/>
  <c r="BW320" i="2" s="1"/>
  <c r="BP320" i="2"/>
  <c r="BO320" i="2"/>
  <c r="BN320" i="2"/>
  <c r="BM320" i="2"/>
  <c r="BL320" i="2"/>
  <c r="BK320" i="2"/>
  <c r="BY319" i="2"/>
  <c r="BX319" i="2"/>
  <c r="BS319" i="2"/>
  <c r="BR319" i="2"/>
  <c r="BQ319" i="2"/>
  <c r="BW319" i="2" s="1"/>
  <c r="BP319" i="2"/>
  <c r="BO319" i="2"/>
  <c r="BN319" i="2"/>
  <c r="BM319" i="2"/>
  <c r="BL319" i="2"/>
  <c r="BK319" i="2"/>
  <c r="BY318" i="2"/>
  <c r="BX318" i="2"/>
  <c r="BS318" i="2"/>
  <c r="BR318" i="2"/>
  <c r="BQ318" i="2"/>
  <c r="BW318" i="2" s="1"/>
  <c r="BP318" i="2"/>
  <c r="BO318" i="2"/>
  <c r="BN318" i="2"/>
  <c r="BM318" i="2"/>
  <c r="BL318" i="2"/>
  <c r="BK318" i="2"/>
  <c r="BY317" i="2"/>
  <c r="BX317" i="2"/>
  <c r="BS317" i="2"/>
  <c r="BR317" i="2"/>
  <c r="BQ317" i="2"/>
  <c r="BW317" i="2" s="1"/>
  <c r="BP317" i="2"/>
  <c r="BO317" i="2"/>
  <c r="BN317" i="2"/>
  <c r="BM317" i="2"/>
  <c r="BL317" i="2"/>
  <c r="BK317" i="2"/>
  <c r="BY316" i="2"/>
  <c r="BX316" i="2"/>
  <c r="BS316" i="2"/>
  <c r="BR316" i="2"/>
  <c r="BQ316" i="2"/>
  <c r="BP316" i="2"/>
  <c r="BO316" i="2"/>
  <c r="BN316" i="2"/>
  <c r="BM316" i="2"/>
  <c r="BL316" i="2"/>
  <c r="BK316" i="2"/>
  <c r="BY315" i="2"/>
  <c r="BX315" i="2"/>
  <c r="BS315" i="2"/>
  <c r="BR315" i="2"/>
  <c r="BQ315" i="2"/>
  <c r="BW315" i="2" s="1"/>
  <c r="BP315" i="2"/>
  <c r="BO315" i="2"/>
  <c r="BN315" i="2"/>
  <c r="BM315" i="2"/>
  <c r="BL315" i="2"/>
  <c r="BK315" i="2"/>
  <c r="BY314" i="2"/>
  <c r="BX314" i="2"/>
  <c r="BS314" i="2"/>
  <c r="BR314" i="2"/>
  <c r="BQ314" i="2"/>
  <c r="BW314" i="2" s="1"/>
  <c r="BP314" i="2"/>
  <c r="BO314" i="2"/>
  <c r="BN314" i="2"/>
  <c r="BM314" i="2"/>
  <c r="BL314" i="2"/>
  <c r="BK314" i="2"/>
  <c r="BY313" i="2"/>
  <c r="BX313" i="2"/>
  <c r="BS313" i="2"/>
  <c r="BR313" i="2"/>
  <c r="BQ313" i="2"/>
  <c r="BP313" i="2"/>
  <c r="BO313" i="2"/>
  <c r="BN313" i="2"/>
  <c r="BM313" i="2"/>
  <c r="BL313" i="2"/>
  <c r="BK313" i="2"/>
  <c r="BY312" i="2"/>
  <c r="BX312" i="2"/>
  <c r="BS312" i="2"/>
  <c r="BR312" i="2"/>
  <c r="BQ312" i="2"/>
  <c r="BW312" i="2" s="1"/>
  <c r="BP312" i="2"/>
  <c r="BO312" i="2"/>
  <c r="BN312" i="2"/>
  <c r="BM312" i="2"/>
  <c r="BL312" i="2"/>
  <c r="BK312" i="2"/>
  <c r="BY311" i="2"/>
  <c r="BX311" i="2"/>
  <c r="BS311" i="2"/>
  <c r="BR311" i="2"/>
  <c r="BQ311" i="2"/>
  <c r="BP311" i="2"/>
  <c r="BO311" i="2"/>
  <c r="BN311" i="2"/>
  <c r="BM311" i="2"/>
  <c r="BL311" i="2"/>
  <c r="BK311" i="2"/>
  <c r="BY310" i="2"/>
  <c r="BX310" i="2"/>
  <c r="BS310" i="2"/>
  <c r="BR310" i="2"/>
  <c r="BQ310" i="2"/>
  <c r="BP310" i="2"/>
  <c r="BO310" i="2"/>
  <c r="BN310" i="2"/>
  <c r="BM310" i="2"/>
  <c r="BL310" i="2"/>
  <c r="BK310" i="2"/>
  <c r="BY309" i="2"/>
  <c r="BX309" i="2"/>
  <c r="BS309" i="2"/>
  <c r="BR309" i="2"/>
  <c r="BQ309" i="2"/>
  <c r="BP309" i="2"/>
  <c r="BO309" i="2"/>
  <c r="BN309" i="2"/>
  <c r="BM309" i="2"/>
  <c r="BL309" i="2"/>
  <c r="BK309" i="2"/>
  <c r="BY308" i="2"/>
  <c r="BX308" i="2"/>
  <c r="BS308" i="2"/>
  <c r="BR308" i="2"/>
  <c r="BQ308" i="2"/>
  <c r="BP308" i="2"/>
  <c r="BO308" i="2"/>
  <c r="BN308" i="2"/>
  <c r="BM308" i="2"/>
  <c r="BL308" i="2"/>
  <c r="BK308" i="2"/>
  <c r="BY307" i="2"/>
  <c r="BX307" i="2"/>
  <c r="BS307" i="2"/>
  <c r="BR307" i="2"/>
  <c r="BQ307" i="2"/>
  <c r="BP307" i="2"/>
  <c r="BO307" i="2"/>
  <c r="BN307" i="2"/>
  <c r="BM307" i="2"/>
  <c r="BL307" i="2"/>
  <c r="BK307" i="2"/>
  <c r="BY306" i="2"/>
  <c r="BX306" i="2"/>
  <c r="BS306" i="2"/>
  <c r="BR306" i="2"/>
  <c r="BQ306" i="2"/>
  <c r="BP306" i="2"/>
  <c r="BO306" i="2"/>
  <c r="BN306" i="2"/>
  <c r="BM306" i="2"/>
  <c r="BL306" i="2"/>
  <c r="BK306" i="2"/>
  <c r="BY305" i="2"/>
  <c r="BX305" i="2"/>
  <c r="BS305" i="2"/>
  <c r="BR305" i="2"/>
  <c r="BQ305" i="2"/>
  <c r="BW305" i="2" s="1"/>
  <c r="BP305" i="2"/>
  <c r="BO305" i="2"/>
  <c r="BN305" i="2"/>
  <c r="BM305" i="2"/>
  <c r="BL305" i="2"/>
  <c r="BK305" i="2"/>
  <c r="BY304" i="2"/>
  <c r="BX304" i="2"/>
  <c r="BS304" i="2"/>
  <c r="BR304" i="2"/>
  <c r="BQ304" i="2"/>
  <c r="BP304" i="2"/>
  <c r="BO304" i="2"/>
  <c r="BN304" i="2"/>
  <c r="BM304" i="2"/>
  <c r="BL304" i="2"/>
  <c r="BK304" i="2"/>
  <c r="BY303" i="2"/>
  <c r="BX303" i="2"/>
  <c r="BS303" i="2"/>
  <c r="BR303" i="2"/>
  <c r="BQ303" i="2"/>
  <c r="BP303" i="2"/>
  <c r="BO303" i="2"/>
  <c r="BN303" i="2"/>
  <c r="BM303" i="2"/>
  <c r="BL303" i="2"/>
  <c r="BK303" i="2"/>
  <c r="BY302" i="2"/>
  <c r="BX302" i="2"/>
  <c r="BS302" i="2"/>
  <c r="BR302" i="2"/>
  <c r="BQ302" i="2"/>
  <c r="BP302" i="2"/>
  <c r="BO302" i="2"/>
  <c r="BN302" i="2"/>
  <c r="BM302" i="2"/>
  <c r="BL302" i="2"/>
  <c r="BK302" i="2"/>
  <c r="BY301" i="2"/>
  <c r="BX301" i="2"/>
  <c r="BS301" i="2"/>
  <c r="BR301" i="2"/>
  <c r="BQ301" i="2"/>
  <c r="BW301" i="2" s="1"/>
  <c r="BP301" i="2"/>
  <c r="BO301" i="2"/>
  <c r="BN301" i="2"/>
  <c r="BM301" i="2"/>
  <c r="BL301" i="2"/>
  <c r="BK301" i="2"/>
  <c r="BY300" i="2"/>
  <c r="BX300" i="2"/>
  <c r="BS300" i="2"/>
  <c r="BR300" i="2"/>
  <c r="BQ300" i="2"/>
  <c r="BP300" i="2"/>
  <c r="BO300" i="2"/>
  <c r="BN300" i="2"/>
  <c r="BM300" i="2"/>
  <c r="BL300" i="2"/>
  <c r="BK300" i="2"/>
  <c r="BY299" i="2"/>
  <c r="BX299" i="2"/>
  <c r="BS299" i="2"/>
  <c r="BR299" i="2"/>
  <c r="BQ299" i="2"/>
  <c r="BP299" i="2"/>
  <c r="BO299" i="2"/>
  <c r="BN299" i="2"/>
  <c r="BM299" i="2"/>
  <c r="BL299" i="2"/>
  <c r="BK299" i="2"/>
  <c r="BY298" i="2"/>
  <c r="BX298" i="2"/>
  <c r="BS298" i="2"/>
  <c r="BR298" i="2"/>
  <c r="BQ298" i="2"/>
  <c r="BP298" i="2"/>
  <c r="BO298" i="2"/>
  <c r="BN298" i="2"/>
  <c r="BM298" i="2"/>
  <c r="BL298" i="2"/>
  <c r="BK298" i="2"/>
  <c r="BY297" i="2"/>
  <c r="BX297" i="2"/>
  <c r="BS297" i="2"/>
  <c r="BR297" i="2"/>
  <c r="BQ297" i="2"/>
  <c r="BP297" i="2"/>
  <c r="BO297" i="2"/>
  <c r="BN297" i="2"/>
  <c r="BM297" i="2"/>
  <c r="BL297" i="2"/>
  <c r="BK297" i="2"/>
  <c r="BY296" i="2"/>
  <c r="BX296" i="2"/>
  <c r="BS296" i="2"/>
  <c r="BR296" i="2"/>
  <c r="BQ296" i="2"/>
  <c r="BP296" i="2"/>
  <c r="BO296" i="2"/>
  <c r="BN296" i="2"/>
  <c r="BM296" i="2"/>
  <c r="BL296" i="2"/>
  <c r="BK296" i="2"/>
  <c r="BY295" i="2"/>
  <c r="BX295" i="2"/>
  <c r="BS295" i="2"/>
  <c r="BR295" i="2"/>
  <c r="BQ295" i="2"/>
  <c r="BW295" i="2" s="1"/>
  <c r="BP295" i="2"/>
  <c r="BO295" i="2"/>
  <c r="BN295" i="2"/>
  <c r="BM295" i="2"/>
  <c r="BL295" i="2"/>
  <c r="BK295" i="2"/>
  <c r="BY294" i="2"/>
  <c r="BX294" i="2"/>
  <c r="BS294" i="2"/>
  <c r="BR294" i="2"/>
  <c r="BQ294" i="2"/>
  <c r="BP294" i="2"/>
  <c r="BO294" i="2"/>
  <c r="BN294" i="2"/>
  <c r="BM294" i="2"/>
  <c r="BL294" i="2"/>
  <c r="BK294" i="2"/>
  <c r="BY293" i="2"/>
  <c r="BX293" i="2"/>
  <c r="BS293" i="2"/>
  <c r="BR293" i="2"/>
  <c r="BQ293" i="2"/>
  <c r="BW293" i="2" s="1"/>
  <c r="BP293" i="2"/>
  <c r="BO293" i="2"/>
  <c r="BN293" i="2"/>
  <c r="BM293" i="2"/>
  <c r="BL293" i="2"/>
  <c r="BK293" i="2"/>
  <c r="BY292" i="2"/>
  <c r="BX292" i="2"/>
  <c r="BS292" i="2"/>
  <c r="BR292" i="2"/>
  <c r="BQ292" i="2"/>
  <c r="BP292" i="2"/>
  <c r="BO292" i="2"/>
  <c r="BN292" i="2"/>
  <c r="BM292" i="2"/>
  <c r="BL292" i="2"/>
  <c r="BK292" i="2"/>
  <c r="BY291" i="2"/>
  <c r="BX291" i="2"/>
  <c r="BS291" i="2"/>
  <c r="BR291" i="2"/>
  <c r="BQ291" i="2"/>
  <c r="BW291" i="2" s="1"/>
  <c r="BP291" i="2"/>
  <c r="BO291" i="2"/>
  <c r="BN291" i="2"/>
  <c r="BM291" i="2"/>
  <c r="BL291" i="2"/>
  <c r="BK291" i="2"/>
  <c r="BY290" i="2"/>
  <c r="BX290" i="2"/>
  <c r="BS290" i="2"/>
  <c r="BR290" i="2"/>
  <c r="BQ290" i="2"/>
  <c r="BP290" i="2"/>
  <c r="BO290" i="2"/>
  <c r="BN290" i="2"/>
  <c r="BM290" i="2"/>
  <c r="BL290" i="2"/>
  <c r="BK290" i="2"/>
  <c r="BY289" i="2"/>
  <c r="BX289" i="2"/>
  <c r="BS289" i="2"/>
  <c r="BR289" i="2"/>
  <c r="BQ289" i="2"/>
  <c r="BP289" i="2"/>
  <c r="BO289" i="2"/>
  <c r="BN289" i="2"/>
  <c r="BM289" i="2"/>
  <c r="BL289" i="2"/>
  <c r="BK289" i="2"/>
  <c r="BY288" i="2"/>
  <c r="BX288" i="2"/>
  <c r="BS288" i="2"/>
  <c r="BR288" i="2"/>
  <c r="BQ288" i="2"/>
  <c r="BW288" i="2" s="1"/>
  <c r="BP288" i="2"/>
  <c r="BO288" i="2"/>
  <c r="BN288" i="2"/>
  <c r="BM288" i="2"/>
  <c r="BL288" i="2"/>
  <c r="BK288" i="2"/>
  <c r="BY287" i="2"/>
  <c r="BX287" i="2"/>
  <c r="BS287" i="2"/>
  <c r="BR287" i="2"/>
  <c r="BQ287" i="2"/>
  <c r="BP287" i="2"/>
  <c r="BO287" i="2"/>
  <c r="BN287" i="2"/>
  <c r="BM287" i="2"/>
  <c r="BL287" i="2"/>
  <c r="BK287" i="2"/>
  <c r="BY286" i="2"/>
  <c r="BX286" i="2"/>
  <c r="BS286" i="2"/>
  <c r="BR286" i="2"/>
  <c r="BQ286" i="2"/>
  <c r="BP286" i="2"/>
  <c r="BO286" i="2"/>
  <c r="BN286" i="2"/>
  <c r="BM286" i="2"/>
  <c r="BL286" i="2"/>
  <c r="BK286" i="2"/>
  <c r="BY285" i="2"/>
  <c r="BX285" i="2"/>
  <c r="BS285" i="2"/>
  <c r="BR285" i="2"/>
  <c r="BQ285" i="2"/>
  <c r="BW285" i="2" s="1"/>
  <c r="BP285" i="2"/>
  <c r="BO285" i="2"/>
  <c r="BN285" i="2"/>
  <c r="BM285" i="2"/>
  <c r="BL285" i="2"/>
  <c r="BK285" i="2"/>
  <c r="BY284" i="2"/>
  <c r="BX284" i="2"/>
  <c r="BS284" i="2"/>
  <c r="BR284" i="2"/>
  <c r="BQ284" i="2"/>
  <c r="BW284" i="2" s="1"/>
  <c r="BP284" i="2"/>
  <c r="BO284" i="2"/>
  <c r="BN284" i="2"/>
  <c r="BM284" i="2"/>
  <c r="BL284" i="2"/>
  <c r="BK284" i="2"/>
  <c r="BY283" i="2"/>
  <c r="BX283" i="2"/>
  <c r="BS283" i="2"/>
  <c r="BR283" i="2"/>
  <c r="BQ283" i="2"/>
  <c r="BP283" i="2"/>
  <c r="BO283" i="2"/>
  <c r="BN283" i="2"/>
  <c r="BM283" i="2"/>
  <c r="BL283" i="2"/>
  <c r="BK283" i="2"/>
  <c r="BY282" i="2"/>
  <c r="BX282" i="2"/>
  <c r="BS282" i="2"/>
  <c r="BR282" i="2"/>
  <c r="BQ282" i="2"/>
  <c r="BW282" i="2" s="1"/>
  <c r="BP282" i="2"/>
  <c r="BO282" i="2"/>
  <c r="BN282" i="2"/>
  <c r="BM282" i="2"/>
  <c r="BL282" i="2"/>
  <c r="BK282" i="2"/>
  <c r="BY281" i="2"/>
  <c r="BX281" i="2"/>
  <c r="BS281" i="2"/>
  <c r="BR281" i="2"/>
  <c r="BQ281" i="2"/>
  <c r="BP281" i="2"/>
  <c r="BO281" i="2"/>
  <c r="BN281" i="2"/>
  <c r="BM281" i="2"/>
  <c r="BL281" i="2"/>
  <c r="BK281" i="2"/>
  <c r="BY280" i="2"/>
  <c r="BX280" i="2"/>
  <c r="BS280" i="2"/>
  <c r="BR280" i="2"/>
  <c r="BQ280" i="2"/>
  <c r="BP280" i="2"/>
  <c r="BO280" i="2"/>
  <c r="BN280" i="2"/>
  <c r="BM280" i="2"/>
  <c r="BL280" i="2"/>
  <c r="BK280" i="2"/>
  <c r="BY279" i="2"/>
  <c r="BX279" i="2"/>
  <c r="BS279" i="2"/>
  <c r="BR279" i="2"/>
  <c r="BQ279" i="2"/>
  <c r="BW279" i="2" s="1"/>
  <c r="BP279" i="2"/>
  <c r="BO279" i="2"/>
  <c r="BN279" i="2"/>
  <c r="BM279" i="2"/>
  <c r="BL279" i="2"/>
  <c r="BK279" i="2"/>
  <c r="BY278" i="2"/>
  <c r="BX278" i="2"/>
  <c r="BS278" i="2"/>
  <c r="BR278" i="2"/>
  <c r="BQ278" i="2"/>
  <c r="BP278" i="2"/>
  <c r="BO278" i="2"/>
  <c r="BN278" i="2"/>
  <c r="BM278" i="2"/>
  <c r="BL278" i="2"/>
  <c r="BK278" i="2"/>
  <c r="BY277" i="2"/>
  <c r="BX277" i="2"/>
  <c r="BS277" i="2"/>
  <c r="BR277" i="2"/>
  <c r="BQ277" i="2"/>
  <c r="BP277" i="2"/>
  <c r="BO277" i="2"/>
  <c r="BN277" i="2"/>
  <c r="BM277" i="2"/>
  <c r="BL277" i="2"/>
  <c r="BK277" i="2"/>
  <c r="BY276" i="2"/>
  <c r="BX276" i="2"/>
  <c r="BS276" i="2"/>
  <c r="BR276" i="2"/>
  <c r="BQ276" i="2"/>
  <c r="BP276" i="2"/>
  <c r="BO276" i="2"/>
  <c r="BN276" i="2"/>
  <c r="BM276" i="2"/>
  <c r="BL276" i="2"/>
  <c r="BK276" i="2"/>
  <c r="BY275" i="2"/>
  <c r="BX275" i="2"/>
  <c r="BS275" i="2"/>
  <c r="BR275" i="2"/>
  <c r="BQ275" i="2"/>
  <c r="BW275" i="2" s="1"/>
  <c r="BP275" i="2"/>
  <c r="BO275" i="2"/>
  <c r="BN275" i="2"/>
  <c r="BM275" i="2"/>
  <c r="BL275" i="2"/>
  <c r="BK275" i="2"/>
  <c r="BY274" i="2"/>
  <c r="BX274" i="2"/>
  <c r="BS274" i="2"/>
  <c r="BR274" i="2"/>
  <c r="BQ274" i="2"/>
  <c r="BP274" i="2"/>
  <c r="BO274" i="2"/>
  <c r="BN274" i="2"/>
  <c r="BM274" i="2"/>
  <c r="BL274" i="2"/>
  <c r="BK274" i="2"/>
  <c r="BY273" i="2"/>
  <c r="BX273" i="2"/>
  <c r="BS273" i="2"/>
  <c r="BR273" i="2"/>
  <c r="BQ273" i="2"/>
  <c r="BP273" i="2"/>
  <c r="BO273" i="2"/>
  <c r="BN273" i="2"/>
  <c r="BM273" i="2"/>
  <c r="BL273" i="2"/>
  <c r="BK273" i="2"/>
  <c r="BY272" i="2"/>
  <c r="BX272" i="2"/>
  <c r="BS272" i="2"/>
  <c r="BR272" i="2"/>
  <c r="BQ272" i="2"/>
  <c r="BW272" i="2" s="1"/>
  <c r="BP272" i="2"/>
  <c r="BO272" i="2"/>
  <c r="BN272" i="2"/>
  <c r="BM272" i="2"/>
  <c r="BL272" i="2"/>
  <c r="BK272" i="2"/>
  <c r="BY271" i="2"/>
  <c r="BX271" i="2"/>
  <c r="BS271" i="2"/>
  <c r="BR271" i="2"/>
  <c r="BQ271" i="2"/>
  <c r="BW271" i="2" s="1"/>
  <c r="BP271" i="2"/>
  <c r="BO271" i="2"/>
  <c r="BN271" i="2"/>
  <c r="BM271" i="2"/>
  <c r="BL271" i="2"/>
  <c r="BK271" i="2"/>
  <c r="BY270" i="2"/>
  <c r="BX270" i="2"/>
  <c r="BS270" i="2"/>
  <c r="BR270" i="2"/>
  <c r="BQ270" i="2"/>
  <c r="BP270" i="2"/>
  <c r="BO270" i="2"/>
  <c r="BN270" i="2"/>
  <c r="BM270" i="2"/>
  <c r="BL270" i="2"/>
  <c r="BK270" i="2"/>
  <c r="BY269" i="2"/>
  <c r="BX269" i="2"/>
  <c r="BS269" i="2"/>
  <c r="BR269" i="2"/>
  <c r="BQ269" i="2"/>
  <c r="BW269" i="2" s="1"/>
  <c r="BP269" i="2"/>
  <c r="BO269" i="2"/>
  <c r="BN269" i="2"/>
  <c r="BM269" i="2"/>
  <c r="BL269" i="2"/>
  <c r="BK269" i="2"/>
  <c r="BY268" i="2"/>
  <c r="BX268" i="2"/>
  <c r="BS268" i="2"/>
  <c r="BR268" i="2"/>
  <c r="BQ268" i="2"/>
  <c r="BP268" i="2"/>
  <c r="BO268" i="2"/>
  <c r="BZ268" i="2" s="1"/>
  <c r="BN268" i="2"/>
  <c r="BM268" i="2"/>
  <c r="BL268" i="2"/>
  <c r="BK268" i="2"/>
  <c r="BY267" i="2"/>
  <c r="BX267" i="2"/>
  <c r="BS267" i="2"/>
  <c r="BR267" i="2"/>
  <c r="BQ267" i="2"/>
  <c r="BP267" i="2"/>
  <c r="BO267" i="2"/>
  <c r="BN267" i="2"/>
  <c r="BM267" i="2"/>
  <c r="BL267" i="2"/>
  <c r="BK267" i="2"/>
  <c r="BY266" i="2"/>
  <c r="BX266" i="2"/>
  <c r="BS266" i="2"/>
  <c r="BR266" i="2"/>
  <c r="BQ266" i="2"/>
  <c r="BP266" i="2"/>
  <c r="BO266" i="2"/>
  <c r="BN266" i="2"/>
  <c r="BM266" i="2"/>
  <c r="BL266" i="2"/>
  <c r="BK266" i="2"/>
  <c r="BY265" i="2"/>
  <c r="BX265" i="2"/>
  <c r="BS265" i="2"/>
  <c r="BR265" i="2"/>
  <c r="BQ265" i="2"/>
  <c r="BW265" i="2" s="1"/>
  <c r="BP265" i="2"/>
  <c r="BO265" i="2"/>
  <c r="BN265" i="2"/>
  <c r="BM265" i="2"/>
  <c r="BL265" i="2"/>
  <c r="BK265" i="2"/>
  <c r="BY264" i="2"/>
  <c r="BX264" i="2"/>
  <c r="BS264" i="2"/>
  <c r="BR264" i="2"/>
  <c r="BQ264" i="2"/>
  <c r="BW264" i="2" s="1"/>
  <c r="BP264" i="2"/>
  <c r="BO264" i="2"/>
  <c r="BN264" i="2"/>
  <c r="BM264" i="2"/>
  <c r="BL264" i="2"/>
  <c r="BK264" i="2"/>
  <c r="BY263" i="2"/>
  <c r="BX263" i="2"/>
  <c r="BS263" i="2"/>
  <c r="BR263" i="2"/>
  <c r="BQ263" i="2"/>
  <c r="BP263" i="2"/>
  <c r="BO263" i="2"/>
  <c r="BN263" i="2"/>
  <c r="BM263" i="2"/>
  <c r="BL263" i="2"/>
  <c r="BK263" i="2"/>
  <c r="BY262" i="2"/>
  <c r="BX262" i="2"/>
  <c r="BS262" i="2"/>
  <c r="BR262" i="2"/>
  <c r="BQ262" i="2"/>
  <c r="BW262" i="2" s="1"/>
  <c r="BP262" i="2"/>
  <c r="BO262" i="2"/>
  <c r="BN262" i="2"/>
  <c r="BM262" i="2"/>
  <c r="BL262" i="2"/>
  <c r="BK262" i="2"/>
  <c r="BY261" i="2"/>
  <c r="BX261" i="2"/>
  <c r="BS261" i="2"/>
  <c r="BR261" i="2"/>
  <c r="BQ261" i="2"/>
  <c r="BP261" i="2"/>
  <c r="BO261" i="2"/>
  <c r="BN261" i="2"/>
  <c r="BM261" i="2"/>
  <c r="BL261" i="2"/>
  <c r="BK261" i="2"/>
  <c r="BY260" i="2"/>
  <c r="BX260" i="2"/>
  <c r="BS260" i="2"/>
  <c r="BR260" i="2"/>
  <c r="BQ260" i="2"/>
  <c r="BW260" i="2" s="1"/>
  <c r="BP260" i="2"/>
  <c r="BO260" i="2"/>
  <c r="BN260" i="2"/>
  <c r="BM260" i="2"/>
  <c r="BL260" i="2"/>
  <c r="BK260" i="2"/>
  <c r="BY259" i="2"/>
  <c r="BX259" i="2"/>
  <c r="BS259" i="2"/>
  <c r="BR259" i="2"/>
  <c r="BQ259" i="2"/>
  <c r="BW259" i="2" s="1"/>
  <c r="BP259" i="2"/>
  <c r="BO259" i="2"/>
  <c r="BN259" i="2"/>
  <c r="BM259" i="2"/>
  <c r="BL259" i="2"/>
  <c r="BK259" i="2"/>
  <c r="BY258" i="2"/>
  <c r="BX258" i="2"/>
  <c r="BS258" i="2"/>
  <c r="BR258" i="2"/>
  <c r="BQ258" i="2"/>
  <c r="BW258" i="2" s="1"/>
  <c r="BP258" i="2"/>
  <c r="BO258" i="2"/>
  <c r="BN258" i="2"/>
  <c r="BM258" i="2"/>
  <c r="BL258" i="2"/>
  <c r="BK258" i="2"/>
  <c r="BY257" i="2"/>
  <c r="BX257" i="2"/>
  <c r="BS257" i="2"/>
  <c r="BR257" i="2"/>
  <c r="BQ257" i="2"/>
  <c r="BP257" i="2"/>
  <c r="BO257" i="2"/>
  <c r="BN257" i="2"/>
  <c r="BM257" i="2"/>
  <c r="BL257" i="2"/>
  <c r="BK257" i="2"/>
  <c r="BY256" i="2"/>
  <c r="BX256" i="2"/>
  <c r="BS256" i="2"/>
  <c r="BR256" i="2"/>
  <c r="BQ256" i="2"/>
  <c r="BW256" i="2" s="1"/>
  <c r="BP256" i="2"/>
  <c r="BO256" i="2"/>
  <c r="BN256" i="2"/>
  <c r="BM256" i="2"/>
  <c r="BL256" i="2"/>
  <c r="BK256" i="2"/>
  <c r="BY255" i="2"/>
  <c r="BX255" i="2"/>
  <c r="BS255" i="2"/>
  <c r="BR255" i="2"/>
  <c r="BQ255" i="2"/>
  <c r="BP255" i="2"/>
  <c r="BO255" i="2"/>
  <c r="BN255" i="2"/>
  <c r="BM255" i="2"/>
  <c r="BL255" i="2"/>
  <c r="BK255" i="2"/>
  <c r="BY254" i="2"/>
  <c r="BX254" i="2"/>
  <c r="BS254" i="2"/>
  <c r="BR254" i="2"/>
  <c r="BQ254" i="2"/>
  <c r="BP254" i="2"/>
  <c r="BO254" i="2"/>
  <c r="BN254" i="2"/>
  <c r="BM254" i="2"/>
  <c r="BL254" i="2"/>
  <c r="BK254" i="2"/>
  <c r="BY253" i="2"/>
  <c r="BX253" i="2"/>
  <c r="BS253" i="2"/>
  <c r="BR253" i="2"/>
  <c r="BQ253" i="2"/>
  <c r="BW253" i="2" s="1"/>
  <c r="BP253" i="2"/>
  <c r="BO253" i="2"/>
  <c r="BN253" i="2"/>
  <c r="BM253" i="2"/>
  <c r="BL253" i="2"/>
  <c r="BK253" i="2"/>
  <c r="BY252" i="2"/>
  <c r="BX252" i="2"/>
  <c r="BS252" i="2"/>
  <c r="BR252" i="2"/>
  <c r="BQ252" i="2"/>
  <c r="BP252" i="2"/>
  <c r="BO252" i="2"/>
  <c r="BN252" i="2"/>
  <c r="BM252" i="2"/>
  <c r="BL252" i="2"/>
  <c r="BK252" i="2"/>
  <c r="BY251" i="2"/>
  <c r="BX251" i="2"/>
  <c r="BS251" i="2"/>
  <c r="BR251" i="2"/>
  <c r="BQ251" i="2"/>
  <c r="BW251" i="2" s="1"/>
  <c r="BP251" i="2"/>
  <c r="BO251" i="2"/>
  <c r="BN251" i="2"/>
  <c r="BM251" i="2"/>
  <c r="BL251" i="2"/>
  <c r="BK251" i="2"/>
  <c r="BY250" i="2"/>
  <c r="BX250" i="2"/>
  <c r="BS250" i="2"/>
  <c r="BR250" i="2"/>
  <c r="BQ250" i="2"/>
  <c r="BP250" i="2"/>
  <c r="BO250" i="2"/>
  <c r="BN250" i="2"/>
  <c r="BM250" i="2"/>
  <c r="BL250" i="2"/>
  <c r="BK250" i="2"/>
  <c r="BY249" i="2"/>
  <c r="BX249" i="2"/>
  <c r="BS249" i="2"/>
  <c r="BR249" i="2"/>
  <c r="BQ249" i="2"/>
  <c r="BW249" i="2" s="1"/>
  <c r="BP249" i="2"/>
  <c r="BO249" i="2"/>
  <c r="BN249" i="2"/>
  <c r="BM249" i="2"/>
  <c r="BL249" i="2"/>
  <c r="BK249" i="2"/>
  <c r="BY248" i="2"/>
  <c r="BX248" i="2"/>
  <c r="BS248" i="2"/>
  <c r="BR248" i="2"/>
  <c r="BQ248" i="2"/>
  <c r="BW248" i="2" s="1"/>
  <c r="BP248" i="2"/>
  <c r="BO248" i="2"/>
  <c r="BN248" i="2"/>
  <c r="BM248" i="2"/>
  <c r="BL248" i="2"/>
  <c r="BK248" i="2"/>
  <c r="BY247" i="2"/>
  <c r="BX247" i="2"/>
  <c r="BS247" i="2"/>
  <c r="BR247" i="2"/>
  <c r="BQ247" i="2"/>
  <c r="BW247" i="2" s="1"/>
  <c r="BP247" i="2"/>
  <c r="BO247" i="2"/>
  <c r="BN247" i="2"/>
  <c r="BM247" i="2"/>
  <c r="BL247" i="2"/>
  <c r="BK247" i="2"/>
  <c r="BY246" i="2"/>
  <c r="BX246" i="2"/>
  <c r="BS246" i="2"/>
  <c r="BR246" i="2"/>
  <c r="BQ246" i="2"/>
  <c r="BP246" i="2"/>
  <c r="BO246" i="2"/>
  <c r="BN246" i="2"/>
  <c r="BM246" i="2"/>
  <c r="BL246" i="2"/>
  <c r="BK246" i="2"/>
  <c r="BY245" i="2"/>
  <c r="BX245" i="2"/>
  <c r="BS245" i="2"/>
  <c r="BR245" i="2"/>
  <c r="BQ245" i="2"/>
  <c r="BW245" i="2" s="1"/>
  <c r="BP245" i="2"/>
  <c r="BO245" i="2"/>
  <c r="BN245" i="2"/>
  <c r="BM245" i="2"/>
  <c r="BL245" i="2"/>
  <c r="BK245" i="2"/>
  <c r="BY244" i="2"/>
  <c r="BX244" i="2"/>
  <c r="BS244" i="2"/>
  <c r="BR244" i="2"/>
  <c r="BQ244" i="2"/>
  <c r="BP244" i="2"/>
  <c r="BO244" i="2"/>
  <c r="BN244" i="2"/>
  <c r="BM244" i="2"/>
  <c r="BL244" i="2"/>
  <c r="BK244" i="2"/>
  <c r="BY243" i="2"/>
  <c r="BX243" i="2"/>
  <c r="BS243" i="2"/>
  <c r="BR243" i="2"/>
  <c r="BQ243" i="2"/>
  <c r="BP243" i="2"/>
  <c r="BO243" i="2"/>
  <c r="BN243" i="2"/>
  <c r="BM243" i="2"/>
  <c r="BL243" i="2"/>
  <c r="BK243" i="2"/>
  <c r="BY242" i="2"/>
  <c r="BX242" i="2"/>
  <c r="BS242" i="2"/>
  <c r="BR242" i="2"/>
  <c r="BQ242" i="2"/>
  <c r="BP242" i="2"/>
  <c r="BO242" i="2"/>
  <c r="BN242" i="2"/>
  <c r="BM242" i="2"/>
  <c r="BL242" i="2"/>
  <c r="BK242" i="2"/>
  <c r="BY241" i="2"/>
  <c r="BX241" i="2"/>
  <c r="BS241" i="2"/>
  <c r="BR241" i="2"/>
  <c r="BQ241" i="2"/>
  <c r="BW241" i="2" s="1"/>
  <c r="BP241" i="2"/>
  <c r="BO241" i="2"/>
  <c r="BN241" i="2"/>
  <c r="BM241" i="2"/>
  <c r="BL241" i="2"/>
  <c r="BK241" i="2"/>
  <c r="BY240" i="2"/>
  <c r="BX240" i="2"/>
  <c r="BS240" i="2"/>
  <c r="BR240" i="2"/>
  <c r="BQ240" i="2"/>
  <c r="BW240" i="2" s="1"/>
  <c r="BP240" i="2"/>
  <c r="BO240" i="2"/>
  <c r="BN240" i="2"/>
  <c r="BM240" i="2"/>
  <c r="BL240" i="2"/>
  <c r="BK240" i="2"/>
  <c r="BY239" i="2"/>
  <c r="BX239" i="2"/>
  <c r="BS239" i="2"/>
  <c r="BR239" i="2"/>
  <c r="BQ239" i="2"/>
  <c r="BW239" i="2" s="1"/>
  <c r="BP239" i="2"/>
  <c r="BO239" i="2"/>
  <c r="BN239" i="2"/>
  <c r="BM239" i="2"/>
  <c r="BL239" i="2"/>
  <c r="BK239" i="2"/>
  <c r="BY238" i="2"/>
  <c r="BX238" i="2"/>
  <c r="BS238" i="2"/>
  <c r="BR238" i="2"/>
  <c r="BQ238" i="2"/>
  <c r="BW238" i="2" s="1"/>
  <c r="BP238" i="2"/>
  <c r="BO238" i="2"/>
  <c r="BN238" i="2"/>
  <c r="BM238" i="2"/>
  <c r="BL238" i="2"/>
  <c r="BK238" i="2"/>
  <c r="BY237" i="2"/>
  <c r="BX237" i="2"/>
  <c r="BS237" i="2"/>
  <c r="BR237" i="2"/>
  <c r="BQ237" i="2"/>
  <c r="BP237" i="2"/>
  <c r="BO237" i="2"/>
  <c r="BN237" i="2"/>
  <c r="BM237" i="2"/>
  <c r="BL237" i="2"/>
  <c r="BK237" i="2"/>
  <c r="BY236" i="2"/>
  <c r="BX236" i="2"/>
  <c r="BS236" i="2"/>
  <c r="BR236" i="2"/>
  <c r="BQ236" i="2"/>
  <c r="BP236" i="2"/>
  <c r="BO236" i="2"/>
  <c r="BN236" i="2"/>
  <c r="BM236" i="2"/>
  <c r="BL236" i="2"/>
  <c r="BK236" i="2"/>
  <c r="BY235" i="2"/>
  <c r="BX235" i="2"/>
  <c r="BS235" i="2"/>
  <c r="BR235" i="2"/>
  <c r="BQ235" i="2"/>
  <c r="BW235" i="2" s="1"/>
  <c r="BP235" i="2"/>
  <c r="BO235" i="2"/>
  <c r="BN235" i="2"/>
  <c r="BM235" i="2"/>
  <c r="BL235" i="2"/>
  <c r="BK235" i="2"/>
  <c r="BY234" i="2"/>
  <c r="BX234" i="2"/>
  <c r="BS234" i="2"/>
  <c r="BR234" i="2"/>
  <c r="BQ234" i="2"/>
  <c r="BW234" i="2" s="1"/>
  <c r="BP234" i="2"/>
  <c r="BO234" i="2"/>
  <c r="BN234" i="2"/>
  <c r="BM234" i="2"/>
  <c r="BL234" i="2"/>
  <c r="BK234" i="2"/>
  <c r="BY233" i="2"/>
  <c r="BX233" i="2"/>
  <c r="BS233" i="2"/>
  <c r="BR233" i="2"/>
  <c r="BQ233" i="2"/>
  <c r="BW233" i="2" s="1"/>
  <c r="BP233" i="2"/>
  <c r="BO233" i="2"/>
  <c r="BN233" i="2"/>
  <c r="BM233" i="2"/>
  <c r="BL233" i="2"/>
  <c r="BK233" i="2"/>
  <c r="BY232" i="2"/>
  <c r="BX232" i="2"/>
  <c r="BS232" i="2"/>
  <c r="BR232" i="2"/>
  <c r="BQ232" i="2"/>
  <c r="BW232" i="2" s="1"/>
  <c r="BP232" i="2"/>
  <c r="BO232" i="2"/>
  <c r="BN232" i="2"/>
  <c r="BM232" i="2"/>
  <c r="BL232" i="2"/>
  <c r="BK232" i="2"/>
  <c r="BY231" i="2"/>
  <c r="BX231" i="2"/>
  <c r="BS231" i="2"/>
  <c r="BR231" i="2"/>
  <c r="BQ231" i="2"/>
  <c r="BW231" i="2" s="1"/>
  <c r="BP231" i="2"/>
  <c r="BO231" i="2"/>
  <c r="BN231" i="2"/>
  <c r="BM231" i="2"/>
  <c r="BL231" i="2"/>
  <c r="BK231" i="2"/>
  <c r="BY230" i="2"/>
  <c r="BX230" i="2"/>
  <c r="BS230" i="2"/>
  <c r="BR230" i="2"/>
  <c r="BQ230" i="2"/>
  <c r="BP230" i="2"/>
  <c r="BO230" i="2"/>
  <c r="BN230" i="2"/>
  <c r="BM230" i="2"/>
  <c r="BL230" i="2"/>
  <c r="BK230" i="2"/>
  <c r="BY229" i="2"/>
  <c r="BX229" i="2"/>
  <c r="BS229" i="2"/>
  <c r="BR229" i="2"/>
  <c r="BQ229" i="2"/>
  <c r="BW229" i="2" s="1"/>
  <c r="BP229" i="2"/>
  <c r="BO229" i="2"/>
  <c r="BN229" i="2"/>
  <c r="BM229" i="2"/>
  <c r="BL229" i="2"/>
  <c r="BK229" i="2"/>
  <c r="BY228" i="2"/>
  <c r="BX228" i="2"/>
  <c r="BS228" i="2"/>
  <c r="BR228" i="2"/>
  <c r="BQ228" i="2"/>
  <c r="BW228" i="2" s="1"/>
  <c r="BP228" i="2"/>
  <c r="BO228" i="2"/>
  <c r="BN228" i="2"/>
  <c r="BM228" i="2"/>
  <c r="BL228" i="2"/>
  <c r="BK228" i="2"/>
  <c r="BY227" i="2"/>
  <c r="BX227" i="2"/>
  <c r="BS227" i="2"/>
  <c r="BR227" i="2"/>
  <c r="BQ227" i="2"/>
  <c r="BP227" i="2"/>
  <c r="BO227" i="2"/>
  <c r="BN227" i="2"/>
  <c r="BM227" i="2"/>
  <c r="BL227" i="2"/>
  <c r="BK227" i="2"/>
  <c r="BY226" i="2"/>
  <c r="BX226" i="2"/>
  <c r="BS226" i="2"/>
  <c r="BR226" i="2"/>
  <c r="BQ226" i="2"/>
  <c r="BW226" i="2" s="1"/>
  <c r="BP226" i="2"/>
  <c r="BO226" i="2"/>
  <c r="BN226" i="2"/>
  <c r="BM226" i="2"/>
  <c r="BL226" i="2"/>
  <c r="BK226" i="2"/>
  <c r="BY225" i="2"/>
  <c r="BX225" i="2"/>
  <c r="BS225" i="2"/>
  <c r="BR225" i="2"/>
  <c r="BQ225" i="2"/>
  <c r="BP225" i="2"/>
  <c r="BO225" i="2"/>
  <c r="BN225" i="2"/>
  <c r="BM225" i="2"/>
  <c r="BL225" i="2"/>
  <c r="BK225" i="2"/>
  <c r="BY224" i="2"/>
  <c r="BX224" i="2"/>
  <c r="BS224" i="2"/>
  <c r="BR224" i="2"/>
  <c r="BQ224" i="2"/>
  <c r="BW224" i="2" s="1"/>
  <c r="BP224" i="2"/>
  <c r="BO224" i="2"/>
  <c r="BN224" i="2"/>
  <c r="BM224" i="2"/>
  <c r="BL224" i="2"/>
  <c r="BK224" i="2"/>
  <c r="BY223" i="2"/>
  <c r="BX223" i="2"/>
  <c r="BS223" i="2"/>
  <c r="BR223" i="2"/>
  <c r="BQ223" i="2"/>
  <c r="BP223" i="2"/>
  <c r="BO223" i="2"/>
  <c r="BN223" i="2"/>
  <c r="BM223" i="2"/>
  <c r="BL223" i="2"/>
  <c r="BK223" i="2"/>
  <c r="BY222" i="2"/>
  <c r="BX222" i="2"/>
  <c r="BS222" i="2"/>
  <c r="BR222" i="2"/>
  <c r="BQ222" i="2"/>
  <c r="BP222" i="2"/>
  <c r="BO222" i="2"/>
  <c r="BN222" i="2"/>
  <c r="BM222" i="2"/>
  <c r="BL222" i="2"/>
  <c r="BK222" i="2"/>
  <c r="BY221" i="2"/>
  <c r="BX221" i="2"/>
  <c r="BS221" i="2"/>
  <c r="BR221" i="2"/>
  <c r="BQ221" i="2"/>
  <c r="BW221" i="2" s="1"/>
  <c r="BP221" i="2"/>
  <c r="BO221" i="2"/>
  <c r="BN221" i="2"/>
  <c r="BM221" i="2"/>
  <c r="BL221" i="2"/>
  <c r="BK221" i="2"/>
  <c r="BY220" i="2"/>
  <c r="BX220" i="2"/>
  <c r="BS220" i="2"/>
  <c r="BR220" i="2"/>
  <c r="BQ220" i="2"/>
  <c r="BP220" i="2"/>
  <c r="BO220" i="2"/>
  <c r="BN220" i="2"/>
  <c r="BM220" i="2"/>
  <c r="BL220" i="2"/>
  <c r="BK220" i="2"/>
  <c r="BY219" i="2"/>
  <c r="BX219" i="2"/>
  <c r="BS219" i="2"/>
  <c r="BR219" i="2"/>
  <c r="BQ219" i="2"/>
  <c r="BW219" i="2" s="1"/>
  <c r="BP219" i="2"/>
  <c r="BO219" i="2"/>
  <c r="BN219" i="2"/>
  <c r="BM219" i="2"/>
  <c r="BL219" i="2"/>
  <c r="BK219" i="2"/>
  <c r="BY218" i="2"/>
  <c r="BX218" i="2"/>
  <c r="BS218" i="2"/>
  <c r="BR218" i="2"/>
  <c r="BQ218" i="2"/>
  <c r="BW218" i="2" s="1"/>
  <c r="BP218" i="2"/>
  <c r="BO218" i="2"/>
  <c r="BN218" i="2"/>
  <c r="BM218" i="2"/>
  <c r="BL218" i="2"/>
  <c r="BK218" i="2"/>
  <c r="BY217" i="2"/>
  <c r="BX217" i="2"/>
  <c r="BS217" i="2"/>
  <c r="BR217" i="2"/>
  <c r="BQ217" i="2"/>
  <c r="BP217" i="2"/>
  <c r="BO217" i="2"/>
  <c r="BN217" i="2"/>
  <c r="BM217" i="2"/>
  <c r="BL217" i="2"/>
  <c r="BK217" i="2"/>
  <c r="BY216" i="2"/>
  <c r="BX216" i="2"/>
  <c r="BS216" i="2"/>
  <c r="BR216" i="2"/>
  <c r="BQ216" i="2"/>
  <c r="BW216" i="2" s="1"/>
  <c r="BP216" i="2"/>
  <c r="BO216" i="2"/>
  <c r="BN216" i="2"/>
  <c r="BM216" i="2"/>
  <c r="BL216" i="2"/>
  <c r="BK216" i="2"/>
  <c r="BY215" i="2"/>
  <c r="BX215" i="2"/>
  <c r="BS215" i="2"/>
  <c r="BR215" i="2"/>
  <c r="BQ215" i="2"/>
  <c r="BP215" i="2"/>
  <c r="BO215" i="2"/>
  <c r="BN215" i="2"/>
  <c r="BM215" i="2"/>
  <c r="BL215" i="2"/>
  <c r="BK215" i="2"/>
  <c r="BY214" i="2"/>
  <c r="BX214" i="2"/>
  <c r="BS214" i="2"/>
  <c r="BR214" i="2"/>
  <c r="BQ214" i="2"/>
  <c r="BP214" i="2"/>
  <c r="BO214" i="2"/>
  <c r="BN214" i="2"/>
  <c r="BM214" i="2"/>
  <c r="BL214" i="2"/>
  <c r="BK214" i="2"/>
  <c r="BY213" i="2"/>
  <c r="BX213" i="2"/>
  <c r="BS213" i="2"/>
  <c r="BR213" i="2"/>
  <c r="BQ213" i="2"/>
  <c r="BP213" i="2"/>
  <c r="BO213" i="2"/>
  <c r="BN213" i="2"/>
  <c r="BM213" i="2"/>
  <c r="BL213" i="2"/>
  <c r="BK213" i="2"/>
  <c r="BY212" i="2"/>
  <c r="BX212" i="2"/>
  <c r="BS212" i="2"/>
  <c r="BR212" i="2"/>
  <c r="BQ212" i="2"/>
  <c r="BW212" i="2" s="1"/>
  <c r="BP212" i="2"/>
  <c r="BO212" i="2"/>
  <c r="BN212" i="2"/>
  <c r="BM212" i="2"/>
  <c r="BL212" i="2"/>
  <c r="BK212" i="2"/>
  <c r="BY211" i="2"/>
  <c r="BX211" i="2"/>
  <c r="BS211" i="2"/>
  <c r="BR211" i="2"/>
  <c r="BQ211" i="2"/>
  <c r="BW211" i="2" s="1"/>
  <c r="BP211" i="2"/>
  <c r="BO211" i="2"/>
  <c r="BN211" i="2"/>
  <c r="BM211" i="2"/>
  <c r="BL211" i="2"/>
  <c r="BK211" i="2"/>
  <c r="BY210" i="2"/>
  <c r="BX210" i="2"/>
  <c r="BS210" i="2"/>
  <c r="BR210" i="2"/>
  <c r="BQ210" i="2"/>
  <c r="BP210" i="2"/>
  <c r="BO210" i="2"/>
  <c r="BN210" i="2"/>
  <c r="BM210" i="2"/>
  <c r="BL210" i="2"/>
  <c r="BK210" i="2"/>
  <c r="BY209" i="2"/>
  <c r="BX209" i="2"/>
  <c r="BS209" i="2"/>
  <c r="BR209" i="2"/>
  <c r="BQ209" i="2"/>
  <c r="BW209" i="2" s="1"/>
  <c r="BP209" i="2"/>
  <c r="BO209" i="2"/>
  <c r="BN209" i="2"/>
  <c r="BM209" i="2"/>
  <c r="BL209" i="2"/>
  <c r="BK209" i="2"/>
  <c r="BY208" i="2"/>
  <c r="BX208" i="2"/>
  <c r="BS208" i="2"/>
  <c r="BR208" i="2"/>
  <c r="BQ208" i="2"/>
  <c r="BW208" i="2" s="1"/>
  <c r="BP208" i="2"/>
  <c r="BO208" i="2"/>
  <c r="BN208" i="2"/>
  <c r="BM208" i="2"/>
  <c r="BL208" i="2"/>
  <c r="BK208" i="2"/>
  <c r="BY207" i="2"/>
  <c r="BX207" i="2"/>
  <c r="BS207" i="2"/>
  <c r="BR207" i="2"/>
  <c r="BQ207" i="2"/>
  <c r="BW207" i="2" s="1"/>
  <c r="BP207" i="2"/>
  <c r="BO207" i="2"/>
  <c r="BN207" i="2"/>
  <c r="BM207" i="2"/>
  <c r="BL207" i="2"/>
  <c r="BK207" i="2"/>
  <c r="BY206" i="2"/>
  <c r="BX206" i="2"/>
  <c r="BS206" i="2"/>
  <c r="BR206" i="2"/>
  <c r="BQ206" i="2"/>
  <c r="BW206" i="2" s="1"/>
  <c r="BP206" i="2"/>
  <c r="BO206" i="2"/>
  <c r="BN206" i="2"/>
  <c r="BM206" i="2"/>
  <c r="BL206" i="2"/>
  <c r="BK206" i="2"/>
  <c r="BY205" i="2"/>
  <c r="BX205" i="2"/>
  <c r="BS205" i="2"/>
  <c r="BR205" i="2"/>
  <c r="BQ205" i="2"/>
  <c r="BW205" i="2" s="1"/>
  <c r="BP205" i="2"/>
  <c r="BO205" i="2"/>
  <c r="BN205" i="2"/>
  <c r="BM205" i="2"/>
  <c r="BL205" i="2"/>
  <c r="BK205" i="2"/>
  <c r="BY204" i="2"/>
  <c r="BX204" i="2"/>
  <c r="BS204" i="2"/>
  <c r="BR204" i="2"/>
  <c r="BQ204" i="2"/>
  <c r="BW204" i="2" s="1"/>
  <c r="BP204" i="2"/>
  <c r="BO204" i="2"/>
  <c r="BN204" i="2"/>
  <c r="BM204" i="2"/>
  <c r="BL204" i="2"/>
  <c r="BK204" i="2"/>
  <c r="BY203" i="2"/>
  <c r="BX203" i="2"/>
  <c r="BS203" i="2"/>
  <c r="BR203" i="2"/>
  <c r="BQ203" i="2"/>
  <c r="BP203" i="2"/>
  <c r="BO203" i="2"/>
  <c r="BN203" i="2"/>
  <c r="BM203" i="2"/>
  <c r="BL203" i="2"/>
  <c r="BK203" i="2"/>
  <c r="BY202" i="2"/>
  <c r="BX202" i="2"/>
  <c r="BS202" i="2"/>
  <c r="BR202" i="2"/>
  <c r="BQ202" i="2"/>
  <c r="BP202" i="2"/>
  <c r="BO202" i="2"/>
  <c r="BN202" i="2"/>
  <c r="BM202" i="2"/>
  <c r="BL202" i="2"/>
  <c r="BK202" i="2"/>
  <c r="BY201" i="2"/>
  <c r="BX201" i="2"/>
  <c r="BS201" i="2"/>
  <c r="BR201" i="2"/>
  <c r="BQ201" i="2"/>
  <c r="BW201" i="2" s="1"/>
  <c r="BP201" i="2"/>
  <c r="BO201" i="2"/>
  <c r="BN201" i="2"/>
  <c r="BM201" i="2"/>
  <c r="BL201" i="2"/>
  <c r="BK201" i="2"/>
  <c r="BY200" i="2"/>
  <c r="BX200" i="2"/>
  <c r="BS200" i="2"/>
  <c r="BR200" i="2"/>
  <c r="BQ200" i="2"/>
  <c r="BW200" i="2" s="1"/>
  <c r="BP200" i="2"/>
  <c r="BO200" i="2"/>
  <c r="BN200" i="2"/>
  <c r="BM200" i="2"/>
  <c r="BL200" i="2"/>
  <c r="BK200" i="2"/>
  <c r="BY199" i="2"/>
  <c r="BX199" i="2"/>
  <c r="BS199" i="2"/>
  <c r="BR199" i="2"/>
  <c r="BQ199" i="2"/>
  <c r="BW199" i="2" s="1"/>
  <c r="BP199" i="2"/>
  <c r="BO199" i="2"/>
  <c r="BN199" i="2"/>
  <c r="BM199" i="2"/>
  <c r="BL199" i="2"/>
  <c r="BK199" i="2"/>
  <c r="BY198" i="2"/>
  <c r="BX198" i="2"/>
  <c r="BS198" i="2"/>
  <c r="BR198" i="2"/>
  <c r="BQ198" i="2"/>
  <c r="BW198" i="2" s="1"/>
  <c r="BP198" i="2"/>
  <c r="BO198" i="2"/>
  <c r="BN198" i="2"/>
  <c r="BM198" i="2"/>
  <c r="BL198" i="2"/>
  <c r="BK198" i="2"/>
  <c r="BY197" i="2"/>
  <c r="BX197" i="2"/>
  <c r="BS197" i="2"/>
  <c r="BR197" i="2"/>
  <c r="BQ197" i="2"/>
  <c r="BW197" i="2" s="1"/>
  <c r="BP197" i="2"/>
  <c r="BO197" i="2"/>
  <c r="BN197" i="2"/>
  <c r="BM197" i="2"/>
  <c r="BL197" i="2"/>
  <c r="BK197" i="2"/>
  <c r="BY196" i="2"/>
  <c r="BX196" i="2"/>
  <c r="BS196" i="2"/>
  <c r="BR196" i="2"/>
  <c r="BQ196" i="2"/>
  <c r="BP196" i="2"/>
  <c r="BO196" i="2"/>
  <c r="BN196" i="2"/>
  <c r="BM196" i="2"/>
  <c r="BL196" i="2"/>
  <c r="BK196" i="2"/>
  <c r="BY195" i="2"/>
  <c r="BX195" i="2"/>
  <c r="BS195" i="2"/>
  <c r="BR195" i="2"/>
  <c r="BQ195" i="2"/>
  <c r="BW195" i="2" s="1"/>
  <c r="BP195" i="2"/>
  <c r="BO195" i="2"/>
  <c r="BN195" i="2"/>
  <c r="BM195" i="2"/>
  <c r="BL195" i="2"/>
  <c r="BK195" i="2"/>
  <c r="BY194" i="2"/>
  <c r="BX194" i="2"/>
  <c r="BS194" i="2"/>
  <c r="BR194" i="2"/>
  <c r="BQ194" i="2"/>
  <c r="BW194" i="2" s="1"/>
  <c r="BP194" i="2"/>
  <c r="BO194" i="2"/>
  <c r="BN194" i="2"/>
  <c r="BM194" i="2"/>
  <c r="BL194" i="2"/>
  <c r="BK194" i="2"/>
  <c r="BY193" i="2"/>
  <c r="BX193" i="2"/>
  <c r="BS193" i="2"/>
  <c r="BR193" i="2"/>
  <c r="BQ193" i="2"/>
  <c r="BW193" i="2" s="1"/>
  <c r="BP193" i="2"/>
  <c r="BO193" i="2"/>
  <c r="BN193" i="2"/>
  <c r="BM193" i="2"/>
  <c r="BL193" i="2"/>
  <c r="BK193" i="2"/>
  <c r="BY192" i="2"/>
  <c r="BX192" i="2"/>
  <c r="BS192" i="2"/>
  <c r="BR192" i="2"/>
  <c r="BQ192" i="2"/>
  <c r="BP192" i="2"/>
  <c r="BO192" i="2"/>
  <c r="BN192" i="2"/>
  <c r="BM192" i="2"/>
  <c r="BL192" i="2"/>
  <c r="BK192" i="2"/>
  <c r="BY191" i="2"/>
  <c r="BX191" i="2"/>
  <c r="BS191" i="2"/>
  <c r="BR191" i="2"/>
  <c r="BQ191" i="2"/>
  <c r="BW191" i="2" s="1"/>
  <c r="BP191" i="2"/>
  <c r="BO191" i="2"/>
  <c r="BN191" i="2"/>
  <c r="BM191" i="2"/>
  <c r="BL191" i="2"/>
  <c r="BK191" i="2"/>
  <c r="BY190" i="2"/>
  <c r="BX190" i="2"/>
  <c r="BS190" i="2"/>
  <c r="BR190" i="2"/>
  <c r="BQ190" i="2"/>
  <c r="BP190" i="2"/>
  <c r="BO190" i="2"/>
  <c r="BN190" i="2"/>
  <c r="BM190" i="2"/>
  <c r="BL190" i="2"/>
  <c r="BK190" i="2"/>
  <c r="BY189" i="2"/>
  <c r="BX189" i="2"/>
  <c r="BS189" i="2"/>
  <c r="BR189" i="2"/>
  <c r="BQ189" i="2"/>
  <c r="BW189" i="2" s="1"/>
  <c r="BP189" i="2"/>
  <c r="BO189" i="2"/>
  <c r="BN189" i="2"/>
  <c r="BM189" i="2"/>
  <c r="BL189" i="2"/>
  <c r="BK189" i="2"/>
  <c r="BY188" i="2"/>
  <c r="BX188" i="2"/>
  <c r="BS188" i="2"/>
  <c r="BR188" i="2"/>
  <c r="BQ188" i="2"/>
  <c r="BW188" i="2" s="1"/>
  <c r="BP188" i="2"/>
  <c r="BO188" i="2"/>
  <c r="BN188" i="2"/>
  <c r="BM188" i="2"/>
  <c r="BL188" i="2"/>
  <c r="BK188" i="2"/>
  <c r="BY187" i="2"/>
  <c r="BX187" i="2"/>
  <c r="BS187" i="2"/>
  <c r="BR187" i="2"/>
  <c r="BQ187" i="2"/>
  <c r="BW187" i="2" s="1"/>
  <c r="BP187" i="2"/>
  <c r="BO187" i="2"/>
  <c r="BN187" i="2"/>
  <c r="BM187" i="2"/>
  <c r="BL187" i="2"/>
  <c r="BK187" i="2"/>
  <c r="BY186" i="2"/>
  <c r="BX186" i="2"/>
  <c r="BS186" i="2"/>
  <c r="BR186" i="2"/>
  <c r="BQ186" i="2"/>
  <c r="BW186" i="2" s="1"/>
  <c r="BP186" i="2"/>
  <c r="BO186" i="2"/>
  <c r="BN186" i="2"/>
  <c r="BM186" i="2"/>
  <c r="BL186" i="2"/>
  <c r="BK186" i="2"/>
  <c r="BY185" i="2"/>
  <c r="BX185" i="2"/>
  <c r="BS185" i="2"/>
  <c r="BR185" i="2"/>
  <c r="BQ185" i="2"/>
  <c r="BP185" i="2"/>
  <c r="BO185" i="2"/>
  <c r="BN185" i="2"/>
  <c r="BM185" i="2"/>
  <c r="BL185" i="2"/>
  <c r="BK185" i="2"/>
  <c r="BY184" i="2"/>
  <c r="BX184" i="2"/>
  <c r="BS184" i="2"/>
  <c r="BR184" i="2"/>
  <c r="BQ184" i="2"/>
  <c r="BW184" i="2" s="1"/>
  <c r="BP184" i="2"/>
  <c r="BO184" i="2"/>
  <c r="BN184" i="2"/>
  <c r="BM184" i="2"/>
  <c r="BL184" i="2"/>
  <c r="BK184" i="2"/>
  <c r="BY183" i="2"/>
  <c r="BX183" i="2"/>
  <c r="BS183" i="2"/>
  <c r="BR183" i="2"/>
  <c r="BQ183" i="2"/>
  <c r="BW183" i="2" s="1"/>
  <c r="BP183" i="2"/>
  <c r="BO183" i="2"/>
  <c r="BN183" i="2"/>
  <c r="BM183" i="2"/>
  <c r="BL183" i="2"/>
  <c r="BK183" i="2"/>
  <c r="BY182" i="2"/>
  <c r="BX182" i="2"/>
  <c r="BS182" i="2"/>
  <c r="BR182" i="2"/>
  <c r="BQ182" i="2"/>
  <c r="BW182" i="2" s="1"/>
  <c r="BP182" i="2"/>
  <c r="BO182" i="2"/>
  <c r="BN182" i="2"/>
  <c r="BM182" i="2"/>
  <c r="BL182" i="2"/>
  <c r="BK182" i="2"/>
  <c r="BY181" i="2"/>
  <c r="BX181" i="2"/>
  <c r="BS181" i="2"/>
  <c r="BR181" i="2"/>
  <c r="BQ181" i="2"/>
  <c r="BW181" i="2" s="1"/>
  <c r="BP181" i="2"/>
  <c r="BO181" i="2"/>
  <c r="BN181" i="2"/>
  <c r="BM181" i="2"/>
  <c r="BL181" i="2"/>
  <c r="BK181" i="2"/>
  <c r="BY180" i="2"/>
  <c r="BX180" i="2"/>
  <c r="BS180" i="2"/>
  <c r="BR180" i="2"/>
  <c r="BQ180" i="2"/>
  <c r="BP180" i="2"/>
  <c r="BO180" i="2"/>
  <c r="BN180" i="2"/>
  <c r="BM180" i="2"/>
  <c r="BL180" i="2"/>
  <c r="BK180" i="2"/>
  <c r="BY179" i="2"/>
  <c r="BX179" i="2"/>
  <c r="BS179" i="2"/>
  <c r="BR179" i="2"/>
  <c r="BQ179" i="2"/>
  <c r="BP179" i="2"/>
  <c r="BO179" i="2"/>
  <c r="BN179" i="2"/>
  <c r="BM179" i="2"/>
  <c r="BL179" i="2"/>
  <c r="BK179" i="2"/>
  <c r="BY178" i="2"/>
  <c r="BX178" i="2"/>
  <c r="BS178" i="2"/>
  <c r="BR178" i="2"/>
  <c r="BQ178" i="2"/>
  <c r="BP178" i="2"/>
  <c r="BO178" i="2"/>
  <c r="BN178" i="2"/>
  <c r="BM178" i="2"/>
  <c r="BL178" i="2"/>
  <c r="BK178" i="2"/>
  <c r="BY177" i="2"/>
  <c r="BX177" i="2"/>
  <c r="BS177" i="2"/>
  <c r="BR177" i="2"/>
  <c r="BQ177" i="2"/>
  <c r="BW177" i="2" s="1"/>
  <c r="BP177" i="2"/>
  <c r="BO177" i="2"/>
  <c r="BN177" i="2"/>
  <c r="BM177" i="2"/>
  <c r="BL177" i="2"/>
  <c r="BK177" i="2"/>
  <c r="BY176" i="2"/>
  <c r="BX176" i="2"/>
  <c r="BS176" i="2"/>
  <c r="BR176" i="2"/>
  <c r="BQ176" i="2"/>
  <c r="BW176" i="2" s="1"/>
  <c r="BP176" i="2"/>
  <c r="BO176" i="2"/>
  <c r="BN176" i="2"/>
  <c r="BM176" i="2"/>
  <c r="BL176" i="2"/>
  <c r="BK176" i="2"/>
  <c r="BY175" i="2"/>
  <c r="BX175" i="2"/>
  <c r="BS175" i="2"/>
  <c r="BR175" i="2"/>
  <c r="BQ175" i="2"/>
  <c r="BW175" i="2" s="1"/>
  <c r="BP175" i="2"/>
  <c r="BO175" i="2"/>
  <c r="BN175" i="2"/>
  <c r="BM175" i="2"/>
  <c r="BL175" i="2"/>
  <c r="BK175" i="2"/>
  <c r="BY174" i="2"/>
  <c r="BX174" i="2"/>
  <c r="BS174" i="2"/>
  <c r="BR174" i="2"/>
  <c r="BQ174" i="2"/>
  <c r="BP174" i="2"/>
  <c r="BO174" i="2"/>
  <c r="BN174" i="2"/>
  <c r="BM174" i="2"/>
  <c r="BL174" i="2"/>
  <c r="BK174" i="2"/>
  <c r="BY173" i="2"/>
  <c r="BX173" i="2"/>
  <c r="BS173" i="2"/>
  <c r="BR173" i="2"/>
  <c r="BQ173" i="2"/>
  <c r="BW173" i="2" s="1"/>
  <c r="BP173" i="2"/>
  <c r="BO173" i="2"/>
  <c r="BN173" i="2"/>
  <c r="BM173" i="2"/>
  <c r="BL173" i="2"/>
  <c r="BK173" i="2"/>
  <c r="BY172" i="2"/>
  <c r="BX172" i="2"/>
  <c r="BS172" i="2"/>
  <c r="BR172" i="2"/>
  <c r="BQ172" i="2"/>
  <c r="BW172" i="2" s="1"/>
  <c r="BP172" i="2"/>
  <c r="BO172" i="2"/>
  <c r="BN172" i="2"/>
  <c r="BM172" i="2"/>
  <c r="BL172" i="2"/>
  <c r="BK172" i="2"/>
  <c r="BY171" i="2"/>
  <c r="BX171" i="2"/>
  <c r="BS171" i="2"/>
  <c r="BR171" i="2"/>
  <c r="BQ171" i="2"/>
  <c r="BP171" i="2"/>
  <c r="BO171" i="2"/>
  <c r="BN171" i="2"/>
  <c r="BM171" i="2"/>
  <c r="BL171" i="2"/>
  <c r="BK171" i="2"/>
  <c r="BY170" i="2"/>
  <c r="BX170" i="2"/>
  <c r="BS170" i="2"/>
  <c r="BR170" i="2"/>
  <c r="BQ170" i="2"/>
  <c r="BP170" i="2"/>
  <c r="BO170" i="2"/>
  <c r="BN170" i="2"/>
  <c r="BM170" i="2"/>
  <c r="BL170" i="2"/>
  <c r="BK170" i="2"/>
  <c r="BY169" i="2"/>
  <c r="BX169" i="2"/>
  <c r="BS169" i="2"/>
  <c r="BR169" i="2"/>
  <c r="BQ169" i="2"/>
  <c r="BP169" i="2"/>
  <c r="BO169" i="2"/>
  <c r="BN169" i="2"/>
  <c r="BM169" i="2"/>
  <c r="BL169" i="2"/>
  <c r="BK169" i="2"/>
  <c r="BY168" i="2"/>
  <c r="BX168" i="2"/>
  <c r="BS168" i="2"/>
  <c r="BR168" i="2"/>
  <c r="BQ168" i="2"/>
  <c r="BP168" i="2"/>
  <c r="BO168" i="2"/>
  <c r="BN168" i="2"/>
  <c r="BM168" i="2"/>
  <c r="BL168" i="2"/>
  <c r="BK168" i="2"/>
  <c r="BY167" i="2"/>
  <c r="BX167" i="2"/>
  <c r="BS167" i="2"/>
  <c r="BR167" i="2"/>
  <c r="BQ167" i="2"/>
  <c r="BP167" i="2"/>
  <c r="BO167" i="2"/>
  <c r="BN167" i="2"/>
  <c r="BM167" i="2"/>
  <c r="BL167" i="2"/>
  <c r="BK167" i="2"/>
  <c r="BY166" i="2"/>
  <c r="BX166" i="2"/>
  <c r="BS166" i="2"/>
  <c r="BR166" i="2"/>
  <c r="BQ166" i="2"/>
  <c r="BW166" i="2" s="1"/>
  <c r="BP166" i="2"/>
  <c r="BO166" i="2"/>
  <c r="BN166" i="2"/>
  <c r="BM166" i="2"/>
  <c r="BL166" i="2"/>
  <c r="BK166" i="2"/>
  <c r="BY165" i="2"/>
  <c r="BX165" i="2"/>
  <c r="BS165" i="2"/>
  <c r="BR165" i="2"/>
  <c r="BQ165" i="2"/>
  <c r="BW165" i="2" s="1"/>
  <c r="BP165" i="2"/>
  <c r="BO165" i="2"/>
  <c r="BN165" i="2"/>
  <c r="BM165" i="2"/>
  <c r="BL165" i="2"/>
  <c r="BK165" i="2"/>
  <c r="BY164" i="2"/>
  <c r="BX164" i="2"/>
  <c r="BS164" i="2"/>
  <c r="BR164" i="2"/>
  <c r="BQ164" i="2"/>
  <c r="BW164" i="2" s="1"/>
  <c r="BP164" i="2"/>
  <c r="BO164" i="2"/>
  <c r="BN164" i="2"/>
  <c r="BM164" i="2"/>
  <c r="BL164" i="2"/>
  <c r="BK164" i="2"/>
  <c r="BY163" i="2"/>
  <c r="BX163" i="2"/>
  <c r="BS163" i="2"/>
  <c r="BR163" i="2"/>
  <c r="BQ163" i="2"/>
  <c r="BP163" i="2"/>
  <c r="BO163" i="2"/>
  <c r="BN163" i="2"/>
  <c r="BM163" i="2"/>
  <c r="BL163" i="2"/>
  <c r="BK163" i="2"/>
  <c r="BY162" i="2"/>
  <c r="BX162" i="2"/>
  <c r="BS162" i="2"/>
  <c r="BR162" i="2"/>
  <c r="BQ162" i="2"/>
  <c r="BW162" i="2" s="1"/>
  <c r="BP162" i="2"/>
  <c r="BO162" i="2"/>
  <c r="BN162" i="2"/>
  <c r="BM162" i="2"/>
  <c r="BL162" i="2"/>
  <c r="BK162" i="2"/>
  <c r="BY161" i="2"/>
  <c r="BX161" i="2"/>
  <c r="BS161" i="2"/>
  <c r="BR161" i="2"/>
  <c r="BQ161" i="2"/>
  <c r="BW161" i="2" s="1"/>
  <c r="BP161" i="2"/>
  <c r="BO161" i="2"/>
  <c r="BN161" i="2"/>
  <c r="BM161" i="2"/>
  <c r="BL161" i="2"/>
  <c r="BK161" i="2"/>
  <c r="BY160" i="2"/>
  <c r="BX160" i="2"/>
  <c r="BS160" i="2"/>
  <c r="BR160" i="2"/>
  <c r="BQ160" i="2"/>
  <c r="BP160" i="2"/>
  <c r="BO160" i="2"/>
  <c r="BN160" i="2"/>
  <c r="BM160" i="2"/>
  <c r="BL160" i="2"/>
  <c r="BK160" i="2"/>
  <c r="BY159" i="2"/>
  <c r="BX159" i="2"/>
  <c r="BS159" i="2"/>
  <c r="BR159" i="2"/>
  <c r="BQ159" i="2"/>
  <c r="BP159" i="2"/>
  <c r="BO159" i="2"/>
  <c r="BN159" i="2"/>
  <c r="BM159" i="2"/>
  <c r="BL159" i="2"/>
  <c r="BK159" i="2"/>
  <c r="BY158" i="2"/>
  <c r="BX158" i="2"/>
  <c r="BS158" i="2"/>
  <c r="BR158" i="2"/>
  <c r="BQ158" i="2"/>
  <c r="BP158" i="2"/>
  <c r="BO158" i="2"/>
  <c r="BN158" i="2"/>
  <c r="BM158" i="2"/>
  <c r="BL158" i="2"/>
  <c r="BK158" i="2"/>
  <c r="BY157" i="2"/>
  <c r="BX157" i="2"/>
  <c r="BS157" i="2"/>
  <c r="BR157" i="2"/>
  <c r="BQ157" i="2"/>
  <c r="BP157" i="2"/>
  <c r="BO157" i="2"/>
  <c r="BN157" i="2"/>
  <c r="BM157" i="2"/>
  <c r="BL157" i="2"/>
  <c r="BK157" i="2"/>
  <c r="BY156" i="2"/>
  <c r="BX156" i="2"/>
  <c r="BS156" i="2"/>
  <c r="BR156" i="2"/>
  <c r="BQ156" i="2"/>
  <c r="BP156" i="2"/>
  <c r="BO156" i="2"/>
  <c r="BN156" i="2"/>
  <c r="BM156" i="2"/>
  <c r="BL156" i="2"/>
  <c r="BK156" i="2"/>
  <c r="BY155" i="2"/>
  <c r="BX155" i="2"/>
  <c r="BS155" i="2"/>
  <c r="BR155" i="2"/>
  <c r="BQ155" i="2"/>
  <c r="BW155" i="2" s="1"/>
  <c r="BP155" i="2"/>
  <c r="BO155" i="2"/>
  <c r="BN155" i="2"/>
  <c r="BM155" i="2"/>
  <c r="BL155" i="2"/>
  <c r="BK155" i="2"/>
  <c r="BY154" i="2"/>
  <c r="BX154" i="2"/>
  <c r="BS154" i="2"/>
  <c r="BR154" i="2"/>
  <c r="BQ154" i="2"/>
  <c r="BW154" i="2" s="1"/>
  <c r="BP154" i="2"/>
  <c r="BO154" i="2"/>
  <c r="BN154" i="2"/>
  <c r="BM154" i="2"/>
  <c r="BL154" i="2"/>
  <c r="BK154" i="2"/>
  <c r="BY153" i="2"/>
  <c r="BX153" i="2"/>
  <c r="BS153" i="2"/>
  <c r="BR153" i="2"/>
  <c r="BQ153" i="2"/>
  <c r="BW153" i="2" s="1"/>
  <c r="BP153" i="2"/>
  <c r="BO153" i="2"/>
  <c r="BN153" i="2"/>
  <c r="BM153" i="2"/>
  <c r="BL153" i="2"/>
  <c r="BK153" i="2"/>
  <c r="BY152" i="2"/>
  <c r="BX152" i="2"/>
  <c r="BS152" i="2"/>
  <c r="BR152" i="2"/>
  <c r="BQ152" i="2"/>
  <c r="BW152" i="2" s="1"/>
  <c r="BP152" i="2"/>
  <c r="BO152" i="2"/>
  <c r="BN152" i="2"/>
  <c r="BM152" i="2"/>
  <c r="BL152" i="2"/>
  <c r="BK152" i="2"/>
  <c r="BY151" i="2"/>
  <c r="BX151" i="2"/>
  <c r="BS151" i="2"/>
  <c r="BR151" i="2"/>
  <c r="BQ151" i="2"/>
  <c r="BP151" i="2"/>
  <c r="BO151" i="2"/>
  <c r="BN151" i="2"/>
  <c r="BM151" i="2"/>
  <c r="BL151" i="2"/>
  <c r="BK151" i="2"/>
  <c r="BY150" i="2"/>
  <c r="BX150" i="2"/>
  <c r="BS150" i="2"/>
  <c r="BR150" i="2"/>
  <c r="BQ150" i="2"/>
  <c r="BW150" i="2" s="1"/>
  <c r="BP150" i="2"/>
  <c r="BO150" i="2"/>
  <c r="BN150" i="2"/>
  <c r="BM150" i="2"/>
  <c r="BL150" i="2"/>
  <c r="BK150" i="2"/>
  <c r="BY149" i="2"/>
  <c r="BX149" i="2"/>
  <c r="BS149" i="2"/>
  <c r="BR149" i="2"/>
  <c r="BQ149" i="2"/>
  <c r="BP149" i="2"/>
  <c r="BO149" i="2"/>
  <c r="BN149" i="2"/>
  <c r="BM149" i="2"/>
  <c r="BL149" i="2"/>
  <c r="BK149" i="2"/>
  <c r="BY148" i="2"/>
  <c r="BX148" i="2"/>
  <c r="BS148" i="2"/>
  <c r="BR148" i="2"/>
  <c r="BQ148" i="2"/>
  <c r="BW148" i="2" s="1"/>
  <c r="BP148" i="2"/>
  <c r="BO148" i="2"/>
  <c r="BN148" i="2"/>
  <c r="BM148" i="2"/>
  <c r="BL148" i="2"/>
  <c r="BK148" i="2"/>
  <c r="BY147" i="2"/>
  <c r="BX147" i="2"/>
  <c r="BS147" i="2"/>
  <c r="BR147" i="2"/>
  <c r="BQ147" i="2"/>
  <c r="BW147" i="2" s="1"/>
  <c r="BP147" i="2"/>
  <c r="BO147" i="2"/>
  <c r="BN147" i="2"/>
  <c r="BM147" i="2"/>
  <c r="BL147" i="2"/>
  <c r="BK147" i="2"/>
  <c r="BY146" i="2"/>
  <c r="BX146" i="2"/>
  <c r="BS146" i="2"/>
  <c r="BR146" i="2"/>
  <c r="BQ146" i="2"/>
  <c r="BP146" i="2"/>
  <c r="BO146" i="2"/>
  <c r="BN146" i="2"/>
  <c r="BM146" i="2"/>
  <c r="BL146" i="2"/>
  <c r="BK146" i="2"/>
  <c r="BY145" i="2"/>
  <c r="BX145" i="2"/>
  <c r="BS145" i="2"/>
  <c r="BR145" i="2"/>
  <c r="BQ145" i="2"/>
  <c r="BW145" i="2" s="1"/>
  <c r="BP145" i="2"/>
  <c r="BO145" i="2"/>
  <c r="BN145" i="2"/>
  <c r="BM145" i="2"/>
  <c r="BL145" i="2"/>
  <c r="BK145" i="2"/>
  <c r="BY144" i="2"/>
  <c r="BX144" i="2"/>
  <c r="BS144" i="2"/>
  <c r="BR144" i="2"/>
  <c r="BQ144" i="2"/>
  <c r="BW144" i="2" s="1"/>
  <c r="BP144" i="2"/>
  <c r="BO144" i="2"/>
  <c r="BN144" i="2"/>
  <c r="BM144" i="2"/>
  <c r="BL144" i="2"/>
  <c r="BK144" i="2"/>
  <c r="BY143" i="2"/>
  <c r="BX143" i="2"/>
  <c r="BS143" i="2"/>
  <c r="BR143" i="2"/>
  <c r="BQ143" i="2"/>
  <c r="BW143" i="2" s="1"/>
  <c r="BP143" i="2"/>
  <c r="BO143" i="2"/>
  <c r="BN143" i="2"/>
  <c r="BM143" i="2"/>
  <c r="BL143" i="2"/>
  <c r="BK143" i="2"/>
  <c r="BY142" i="2"/>
  <c r="BX142" i="2"/>
  <c r="BS142" i="2"/>
  <c r="BR142" i="2"/>
  <c r="BQ142" i="2"/>
  <c r="BW142" i="2" s="1"/>
  <c r="BP142" i="2"/>
  <c r="BO142" i="2"/>
  <c r="BN142" i="2"/>
  <c r="BM142" i="2"/>
  <c r="BL142" i="2"/>
  <c r="BK142" i="2"/>
  <c r="BY141" i="2"/>
  <c r="BX141" i="2"/>
  <c r="BS141" i="2"/>
  <c r="BR141" i="2"/>
  <c r="BQ141" i="2"/>
  <c r="BW141" i="2" s="1"/>
  <c r="BP141" i="2"/>
  <c r="BO141" i="2"/>
  <c r="BN141" i="2"/>
  <c r="BM141" i="2"/>
  <c r="BL141" i="2"/>
  <c r="BK141" i="2"/>
  <c r="BY140" i="2"/>
  <c r="BX140" i="2"/>
  <c r="BS140" i="2"/>
  <c r="BR140" i="2"/>
  <c r="BQ140" i="2"/>
  <c r="BP140" i="2"/>
  <c r="BO140" i="2"/>
  <c r="BN140" i="2"/>
  <c r="BM140" i="2"/>
  <c r="BL140" i="2"/>
  <c r="BK140" i="2"/>
  <c r="BY139" i="2"/>
  <c r="BX139" i="2"/>
  <c r="BS139" i="2"/>
  <c r="BR139" i="2"/>
  <c r="BQ139" i="2"/>
  <c r="BW139" i="2" s="1"/>
  <c r="BP139" i="2"/>
  <c r="BO139" i="2"/>
  <c r="BN139" i="2"/>
  <c r="BM139" i="2"/>
  <c r="BL139" i="2"/>
  <c r="BK139" i="2"/>
  <c r="BY138" i="2"/>
  <c r="BX138" i="2"/>
  <c r="BS138" i="2"/>
  <c r="BR138" i="2"/>
  <c r="BQ138" i="2"/>
  <c r="BW138" i="2" s="1"/>
  <c r="BP138" i="2"/>
  <c r="BO138" i="2"/>
  <c r="BN138" i="2"/>
  <c r="BM138" i="2"/>
  <c r="BL138" i="2"/>
  <c r="BK138" i="2"/>
  <c r="BY137" i="2"/>
  <c r="BX137" i="2"/>
  <c r="BS137" i="2"/>
  <c r="BR137" i="2"/>
  <c r="BQ137" i="2"/>
  <c r="BW137" i="2" s="1"/>
  <c r="BP137" i="2"/>
  <c r="BO137" i="2"/>
  <c r="BN137" i="2"/>
  <c r="BM137" i="2"/>
  <c r="BL137" i="2"/>
  <c r="BK137" i="2"/>
  <c r="BY136" i="2"/>
  <c r="BX136" i="2"/>
  <c r="BS136" i="2"/>
  <c r="BR136" i="2"/>
  <c r="BQ136" i="2"/>
  <c r="BW136" i="2" s="1"/>
  <c r="BP136" i="2"/>
  <c r="BO136" i="2"/>
  <c r="BN136" i="2"/>
  <c r="BM136" i="2"/>
  <c r="BL136" i="2"/>
  <c r="BK136" i="2"/>
  <c r="BY135" i="2"/>
  <c r="BX135" i="2"/>
  <c r="BS135" i="2"/>
  <c r="BR135" i="2"/>
  <c r="BQ135" i="2"/>
  <c r="BW135" i="2" s="1"/>
  <c r="BP135" i="2"/>
  <c r="BO135" i="2"/>
  <c r="BN135" i="2"/>
  <c r="BM135" i="2"/>
  <c r="BL135" i="2"/>
  <c r="BK135" i="2"/>
  <c r="BY134" i="2"/>
  <c r="BX134" i="2"/>
  <c r="BS134" i="2"/>
  <c r="BR134" i="2"/>
  <c r="BQ134" i="2"/>
  <c r="BP134" i="2"/>
  <c r="BO134" i="2"/>
  <c r="BN134" i="2"/>
  <c r="BM134" i="2"/>
  <c r="BL134" i="2"/>
  <c r="BK134" i="2"/>
  <c r="BY133" i="2"/>
  <c r="BX133" i="2"/>
  <c r="BS133" i="2"/>
  <c r="BR133" i="2"/>
  <c r="BQ133" i="2"/>
  <c r="BW133" i="2" s="1"/>
  <c r="BP133" i="2"/>
  <c r="BO133" i="2"/>
  <c r="BN133" i="2"/>
  <c r="BM133" i="2"/>
  <c r="BL133" i="2"/>
  <c r="BK133" i="2"/>
  <c r="BY132" i="2"/>
  <c r="BX132" i="2"/>
  <c r="BS132" i="2"/>
  <c r="BR132" i="2"/>
  <c r="BQ132" i="2"/>
  <c r="BP132" i="2"/>
  <c r="BO132" i="2"/>
  <c r="BN132" i="2"/>
  <c r="BM132" i="2"/>
  <c r="BL132" i="2"/>
  <c r="BK132" i="2"/>
  <c r="BY131" i="2"/>
  <c r="BX131" i="2"/>
  <c r="BS131" i="2"/>
  <c r="BR131" i="2"/>
  <c r="BQ131" i="2"/>
  <c r="BW131" i="2" s="1"/>
  <c r="BP131" i="2"/>
  <c r="BO131" i="2"/>
  <c r="BN131" i="2"/>
  <c r="BM131" i="2"/>
  <c r="BL131" i="2"/>
  <c r="BK131" i="2"/>
  <c r="BY130" i="2"/>
  <c r="BX130" i="2"/>
  <c r="BS130" i="2"/>
  <c r="BR130" i="2"/>
  <c r="BQ130" i="2"/>
  <c r="BW130" i="2" s="1"/>
  <c r="BP130" i="2"/>
  <c r="BO130" i="2"/>
  <c r="BN130" i="2"/>
  <c r="BM130" i="2"/>
  <c r="BL130" i="2"/>
  <c r="BK130" i="2"/>
  <c r="BY129" i="2"/>
  <c r="BX129" i="2"/>
  <c r="BS129" i="2"/>
  <c r="BR129" i="2"/>
  <c r="BQ129" i="2"/>
  <c r="BW129" i="2" s="1"/>
  <c r="BP129" i="2"/>
  <c r="BO129" i="2"/>
  <c r="BN129" i="2"/>
  <c r="BM129" i="2"/>
  <c r="BL129" i="2"/>
  <c r="BK129" i="2"/>
  <c r="BY128" i="2"/>
  <c r="BX128" i="2"/>
  <c r="BS128" i="2"/>
  <c r="BR128" i="2"/>
  <c r="BQ128" i="2"/>
  <c r="BW128" i="2" s="1"/>
  <c r="BP128" i="2"/>
  <c r="BO128" i="2"/>
  <c r="BN128" i="2"/>
  <c r="BM128" i="2"/>
  <c r="BL128" i="2"/>
  <c r="BK128" i="2"/>
  <c r="BY127" i="2"/>
  <c r="BX127" i="2"/>
  <c r="BS127" i="2"/>
  <c r="BR127" i="2"/>
  <c r="BQ127" i="2"/>
  <c r="BW127" i="2" s="1"/>
  <c r="BP127" i="2"/>
  <c r="BO127" i="2"/>
  <c r="BN127" i="2"/>
  <c r="BM127" i="2"/>
  <c r="BL127" i="2"/>
  <c r="BK127" i="2"/>
  <c r="BY126" i="2"/>
  <c r="BX126" i="2"/>
  <c r="BS126" i="2"/>
  <c r="BR126" i="2"/>
  <c r="BQ126" i="2"/>
  <c r="BP126" i="2"/>
  <c r="BO126" i="2"/>
  <c r="BN126" i="2"/>
  <c r="BM126" i="2"/>
  <c r="BL126" i="2"/>
  <c r="BK126" i="2"/>
  <c r="BY125" i="2"/>
  <c r="BX125" i="2"/>
  <c r="BS125" i="2"/>
  <c r="BR125" i="2"/>
  <c r="BQ125" i="2"/>
  <c r="BP125" i="2"/>
  <c r="BO125" i="2"/>
  <c r="BN125" i="2"/>
  <c r="BM125" i="2"/>
  <c r="BL125" i="2"/>
  <c r="BK125" i="2"/>
  <c r="BY124" i="2"/>
  <c r="BX124" i="2"/>
  <c r="BS124" i="2"/>
  <c r="BR124" i="2"/>
  <c r="BQ124" i="2"/>
  <c r="BW124" i="2" s="1"/>
  <c r="BP124" i="2"/>
  <c r="BO124" i="2"/>
  <c r="BN124" i="2"/>
  <c r="BM124" i="2"/>
  <c r="BL124" i="2"/>
  <c r="BK124" i="2"/>
  <c r="BY123" i="2"/>
  <c r="BX123" i="2"/>
  <c r="BS123" i="2"/>
  <c r="BR123" i="2"/>
  <c r="BQ123" i="2"/>
  <c r="BW123" i="2" s="1"/>
  <c r="BP123" i="2"/>
  <c r="BO123" i="2"/>
  <c r="BN123" i="2"/>
  <c r="BM123" i="2"/>
  <c r="BL123" i="2"/>
  <c r="BK123" i="2"/>
  <c r="BY122" i="2"/>
  <c r="BX122" i="2"/>
  <c r="BS122" i="2"/>
  <c r="BR122" i="2"/>
  <c r="BQ122" i="2"/>
  <c r="BP122" i="2"/>
  <c r="BO122" i="2"/>
  <c r="BZ122" i="2" s="1"/>
  <c r="BN122" i="2"/>
  <c r="BM122" i="2"/>
  <c r="BL122" i="2"/>
  <c r="BK122" i="2"/>
  <c r="BY121" i="2"/>
  <c r="BX121" i="2"/>
  <c r="BS121" i="2"/>
  <c r="BR121" i="2"/>
  <c r="BQ121" i="2"/>
  <c r="BP121" i="2"/>
  <c r="BO121" i="2"/>
  <c r="BN121" i="2"/>
  <c r="BM121" i="2"/>
  <c r="BL121" i="2"/>
  <c r="BK121" i="2"/>
  <c r="BY120" i="2"/>
  <c r="BX120" i="2"/>
  <c r="BS120" i="2"/>
  <c r="BR120" i="2"/>
  <c r="BQ120" i="2"/>
  <c r="BW120" i="2" s="1"/>
  <c r="BP120" i="2"/>
  <c r="BO120" i="2"/>
  <c r="BN120" i="2"/>
  <c r="BM120" i="2"/>
  <c r="BL120" i="2"/>
  <c r="BK120" i="2"/>
  <c r="BY119" i="2"/>
  <c r="BX119" i="2"/>
  <c r="BS119" i="2"/>
  <c r="BR119" i="2"/>
  <c r="BQ119" i="2"/>
  <c r="BP119" i="2"/>
  <c r="BO119" i="2"/>
  <c r="BN119" i="2"/>
  <c r="BM119" i="2"/>
  <c r="BL119" i="2"/>
  <c r="BK119" i="2"/>
  <c r="BY118" i="2"/>
  <c r="BX118" i="2"/>
  <c r="BS118" i="2"/>
  <c r="BR118" i="2"/>
  <c r="BQ118" i="2"/>
  <c r="BW118" i="2" s="1"/>
  <c r="BP118" i="2"/>
  <c r="BO118" i="2"/>
  <c r="BN118" i="2"/>
  <c r="BM118" i="2"/>
  <c r="BL118" i="2"/>
  <c r="BK118" i="2"/>
  <c r="BY117" i="2"/>
  <c r="BX117" i="2"/>
  <c r="BS117" i="2"/>
  <c r="BR117" i="2"/>
  <c r="BQ117" i="2"/>
  <c r="BW117" i="2" s="1"/>
  <c r="BP117" i="2"/>
  <c r="BO117" i="2"/>
  <c r="BN117" i="2"/>
  <c r="BM117" i="2"/>
  <c r="BL117" i="2"/>
  <c r="BK117" i="2"/>
  <c r="BY116" i="2"/>
  <c r="BX116" i="2"/>
  <c r="BS116" i="2"/>
  <c r="BR116" i="2"/>
  <c r="BQ116" i="2"/>
  <c r="BW116" i="2" s="1"/>
  <c r="BP116" i="2"/>
  <c r="BO116" i="2"/>
  <c r="BN116" i="2"/>
  <c r="BM116" i="2"/>
  <c r="BL116" i="2"/>
  <c r="BK116" i="2"/>
  <c r="BY115" i="2"/>
  <c r="BX115" i="2"/>
  <c r="BS115" i="2"/>
  <c r="BR115" i="2"/>
  <c r="BQ115" i="2"/>
  <c r="BP115" i="2"/>
  <c r="BO115" i="2"/>
  <c r="BN115" i="2"/>
  <c r="BM115" i="2"/>
  <c r="BL115" i="2"/>
  <c r="BK115" i="2"/>
  <c r="BY114" i="2"/>
  <c r="BX114" i="2"/>
  <c r="BS114" i="2"/>
  <c r="BR114" i="2"/>
  <c r="BQ114" i="2"/>
  <c r="BW114" i="2" s="1"/>
  <c r="BP114" i="2"/>
  <c r="BO114" i="2"/>
  <c r="BN114" i="2"/>
  <c r="BM114" i="2"/>
  <c r="BL114" i="2"/>
  <c r="BK114" i="2"/>
  <c r="BY113" i="2"/>
  <c r="BX113" i="2"/>
  <c r="BS113" i="2"/>
  <c r="BR113" i="2"/>
  <c r="BQ113" i="2"/>
  <c r="BW113" i="2" s="1"/>
  <c r="BP113" i="2"/>
  <c r="BO113" i="2"/>
  <c r="BN113" i="2"/>
  <c r="BM113" i="2"/>
  <c r="BL113" i="2"/>
  <c r="BK113" i="2"/>
  <c r="BY112" i="2"/>
  <c r="BX112" i="2"/>
  <c r="BS112" i="2"/>
  <c r="BR112" i="2"/>
  <c r="BQ112" i="2"/>
  <c r="BP112" i="2"/>
  <c r="BO112" i="2"/>
  <c r="BN112" i="2"/>
  <c r="BM112" i="2"/>
  <c r="BL112" i="2"/>
  <c r="BK112" i="2"/>
  <c r="BY111" i="2"/>
  <c r="BX111" i="2"/>
  <c r="BS111" i="2"/>
  <c r="BR111" i="2"/>
  <c r="BQ111" i="2"/>
  <c r="BW111" i="2" s="1"/>
  <c r="BP111" i="2"/>
  <c r="BO111" i="2"/>
  <c r="BN111" i="2"/>
  <c r="BM111" i="2"/>
  <c r="BL111" i="2"/>
  <c r="BK111" i="2"/>
  <c r="BY110" i="2"/>
  <c r="BX110" i="2"/>
  <c r="BS110" i="2"/>
  <c r="BR110" i="2"/>
  <c r="BQ110" i="2"/>
  <c r="BP110" i="2"/>
  <c r="BO110" i="2"/>
  <c r="BN110" i="2"/>
  <c r="BM110" i="2"/>
  <c r="BL110" i="2"/>
  <c r="BK110" i="2"/>
  <c r="BY109" i="2"/>
  <c r="BX109" i="2"/>
  <c r="BS109" i="2"/>
  <c r="BR109" i="2"/>
  <c r="BQ109" i="2"/>
  <c r="BP109" i="2"/>
  <c r="BO109" i="2"/>
  <c r="BN109" i="2"/>
  <c r="BM109" i="2"/>
  <c r="BL109" i="2"/>
  <c r="BK109" i="2"/>
  <c r="BY108" i="2"/>
  <c r="BX108" i="2"/>
  <c r="BS108" i="2"/>
  <c r="BR108" i="2"/>
  <c r="BQ108" i="2"/>
  <c r="BW108" i="2" s="1"/>
  <c r="BP108" i="2"/>
  <c r="BO108" i="2"/>
  <c r="BN108" i="2"/>
  <c r="BM108" i="2"/>
  <c r="BL108" i="2"/>
  <c r="BK108" i="2"/>
  <c r="BY107" i="2"/>
  <c r="BX107" i="2"/>
  <c r="BS107" i="2"/>
  <c r="BR107" i="2"/>
  <c r="BQ107" i="2"/>
  <c r="BW107" i="2" s="1"/>
  <c r="BP107" i="2"/>
  <c r="BO107" i="2"/>
  <c r="BN107" i="2"/>
  <c r="BM107" i="2"/>
  <c r="BL107" i="2"/>
  <c r="BK107" i="2"/>
  <c r="BY106" i="2"/>
  <c r="BX106" i="2"/>
  <c r="BS106" i="2"/>
  <c r="BR106" i="2"/>
  <c r="BQ106" i="2"/>
  <c r="BW106" i="2" s="1"/>
  <c r="BP106" i="2"/>
  <c r="BO106" i="2"/>
  <c r="BN106" i="2"/>
  <c r="BM106" i="2"/>
  <c r="BL106" i="2"/>
  <c r="BK106" i="2"/>
  <c r="BY105" i="2"/>
  <c r="BX105" i="2"/>
  <c r="BS105" i="2"/>
  <c r="BR105" i="2"/>
  <c r="BQ105" i="2"/>
  <c r="BP105" i="2"/>
  <c r="BO105" i="2"/>
  <c r="BN105" i="2"/>
  <c r="BM105" i="2"/>
  <c r="BL105" i="2"/>
  <c r="BK105" i="2"/>
  <c r="BY104" i="2"/>
  <c r="BX104" i="2"/>
  <c r="BS104" i="2"/>
  <c r="BR104" i="2"/>
  <c r="BQ104" i="2"/>
  <c r="BW104" i="2" s="1"/>
  <c r="BP104" i="2"/>
  <c r="BO104" i="2"/>
  <c r="BN104" i="2"/>
  <c r="BM104" i="2"/>
  <c r="BL104" i="2"/>
  <c r="BK104" i="2"/>
  <c r="BY103" i="2"/>
  <c r="BX103" i="2"/>
  <c r="BS103" i="2"/>
  <c r="BR103" i="2"/>
  <c r="BQ103" i="2"/>
  <c r="BP103" i="2"/>
  <c r="BO103" i="2"/>
  <c r="BN103" i="2"/>
  <c r="BM103" i="2"/>
  <c r="BL103" i="2"/>
  <c r="BK103" i="2"/>
  <c r="BY102" i="2"/>
  <c r="BX102" i="2"/>
  <c r="BS102" i="2"/>
  <c r="BR102" i="2"/>
  <c r="BQ102" i="2"/>
  <c r="BW102" i="2" s="1"/>
  <c r="BP102" i="2"/>
  <c r="BO102" i="2"/>
  <c r="BN102" i="2"/>
  <c r="BM102" i="2"/>
  <c r="BL102" i="2"/>
  <c r="BK102" i="2"/>
  <c r="BY101" i="2"/>
  <c r="BX101" i="2"/>
  <c r="BS101" i="2"/>
  <c r="BR101" i="2"/>
  <c r="BQ101" i="2"/>
  <c r="BW101" i="2" s="1"/>
  <c r="BP101" i="2"/>
  <c r="BO101" i="2"/>
  <c r="BN101" i="2"/>
  <c r="BM101" i="2"/>
  <c r="BL101" i="2"/>
  <c r="BK101" i="2"/>
  <c r="BY100" i="2"/>
  <c r="BX100" i="2"/>
  <c r="BS100" i="2"/>
  <c r="BR100" i="2"/>
  <c r="BQ100" i="2"/>
  <c r="BW100" i="2" s="1"/>
  <c r="BP100" i="2"/>
  <c r="BO100" i="2"/>
  <c r="BN100" i="2"/>
  <c r="BM100" i="2"/>
  <c r="BL100" i="2"/>
  <c r="BK100" i="2"/>
  <c r="BY99" i="2"/>
  <c r="BX99" i="2"/>
  <c r="BS99" i="2"/>
  <c r="BR99" i="2"/>
  <c r="BQ99" i="2"/>
  <c r="BW99" i="2" s="1"/>
  <c r="BP99" i="2"/>
  <c r="BO99" i="2"/>
  <c r="BN99" i="2"/>
  <c r="BM99" i="2"/>
  <c r="BL99" i="2"/>
  <c r="BK99" i="2"/>
  <c r="BY98" i="2"/>
  <c r="BX98" i="2"/>
  <c r="BS98" i="2"/>
  <c r="BR98" i="2"/>
  <c r="BQ98" i="2"/>
  <c r="BP98" i="2"/>
  <c r="BO98" i="2"/>
  <c r="BN98" i="2"/>
  <c r="BM98" i="2"/>
  <c r="BL98" i="2"/>
  <c r="BK98" i="2"/>
  <c r="BY97" i="2"/>
  <c r="BX97" i="2"/>
  <c r="BS97" i="2"/>
  <c r="BR97" i="2"/>
  <c r="BQ97" i="2"/>
  <c r="BW97" i="2" s="1"/>
  <c r="BP97" i="2"/>
  <c r="BO97" i="2"/>
  <c r="BN97" i="2"/>
  <c r="BM97" i="2"/>
  <c r="BL97" i="2"/>
  <c r="BK97" i="2"/>
  <c r="BY96" i="2"/>
  <c r="BX96" i="2"/>
  <c r="BS96" i="2"/>
  <c r="BR96" i="2"/>
  <c r="BQ96" i="2"/>
  <c r="BW96" i="2" s="1"/>
  <c r="BP96" i="2"/>
  <c r="BO96" i="2"/>
  <c r="BN96" i="2"/>
  <c r="BM96" i="2"/>
  <c r="BL96" i="2"/>
  <c r="BK96" i="2"/>
  <c r="BY95" i="2"/>
  <c r="BX95" i="2"/>
  <c r="BS95" i="2"/>
  <c r="BR95" i="2"/>
  <c r="BQ95" i="2"/>
  <c r="BP95" i="2"/>
  <c r="BO95" i="2"/>
  <c r="BN95" i="2"/>
  <c r="BM95" i="2"/>
  <c r="BL95" i="2"/>
  <c r="BK95" i="2"/>
  <c r="BY94" i="2"/>
  <c r="BX94" i="2"/>
  <c r="BS94" i="2"/>
  <c r="BR94" i="2"/>
  <c r="BQ94" i="2"/>
  <c r="BW94" i="2" s="1"/>
  <c r="BP94" i="2"/>
  <c r="BO94" i="2"/>
  <c r="BN94" i="2"/>
  <c r="BM94" i="2"/>
  <c r="BL94" i="2"/>
  <c r="BK94" i="2"/>
  <c r="BY93" i="2"/>
  <c r="BX93" i="2"/>
  <c r="BS93" i="2"/>
  <c r="BR93" i="2"/>
  <c r="BQ93" i="2"/>
  <c r="BW93" i="2" s="1"/>
  <c r="BP93" i="2"/>
  <c r="BO93" i="2"/>
  <c r="BN93" i="2"/>
  <c r="BM93" i="2"/>
  <c r="BL93" i="2"/>
  <c r="BK93" i="2"/>
  <c r="BY92" i="2"/>
  <c r="BX92" i="2"/>
  <c r="BS92" i="2"/>
  <c r="BR92" i="2"/>
  <c r="BQ92" i="2"/>
  <c r="BP92" i="2"/>
  <c r="BO92" i="2"/>
  <c r="BN92" i="2"/>
  <c r="BM92" i="2"/>
  <c r="BL92" i="2"/>
  <c r="BK92" i="2"/>
  <c r="BY91" i="2"/>
  <c r="BX91" i="2"/>
  <c r="BS91" i="2"/>
  <c r="BR91" i="2"/>
  <c r="BQ91" i="2"/>
  <c r="BP91" i="2"/>
  <c r="BO91" i="2"/>
  <c r="BN91" i="2"/>
  <c r="BM91" i="2"/>
  <c r="BL91" i="2"/>
  <c r="BK91" i="2"/>
  <c r="BY90" i="2"/>
  <c r="BX90" i="2"/>
  <c r="BS90" i="2"/>
  <c r="BR90" i="2"/>
  <c r="BQ90" i="2"/>
  <c r="BW90" i="2" s="1"/>
  <c r="BP90" i="2"/>
  <c r="BO90" i="2"/>
  <c r="BN90" i="2"/>
  <c r="BM90" i="2"/>
  <c r="BL90" i="2"/>
  <c r="BK90" i="2"/>
  <c r="BY89" i="2"/>
  <c r="BX89" i="2"/>
  <c r="BS89" i="2"/>
  <c r="BR89" i="2"/>
  <c r="BQ89" i="2"/>
  <c r="BP89" i="2"/>
  <c r="BO89" i="2"/>
  <c r="BN89" i="2"/>
  <c r="BM89" i="2"/>
  <c r="BL89" i="2"/>
  <c r="BK89" i="2"/>
  <c r="BY88" i="2"/>
  <c r="BX88" i="2"/>
  <c r="BS88" i="2"/>
  <c r="BR88" i="2"/>
  <c r="BQ88" i="2"/>
  <c r="BP88" i="2"/>
  <c r="BO88" i="2"/>
  <c r="BN88" i="2"/>
  <c r="BM88" i="2"/>
  <c r="BL88" i="2"/>
  <c r="BK88" i="2"/>
  <c r="BY87" i="2"/>
  <c r="BX87" i="2"/>
  <c r="BS87" i="2"/>
  <c r="BR87" i="2"/>
  <c r="BQ87" i="2"/>
  <c r="BW87" i="2" s="1"/>
  <c r="BP87" i="2"/>
  <c r="BO87" i="2"/>
  <c r="BN87" i="2"/>
  <c r="BM87" i="2"/>
  <c r="BL87" i="2"/>
  <c r="BK87" i="2"/>
  <c r="BY86" i="2"/>
  <c r="BX86" i="2"/>
  <c r="BS86" i="2"/>
  <c r="BR86" i="2"/>
  <c r="BQ86" i="2"/>
  <c r="BW86" i="2" s="1"/>
  <c r="BP86" i="2"/>
  <c r="BO86" i="2"/>
  <c r="BN86" i="2"/>
  <c r="BM86" i="2"/>
  <c r="BL86" i="2"/>
  <c r="BK86" i="2"/>
  <c r="BY85" i="2"/>
  <c r="BX85" i="2"/>
  <c r="BS85" i="2"/>
  <c r="BR85" i="2"/>
  <c r="BQ85" i="2"/>
  <c r="BP85" i="2"/>
  <c r="BO85" i="2"/>
  <c r="BN85" i="2"/>
  <c r="BM85" i="2"/>
  <c r="BL85" i="2"/>
  <c r="BK85" i="2"/>
  <c r="BY84" i="2"/>
  <c r="BX84" i="2"/>
  <c r="BS84" i="2"/>
  <c r="BR84" i="2"/>
  <c r="BQ84" i="2"/>
  <c r="BW84" i="2" s="1"/>
  <c r="BP84" i="2"/>
  <c r="BO84" i="2"/>
  <c r="BN84" i="2"/>
  <c r="BM84" i="2"/>
  <c r="BL84" i="2"/>
  <c r="BK84" i="2"/>
  <c r="BY83" i="2"/>
  <c r="BX83" i="2"/>
  <c r="BS83" i="2"/>
  <c r="BR83" i="2"/>
  <c r="BQ83" i="2"/>
  <c r="BW83" i="2" s="1"/>
  <c r="BP83" i="2"/>
  <c r="BO83" i="2"/>
  <c r="BN83" i="2"/>
  <c r="BM83" i="2"/>
  <c r="BL83" i="2"/>
  <c r="BK83" i="2"/>
  <c r="BY82" i="2"/>
  <c r="BX82" i="2"/>
  <c r="BS82" i="2"/>
  <c r="BR82" i="2"/>
  <c r="BQ82" i="2"/>
  <c r="BP82" i="2"/>
  <c r="BO82" i="2"/>
  <c r="BN82" i="2"/>
  <c r="BM82" i="2"/>
  <c r="BL82" i="2"/>
  <c r="BK82" i="2"/>
  <c r="BY81" i="2"/>
  <c r="BX81" i="2"/>
  <c r="BS81" i="2"/>
  <c r="BR81" i="2"/>
  <c r="BQ81" i="2"/>
  <c r="BP81" i="2"/>
  <c r="BO81" i="2"/>
  <c r="BN81" i="2"/>
  <c r="BM81" i="2"/>
  <c r="BL81" i="2"/>
  <c r="BK81" i="2"/>
  <c r="BY80" i="2"/>
  <c r="BX80" i="2"/>
  <c r="BS80" i="2"/>
  <c r="BR80" i="2"/>
  <c r="BQ80" i="2"/>
  <c r="BW80" i="2" s="1"/>
  <c r="BP80" i="2"/>
  <c r="BO80" i="2"/>
  <c r="BN80" i="2"/>
  <c r="BM80" i="2"/>
  <c r="BL80" i="2"/>
  <c r="BK80" i="2"/>
  <c r="BY79" i="2"/>
  <c r="BX79" i="2"/>
  <c r="BS79" i="2"/>
  <c r="BR79" i="2"/>
  <c r="BQ79" i="2"/>
  <c r="BW79" i="2" s="1"/>
  <c r="BP79" i="2"/>
  <c r="BO79" i="2"/>
  <c r="BN79" i="2"/>
  <c r="BM79" i="2"/>
  <c r="BL79" i="2"/>
  <c r="BK79" i="2"/>
  <c r="BY78" i="2"/>
  <c r="BX78" i="2"/>
  <c r="BS78" i="2"/>
  <c r="BR78" i="2"/>
  <c r="BQ78" i="2"/>
  <c r="BP78" i="2"/>
  <c r="BO78" i="2"/>
  <c r="BN78" i="2"/>
  <c r="BM78" i="2"/>
  <c r="BL78" i="2"/>
  <c r="BK78" i="2"/>
  <c r="BY77" i="2"/>
  <c r="BX77" i="2"/>
  <c r="BS77" i="2"/>
  <c r="BR77" i="2"/>
  <c r="BQ77" i="2"/>
  <c r="BW77" i="2" s="1"/>
  <c r="BP77" i="2"/>
  <c r="BO77" i="2"/>
  <c r="BN77" i="2"/>
  <c r="BM77" i="2"/>
  <c r="BL77" i="2"/>
  <c r="BK77" i="2"/>
  <c r="BY76" i="2"/>
  <c r="BX76" i="2"/>
  <c r="BS76" i="2"/>
  <c r="BR76" i="2"/>
  <c r="BQ76" i="2"/>
  <c r="BP76" i="2"/>
  <c r="BO76" i="2"/>
  <c r="BN76" i="2"/>
  <c r="BM76" i="2"/>
  <c r="BL76" i="2"/>
  <c r="BK76" i="2"/>
  <c r="BY75" i="2"/>
  <c r="BX75" i="2"/>
  <c r="BS75" i="2"/>
  <c r="BR75" i="2"/>
  <c r="BQ75" i="2"/>
  <c r="BP75" i="2"/>
  <c r="BO75" i="2"/>
  <c r="BN75" i="2"/>
  <c r="BM75" i="2"/>
  <c r="BL75" i="2"/>
  <c r="BK75" i="2"/>
  <c r="BY74" i="2"/>
  <c r="BX74" i="2"/>
  <c r="BS74" i="2"/>
  <c r="BR74" i="2"/>
  <c r="BQ74" i="2"/>
  <c r="BP74" i="2"/>
  <c r="BO74" i="2"/>
  <c r="BN74" i="2"/>
  <c r="BM74" i="2"/>
  <c r="BL74" i="2"/>
  <c r="BK74" i="2"/>
  <c r="BY73" i="2"/>
  <c r="BX73" i="2"/>
  <c r="BS73" i="2"/>
  <c r="BR73" i="2"/>
  <c r="BQ73" i="2"/>
  <c r="BP73" i="2"/>
  <c r="BO73" i="2"/>
  <c r="BN73" i="2"/>
  <c r="BM73" i="2"/>
  <c r="BL73" i="2"/>
  <c r="BK73" i="2"/>
  <c r="BY72" i="2"/>
  <c r="BX72" i="2"/>
  <c r="BS72" i="2"/>
  <c r="BR72" i="2"/>
  <c r="BQ72" i="2"/>
  <c r="BP72" i="2"/>
  <c r="BO72" i="2"/>
  <c r="BN72" i="2"/>
  <c r="BM72" i="2"/>
  <c r="BL72" i="2"/>
  <c r="BK72" i="2"/>
  <c r="BY71" i="2"/>
  <c r="BX71" i="2"/>
  <c r="BS71" i="2"/>
  <c r="BR71" i="2"/>
  <c r="BQ71" i="2"/>
  <c r="BP71" i="2"/>
  <c r="BO71" i="2"/>
  <c r="BN71" i="2"/>
  <c r="BM71" i="2"/>
  <c r="BL71" i="2"/>
  <c r="BK71" i="2"/>
  <c r="BY70" i="2"/>
  <c r="BX70" i="2"/>
  <c r="BS70" i="2"/>
  <c r="BR70" i="2"/>
  <c r="BQ70" i="2"/>
  <c r="BP70" i="2"/>
  <c r="BO70" i="2"/>
  <c r="BN70" i="2"/>
  <c r="BM70" i="2"/>
  <c r="BL70" i="2"/>
  <c r="BK70" i="2"/>
  <c r="BY69" i="2"/>
  <c r="BX69" i="2"/>
  <c r="BS69" i="2"/>
  <c r="BR69" i="2"/>
  <c r="BQ69" i="2"/>
  <c r="BW69" i="2" s="1"/>
  <c r="BP69" i="2"/>
  <c r="BO69" i="2"/>
  <c r="BN69" i="2"/>
  <c r="BM69" i="2"/>
  <c r="BL69" i="2"/>
  <c r="BK69" i="2"/>
  <c r="BY68" i="2"/>
  <c r="BX68" i="2"/>
  <c r="BS68" i="2"/>
  <c r="BR68" i="2"/>
  <c r="BQ68" i="2"/>
  <c r="BW68" i="2" s="1"/>
  <c r="BP68" i="2"/>
  <c r="BO68" i="2"/>
  <c r="BN68" i="2"/>
  <c r="BM68" i="2"/>
  <c r="BL68" i="2"/>
  <c r="BK68" i="2"/>
  <c r="BY67" i="2"/>
  <c r="BX67" i="2"/>
  <c r="BS67" i="2"/>
  <c r="BR67" i="2"/>
  <c r="BQ67" i="2"/>
  <c r="BW67" i="2" s="1"/>
  <c r="BP67" i="2"/>
  <c r="BO67" i="2"/>
  <c r="BN67" i="2"/>
  <c r="BM67" i="2"/>
  <c r="BL67" i="2"/>
  <c r="BK67" i="2"/>
  <c r="BY66" i="2"/>
  <c r="BX66" i="2"/>
  <c r="BS66" i="2"/>
  <c r="BR66" i="2"/>
  <c r="BQ66" i="2"/>
  <c r="BW66" i="2" s="1"/>
  <c r="BP66" i="2"/>
  <c r="BO66" i="2"/>
  <c r="BN66" i="2"/>
  <c r="BM66" i="2"/>
  <c r="BL66" i="2"/>
  <c r="BK66" i="2"/>
  <c r="BY65" i="2"/>
  <c r="BX65" i="2"/>
  <c r="BS65" i="2"/>
  <c r="BR65" i="2"/>
  <c r="BQ65" i="2"/>
  <c r="BW65" i="2" s="1"/>
  <c r="BP65" i="2"/>
  <c r="BO65" i="2"/>
  <c r="BN65" i="2"/>
  <c r="BM65" i="2"/>
  <c r="BL65" i="2"/>
  <c r="BK65" i="2"/>
  <c r="BY64" i="2"/>
  <c r="BX64" i="2"/>
  <c r="BS64" i="2"/>
  <c r="BR64" i="2"/>
  <c r="BQ64" i="2"/>
  <c r="BP64" i="2"/>
  <c r="BO64" i="2"/>
  <c r="BN64" i="2"/>
  <c r="BM64" i="2"/>
  <c r="BL64" i="2"/>
  <c r="BK64" i="2"/>
  <c r="BY63" i="2"/>
  <c r="BX63" i="2"/>
  <c r="BS63" i="2"/>
  <c r="BR63" i="2"/>
  <c r="BQ63" i="2"/>
  <c r="BP63" i="2"/>
  <c r="BO63" i="2"/>
  <c r="BN63" i="2"/>
  <c r="BM63" i="2"/>
  <c r="BL63" i="2"/>
  <c r="BK63" i="2"/>
  <c r="BY62" i="2"/>
  <c r="BX62" i="2"/>
  <c r="BS62" i="2"/>
  <c r="BR62" i="2"/>
  <c r="BQ62" i="2"/>
  <c r="BW62" i="2" s="1"/>
  <c r="BP62" i="2"/>
  <c r="BO62" i="2"/>
  <c r="BN62" i="2"/>
  <c r="BM62" i="2"/>
  <c r="BL62" i="2"/>
  <c r="BK62" i="2"/>
  <c r="BY61" i="2"/>
  <c r="BX61" i="2"/>
  <c r="BS61" i="2"/>
  <c r="BR61" i="2"/>
  <c r="BQ61" i="2"/>
  <c r="BP61" i="2"/>
  <c r="BO61" i="2"/>
  <c r="BN61" i="2"/>
  <c r="BM61" i="2"/>
  <c r="BL61" i="2"/>
  <c r="BK61" i="2"/>
  <c r="BY60" i="2"/>
  <c r="BX60" i="2"/>
  <c r="BS60" i="2"/>
  <c r="BR60" i="2"/>
  <c r="BQ60" i="2"/>
  <c r="BP60" i="2"/>
  <c r="BO60" i="2"/>
  <c r="BN60" i="2"/>
  <c r="BM60" i="2"/>
  <c r="BL60" i="2"/>
  <c r="BK60" i="2"/>
  <c r="BY59" i="2"/>
  <c r="BX59" i="2"/>
  <c r="BS59" i="2"/>
  <c r="BR59" i="2"/>
  <c r="BQ59" i="2"/>
  <c r="BW59" i="2" s="1"/>
  <c r="BP59" i="2"/>
  <c r="BO59" i="2"/>
  <c r="BN59" i="2"/>
  <c r="BM59" i="2"/>
  <c r="BL59" i="2"/>
  <c r="BK59" i="2"/>
  <c r="BY58" i="2"/>
  <c r="BX58" i="2"/>
  <c r="BS58" i="2"/>
  <c r="BR58" i="2"/>
  <c r="BQ58" i="2"/>
  <c r="BW58" i="2" s="1"/>
  <c r="BP58" i="2"/>
  <c r="BO58" i="2"/>
  <c r="BN58" i="2"/>
  <c r="BM58" i="2"/>
  <c r="BL58" i="2"/>
  <c r="BK58" i="2"/>
  <c r="BY57" i="2"/>
  <c r="BX57" i="2"/>
  <c r="BS57" i="2"/>
  <c r="BR57" i="2"/>
  <c r="BQ57" i="2"/>
  <c r="BP57" i="2"/>
  <c r="BO57" i="2"/>
  <c r="BN57" i="2"/>
  <c r="BM57" i="2"/>
  <c r="BL57" i="2"/>
  <c r="BK57" i="2"/>
  <c r="BY56" i="2"/>
  <c r="BX56" i="2"/>
  <c r="BS56" i="2"/>
  <c r="BR56" i="2"/>
  <c r="BQ56" i="2"/>
  <c r="BP56" i="2"/>
  <c r="BO56" i="2"/>
  <c r="BN56" i="2"/>
  <c r="BM56" i="2"/>
  <c r="BL56" i="2"/>
  <c r="BK56" i="2"/>
  <c r="BY55" i="2"/>
  <c r="BX55" i="2"/>
  <c r="BS55" i="2"/>
  <c r="BR55" i="2"/>
  <c r="BQ55" i="2"/>
  <c r="BP55" i="2"/>
  <c r="BO55" i="2"/>
  <c r="BN55" i="2"/>
  <c r="BM55" i="2"/>
  <c r="BL55" i="2"/>
  <c r="BK55" i="2"/>
  <c r="BY54" i="2"/>
  <c r="BX54" i="2"/>
  <c r="BS54" i="2"/>
  <c r="BR54" i="2"/>
  <c r="BQ54" i="2"/>
  <c r="BP54" i="2"/>
  <c r="BO54" i="2"/>
  <c r="BN54" i="2"/>
  <c r="BM54" i="2"/>
  <c r="BL54" i="2"/>
  <c r="BK54" i="2"/>
  <c r="BY53" i="2"/>
  <c r="BX53" i="2"/>
  <c r="BS53" i="2"/>
  <c r="BR53" i="2"/>
  <c r="BQ53" i="2"/>
  <c r="BP53" i="2"/>
  <c r="BO53" i="2"/>
  <c r="BN53" i="2"/>
  <c r="BM53" i="2"/>
  <c r="BL53" i="2"/>
  <c r="BK53" i="2"/>
  <c r="BY52" i="2"/>
  <c r="BX52" i="2"/>
  <c r="BS52" i="2"/>
  <c r="BR52" i="2"/>
  <c r="BQ52" i="2"/>
  <c r="BW52" i="2" s="1"/>
  <c r="BP52" i="2"/>
  <c r="BO52" i="2"/>
  <c r="BN52" i="2"/>
  <c r="BM52" i="2"/>
  <c r="BL52" i="2"/>
  <c r="BK52" i="2"/>
  <c r="BY51" i="2"/>
  <c r="BX51" i="2"/>
  <c r="BS51" i="2"/>
  <c r="BR51" i="2"/>
  <c r="BQ51" i="2"/>
  <c r="BP51" i="2"/>
  <c r="BO51" i="2"/>
  <c r="BN51" i="2"/>
  <c r="BM51" i="2"/>
  <c r="BL51" i="2"/>
  <c r="BK51" i="2"/>
  <c r="BY50" i="2"/>
  <c r="BX50" i="2"/>
  <c r="BS50" i="2"/>
  <c r="BR50" i="2"/>
  <c r="BQ50" i="2"/>
  <c r="BW50" i="2" s="1"/>
  <c r="BP50" i="2"/>
  <c r="BO50" i="2"/>
  <c r="BN50" i="2"/>
  <c r="BM50" i="2"/>
  <c r="BL50" i="2"/>
  <c r="BK50" i="2"/>
  <c r="BY49" i="2"/>
  <c r="BX49" i="2"/>
  <c r="BS49" i="2"/>
  <c r="BR49" i="2"/>
  <c r="BQ49" i="2"/>
  <c r="BW49" i="2" s="1"/>
  <c r="BP49" i="2"/>
  <c r="BO49" i="2"/>
  <c r="BN49" i="2"/>
  <c r="BM49" i="2"/>
  <c r="BL49" i="2"/>
  <c r="BK49" i="2"/>
  <c r="BY48" i="2"/>
  <c r="BX48" i="2"/>
  <c r="BS48" i="2"/>
  <c r="BR48" i="2"/>
  <c r="BQ48" i="2"/>
  <c r="BP48" i="2"/>
  <c r="BO48" i="2"/>
  <c r="BN48" i="2"/>
  <c r="BM48" i="2"/>
  <c r="BL48" i="2"/>
  <c r="BK48" i="2"/>
  <c r="BY47" i="2"/>
  <c r="BX47" i="2"/>
  <c r="BS47" i="2"/>
  <c r="BR47" i="2"/>
  <c r="BQ47" i="2"/>
  <c r="BW47" i="2" s="1"/>
  <c r="BP47" i="2"/>
  <c r="BO47" i="2"/>
  <c r="BN47" i="2"/>
  <c r="BM47" i="2"/>
  <c r="BL47" i="2"/>
  <c r="BK47" i="2"/>
  <c r="BY46" i="2"/>
  <c r="BX46" i="2"/>
  <c r="BS46" i="2"/>
  <c r="BR46" i="2"/>
  <c r="BQ46" i="2"/>
  <c r="BW46" i="2" s="1"/>
  <c r="BP46" i="2"/>
  <c r="BO46" i="2"/>
  <c r="BN46" i="2"/>
  <c r="BM46" i="2"/>
  <c r="BL46" i="2"/>
  <c r="BK46" i="2"/>
  <c r="BY45" i="2"/>
  <c r="BX45" i="2"/>
  <c r="BS45" i="2"/>
  <c r="BR45" i="2"/>
  <c r="BQ45" i="2"/>
  <c r="BW45" i="2" s="1"/>
  <c r="BP45" i="2"/>
  <c r="BO45" i="2"/>
  <c r="BN45" i="2"/>
  <c r="BM45" i="2"/>
  <c r="BL45" i="2"/>
  <c r="BK45" i="2"/>
  <c r="BY44" i="2"/>
  <c r="BX44" i="2"/>
  <c r="BS44" i="2"/>
  <c r="BR44" i="2"/>
  <c r="BQ44" i="2"/>
  <c r="BW44" i="2" s="1"/>
  <c r="BP44" i="2"/>
  <c r="BO44" i="2"/>
  <c r="BN44" i="2"/>
  <c r="BM44" i="2"/>
  <c r="BL44" i="2"/>
  <c r="BK44" i="2"/>
  <c r="BY43" i="2"/>
  <c r="BX43" i="2"/>
  <c r="BS43" i="2"/>
  <c r="BR43" i="2"/>
  <c r="BQ43" i="2"/>
  <c r="BW43" i="2" s="1"/>
  <c r="BP43" i="2"/>
  <c r="BO43" i="2"/>
  <c r="BN43" i="2"/>
  <c r="BM43" i="2"/>
  <c r="BL43" i="2"/>
  <c r="BK43" i="2"/>
  <c r="BY42" i="2"/>
  <c r="BX42" i="2"/>
  <c r="BS42" i="2"/>
  <c r="BR42" i="2"/>
  <c r="BQ42" i="2"/>
  <c r="BW42" i="2" s="1"/>
  <c r="BP42" i="2"/>
  <c r="BO42" i="2"/>
  <c r="BN42" i="2"/>
  <c r="BM42" i="2"/>
  <c r="BL42" i="2"/>
  <c r="BK42" i="2"/>
  <c r="BY41" i="2"/>
  <c r="BX41" i="2"/>
  <c r="BS41" i="2"/>
  <c r="BR41" i="2"/>
  <c r="BQ41" i="2"/>
  <c r="BP41" i="2"/>
  <c r="BO41" i="2"/>
  <c r="BN41" i="2"/>
  <c r="BM41" i="2"/>
  <c r="BL41" i="2"/>
  <c r="BK41" i="2"/>
  <c r="BY40" i="2"/>
  <c r="BX40" i="2"/>
  <c r="BS40" i="2"/>
  <c r="BR40" i="2"/>
  <c r="BQ40" i="2"/>
  <c r="BP40" i="2"/>
  <c r="BO40" i="2"/>
  <c r="BN40" i="2"/>
  <c r="BM40" i="2"/>
  <c r="BL40" i="2"/>
  <c r="BK40" i="2"/>
  <c r="BY39" i="2"/>
  <c r="BX39" i="2"/>
  <c r="BS39" i="2"/>
  <c r="BR39" i="2"/>
  <c r="BQ39" i="2"/>
  <c r="BW39" i="2" s="1"/>
  <c r="BP39" i="2"/>
  <c r="BO39" i="2"/>
  <c r="BN39" i="2"/>
  <c r="BM39" i="2"/>
  <c r="BL39" i="2"/>
  <c r="BK39" i="2"/>
  <c r="BY38" i="2"/>
  <c r="BX38" i="2"/>
  <c r="BS38" i="2"/>
  <c r="BR38" i="2"/>
  <c r="BQ38" i="2"/>
  <c r="BP38" i="2"/>
  <c r="BO38" i="2"/>
  <c r="BN38" i="2"/>
  <c r="BM38" i="2"/>
  <c r="BL38" i="2"/>
  <c r="BK38" i="2"/>
  <c r="BY37" i="2"/>
  <c r="BX37" i="2"/>
  <c r="BS37" i="2"/>
  <c r="BR37" i="2"/>
  <c r="BQ37" i="2"/>
  <c r="BP37" i="2"/>
  <c r="BO37" i="2"/>
  <c r="BN37" i="2"/>
  <c r="BM37" i="2"/>
  <c r="BL37" i="2"/>
  <c r="BK37" i="2"/>
  <c r="BY36" i="2"/>
  <c r="BX36" i="2"/>
  <c r="BS36" i="2"/>
  <c r="BR36" i="2"/>
  <c r="BQ36" i="2"/>
  <c r="BP36" i="2"/>
  <c r="BO36" i="2"/>
  <c r="BN36" i="2"/>
  <c r="BM36" i="2"/>
  <c r="BL36" i="2"/>
  <c r="BK36" i="2"/>
  <c r="BY35" i="2"/>
  <c r="BX35" i="2"/>
  <c r="BS35" i="2"/>
  <c r="BR35" i="2"/>
  <c r="BQ35" i="2"/>
  <c r="BP35" i="2"/>
  <c r="BO35" i="2"/>
  <c r="BN35" i="2"/>
  <c r="BM35" i="2"/>
  <c r="BL35" i="2"/>
  <c r="BK35" i="2"/>
  <c r="BY34" i="2"/>
  <c r="BX34" i="2"/>
  <c r="BS34" i="2"/>
  <c r="BR34" i="2"/>
  <c r="BQ34" i="2"/>
  <c r="BP34" i="2"/>
  <c r="BO34" i="2"/>
  <c r="BN34" i="2"/>
  <c r="BM34" i="2"/>
  <c r="BL34" i="2"/>
  <c r="BK34" i="2"/>
  <c r="BY33" i="2"/>
  <c r="BX33" i="2"/>
  <c r="BS33" i="2"/>
  <c r="BR33" i="2"/>
  <c r="BQ33" i="2"/>
  <c r="BP33" i="2"/>
  <c r="BO33" i="2"/>
  <c r="BN33" i="2"/>
  <c r="BM33" i="2"/>
  <c r="BL33" i="2"/>
  <c r="BK33" i="2"/>
  <c r="BY32" i="2"/>
  <c r="BX32" i="2"/>
  <c r="BS32" i="2"/>
  <c r="BR32" i="2"/>
  <c r="BQ32" i="2"/>
  <c r="BW32" i="2" s="1"/>
  <c r="BP32" i="2"/>
  <c r="BO32" i="2"/>
  <c r="BN32" i="2"/>
  <c r="BM32" i="2"/>
  <c r="BL32" i="2"/>
  <c r="BK32" i="2"/>
  <c r="BY31" i="2"/>
  <c r="BX31" i="2"/>
  <c r="BS31" i="2"/>
  <c r="BR31" i="2"/>
  <c r="BQ31" i="2"/>
  <c r="BW31" i="2" s="1"/>
  <c r="BP31" i="2"/>
  <c r="BO31" i="2"/>
  <c r="BN31" i="2"/>
  <c r="BM31" i="2"/>
  <c r="BL31" i="2"/>
  <c r="BK31" i="2"/>
  <c r="BY30" i="2"/>
  <c r="BX30" i="2"/>
  <c r="BS30" i="2"/>
  <c r="BR30" i="2"/>
  <c r="BQ30" i="2"/>
  <c r="BW30" i="2" s="1"/>
  <c r="BP30" i="2"/>
  <c r="BO30" i="2"/>
  <c r="BN30" i="2"/>
  <c r="BM30" i="2"/>
  <c r="BL30" i="2"/>
  <c r="BK30" i="2"/>
  <c r="BY29" i="2"/>
  <c r="BX29" i="2"/>
  <c r="BS29" i="2"/>
  <c r="BR29" i="2"/>
  <c r="BQ29" i="2"/>
  <c r="BW29" i="2" s="1"/>
  <c r="BP29" i="2"/>
  <c r="BO29" i="2"/>
  <c r="BN29" i="2"/>
  <c r="BM29" i="2"/>
  <c r="BL29" i="2"/>
  <c r="BK29" i="2"/>
  <c r="BY28" i="2"/>
  <c r="BX28" i="2"/>
  <c r="BS28" i="2"/>
  <c r="BR28" i="2"/>
  <c r="BQ28" i="2"/>
  <c r="BP28" i="2"/>
  <c r="BO28" i="2"/>
  <c r="BN28" i="2"/>
  <c r="BM28" i="2"/>
  <c r="BL28" i="2"/>
  <c r="BK28" i="2"/>
  <c r="BY27" i="2"/>
  <c r="BX27" i="2"/>
  <c r="BS27" i="2"/>
  <c r="BR27" i="2"/>
  <c r="BQ27" i="2"/>
  <c r="BW27" i="2" s="1"/>
  <c r="BP27" i="2"/>
  <c r="BO27" i="2"/>
  <c r="BN27" i="2"/>
  <c r="BM27" i="2"/>
  <c r="BL27" i="2"/>
  <c r="BK27" i="2"/>
  <c r="BY26" i="2"/>
  <c r="BX26" i="2"/>
  <c r="BS26" i="2"/>
  <c r="BR26" i="2"/>
  <c r="BQ26" i="2"/>
  <c r="BW26" i="2" s="1"/>
  <c r="BP26" i="2"/>
  <c r="BO26" i="2"/>
  <c r="BN26" i="2"/>
  <c r="BM26" i="2"/>
  <c r="BL26" i="2"/>
  <c r="BK26" i="2"/>
  <c r="BY25" i="2"/>
  <c r="BX25" i="2"/>
  <c r="BS25" i="2"/>
  <c r="BR25" i="2"/>
  <c r="BQ25" i="2"/>
  <c r="BW25" i="2" s="1"/>
  <c r="BP25" i="2"/>
  <c r="BO25" i="2"/>
  <c r="BN25" i="2"/>
  <c r="BM25" i="2"/>
  <c r="BL25" i="2"/>
  <c r="BK25" i="2"/>
  <c r="BY24" i="2"/>
  <c r="BX24" i="2"/>
  <c r="BS24" i="2"/>
  <c r="BR24" i="2"/>
  <c r="BQ24" i="2"/>
  <c r="BW24" i="2" s="1"/>
  <c r="BP24" i="2"/>
  <c r="BO24" i="2"/>
  <c r="BN24" i="2"/>
  <c r="BM24" i="2"/>
  <c r="BL24" i="2"/>
  <c r="BK24" i="2"/>
  <c r="BY23" i="2"/>
  <c r="BX23" i="2"/>
  <c r="BS23" i="2"/>
  <c r="BR23" i="2"/>
  <c r="BQ23" i="2"/>
  <c r="BP23" i="2"/>
  <c r="BO23" i="2"/>
  <c r="BN23" i="2"/>
  <c r="BM23" i="2"/>
  <c r="BL23" i="2"/>
  <c r="BK23" i="2"/>
  <c r="BY22" i="2"/>
  <c r="BX22" i="2"/>
  <c r="BS22" i="2"/>
  <c r="BR22" i="2"/>
  <c r="BQ22" i="2"/>
  <c r="BW22" i="2" s="1"/>
  <c r="BP22" i="2"/>
  <c r="BO22" i="2"/>
  <c r="BN22" i="2"/>
  <c r="BM22" i="2"/>
  <c r="BL22" i="2"/>
  <c r="BK22" i="2"/>
  <c r="BY21" i="2"/>
  <c r="BX21" i="2"/>
  <c r="BS21" i="2"/>
  <c r="BR21" i="2"/>
  <c r="BQ21" i="2"/>
  <c r="BP21" i="2"/>
  <c r="BO21" i="2"/>
  <c r="BN21" i="2"/>
  <c r="BM21" i="2"/>
  <c r="BL21" i="2"/>
  <c r="BK21" i="2"/>
  <c r="BY20" i="2"/>
  <c r="BX20" i="2"/>
  <c r="BS20" i="2"/>
  <c r="BR20" i="2"/>
  <c r="BQ20" i="2"/>
  <c r="BP20" i="2"/>
  <c r="BO20" i="2"/>
  <c r="BN20" i="2"/>
  <c r="BM20" i="2"/>
  <c r="BL20" i="2"/>
  <c r="BK20" i="2"/>
  <c r="BY19" i="2"/>
  <c r="BX19" i="2"/>
  <c r="BS19" i="2"/>
  <c r="BR19" i="2"/>
  <c r="BQ19" i="2"/>
  <c r="BW19" i="2" s="1"/>
  <c r="BP19" i="2"/>
  <c r="BO19" i="2"/>
  <c r="BN19" i="2"/>
  <c r="BM19" i="2"/>
  <c r="BL19" i="2"/>
  <c r="BK19" i="2"/>
  <c r="BY18" i="2"/>
  <c r="BX18" i="2"/>
  <c r="BS18" i="2"/>
  <c r="BR18" i="2"/>
  <c r="BQ18" i="2"/>
  <c r="BW18" i="2" s="1"/>
  <c r="BP18" i="2"/>
  <c r="BO18" i="2"/>
  <c r="BN18" i="2"/>
  <c r="BM18" i="2"/>
  <c r="BL18" i="2"/>
  <c r="BK18" i="2"/>
  <c r="BY17" i="2"/>
  <c r="BX17" i="2"/>
  <c r="BS17" i="2"/>
  <c r="BR17" i="2"/>
  <c r="BQ17" i="2"/>
  <c r="BW17" i="2" s="1"/>
  <c r="BP17" i="2"/>
  <c r="BO17" i="2"/>
  <c r="BN17" i="2"/>
  <c r="BM17" i="2"/>
  <c r="BL17" i="2"/>
  <c r="BK17" i="2"/>
  <c r="BY16" i="2"/>
  <c r="BX16" i="2"/>
  <c r="BS16" i="2"/>
  <c r="BR16" i="2"/>
  <c r="BQ16" i="2"/>
  <c r="BW16" i="2" s="1"/>
  <c r="BP16" i="2"/>
  <c r="BO16" i="2"/>
  <c r="BN16" i="2"/>
  <c r="BM16" i="2"/>
  <c r="BL16" i="2"/>
  <c r="BK16" i="2"/>
  <c r="BY15" i="2"/>
  <c r="BX15" i="2"/>
  <c r="BS15" i="2"/>
  <c r="BR15" i="2"/>
  <c r="BQ15" i="2"/>
  <c r="BP15" i="2"/>
  <c r="BO15" i="2"/>
  <c r="BN15" i="2"/>
  <c r="BM15" i="2"/>
  <c r="BL15" i="2"/>
  <c r="BK15" i="2"/>
  <c r="BY14" i="2"/>
  <c r="BX14" i="2"/>
  <c r="BS14" i="2"/>
  <c r="BR14" i="2"/>
  <c r="BQ14" i="2"/>
  <c r="BP14" i="2"/>
  <c r="BO14" i="2"/>
  <c r="BN14" i="2"/>
  <c r="BM14" i="2"/>
  <c r="BL14" i="2"/>
  <c r="BK14" i="2"/>
  <c r="BY13" i="2"/>
  <c r="BX13" i="2"/>
  <c r="BS13" i="2"/>
  <c r="BR13" i="2"/>
  <c r="BQ13" i="2"/>
  <c r="BW13" i="2" s="1"/>
  <c r="BP13" i="2"/>
  <c r="BO13" i="2"/>
  <c r="BN13" i="2"/>
  <c r="BM13" i="2"/>
  <c r="BL13" i="2"/>
  <c r="BK13" i="2"/>
  <c r="BY12" i="2"/>
  <c r="BX12" i="2"/>
  <c r="BS12" i="2"/>
  <c r="BR12" i="2"/>
  <c r="BQ12" i="2"/>
  <c r="BP12" i="2"/>
  <c r="BO12" i="2"/>
  <c r="BN12" i="2"/>
  <c r="BM12" i="2"/>
  <c r="BL12" i="2"/>
  <c r="BK12" i="2"/>
  <c r="BY11" i="2"/>
  <c r="BX11" i="2"/>
  <c r="BS11" i="2"/>
  <c r="BR11" i="2"/>
  <c r="BQ11" i="2"/>
  <c r="BP11" i="2"/>
  <c r="BO11" i="2"/>
  <c r="BN11" i="2"/>
  <c r="BM11" i="2"/>
  <c r="BL11" i="2"/>
  <c r="BK11" i="2"/>
  <c r="BY10" i="2"/>
  <c r="BX10" i="2"/>
  <c r="BS10" i="2"/>
  <c r="BR10" i="2"/>
  <c r="BQ10" i="2"/>
  <c r="BP10" i="2"/>
  <c r="BO10" i="2"/>
  <c r="BN10" i="2"/>
  <c r="BM10" i="2"/>
  <c r="BL10" i="2"/>
  <c r="BK10" i="2"/>
  <c r="BY9" i="2"/>
  <c r="BX9" i="2"/>
  <c r="BS9" i="2"/>
  <c r="BR9" i="2"/>
  <c r="BQ9" i="2"/>
  <c r="BW9" i="2" s="1"/>
  <c r="BP9" i="2"/>
  <c r="BO9" i="2"/>
  <c r="BN9" i="2"/>
  <c r="BM9" i="2"/>
  <c r="BL9" i="2"/>
  <c r="BK9" i="2"/>
  <c r="BY8" i="2"/>
  <c r="BX8" i="2"/>
  <c r="BS8" i="2"/>
  <c r="BR8" i="2"/>
  <c r="BQ8" i="2"/>
  <c r="BP8" i="2"/>
  <c r="BO8" i="2"/>
  <c r="BN8" i="2"/>
  <c r="BM8" i="2"/>
  <c r="BL8" i="2"/>
  <c r="BK8" i="2"/>
  <c r="BY7" i="2"/>
  <c r="BX7" i="2"/>
  <c r="BS7" i="2"/>
  <c r="BR7" i="2"/>
  <c r="BQ7" i="2"/>
  <c r="BW7" i="2" s="1"/>
  <c r="BP7" i="2"/>
  <c r="BO7" i="2"/>
  <c r="BN7" i="2"/>
  <c r="BM7" i="2"/>
  <c r="BL7" i="2"/>
  <c r="BK7" i="2"/>
  <c r="BY6" i="2"/>
  <c r="BX6" i="2"/>
  <c r="BS6" i="2"/>
  <c r="BR6" i="2"/>
  <c r="BQ6" i="2"/>
  <c r="BW6" i="2" s="1"/>
  <c r="BP6" i="2"/>
  <c r="BO6" i="2"/>
  <c r="BN6" i="2"/>
  <c r="BM6" i="2"/>
  <c r="BL6" i="2"/>
  <c r="BK6" i="2"/>
  <c r="BY5" i="2"/>
  <c r="BX5" i="2"/>
  <c r="BS5" i="2"/>
  <c r="BR5" i="2"/>
  <c r="BQ5" i="2"/>
  <c r="BW5" i="2" s="1"/>
  <c r="BP5" i="2"/>
  <c r="BO5" i="2"/>
  <c r="BN5" i="2"/>
  <c r="BM5" i="2"/>
  <c r="BL5" i="2"/>
  <c r="BK5" i="2"/>
  <c r="BY4" i="2"/>
  <c r="BX4" i="2"/>
  <c r="BS4" i="2"/>
  <c r="BR4" i="2"/>
  <c r="BQ4" i="2"/>
  <c r="BP4" i="2"/>
  <c r="BO4" i="2"/>
  <c r="BN4" i="2"/>
  <c r="BM4" i="2"/>
  <c r="BL4" i="2"/>
  <c r="BK4" i="2"/>
  <c r="BY3" i="2"/>
  <c r="BX3" i="2"/>
  <c r="BS3" i="2"/>
  <c r="BR3" i="2"/>
  <c r="BQ3" i="2"/>
  <c r="BW3" i="2" s="1"/>
  <c r="BP3" i="2"/>
  <c r="BO3" i="2"/>
  <c r="BN3" i="2"/>
  <c r="BM3" i="2"/>
  <c r="BL3" i="2"/>
  <c r="BK3" i="2"/>
  <c r="BY2" i="2"/>
  <c r="BX2" i="2"/>
  <c r="BS2" i="2"/>
  <c r="BR2" i="2"/>
  <c r="BQ2" i="2"/>
  <c r="BW2" i="2" s="1"/>
  <c r="BP2" i="2"/>
  <c r="BO2" i="2"/>
  <c r="BN2" i="2"/>
  <c r="BM2" i="2"/>
  <c r="BL2" i="2"/>
  <c r="BK2" i="2"/>
  <c r="B55" i="1"/>
  <c r="B54" i="1"/>
  <c r="B53" i="1"/>
  <c r="B52" i="1"/>
  <c r="I52" i="1" s="1"/>
  <c r="B51" i="1"/>
  <c r="B50" i="1"/>
  <c r="H50" i="1" s="1"/>
  <c r="N10" i="1"/>
  <c r="N4" i="1"/>
  <c r="BT112" i="2" l="1"/>
  <c r="BT172" i="2"/>
  <c r="BT532" i="2"/>
  <c r="BU208" i="2"/>
  <c r="BU248" i="2"/>
  <c r="BT386" i="2"/>
  <c r="BT336" i="2"/>
  <c r="BU438" i="2"/>
  <c r="CA438" i="2" s="1"/>
  <c r="BT496" i="2"/>
  <c r="BT625" i="2"/>
  <c r="BT765" i="2"/>
  <c r="BT68" i="2"/>
  <c r="BT328" i="2"/>
  <c r="BU323" i="2"/>
  <c r="BT501" i="2"/>
  <c r="BT670" i="2"/>
  <c r="BT690" i="2"/>
  <c r="BT785" i="2"/>
  <c r="BT78" i="2"/>
  <c r="BT2" i="2"/>
  <c r="BT202" i="2"/>
  <c r="BT242" i="2"/>
  <c r="BT402" i="2"/>
  <c r="BT651" i="2"/>
  <c r="BU653" i="2"/>
  <c r="BT837" i="2"/>
  <c r="BT275" i="2"/>
  <c r="BT455" i="2"/>
  <c r="BT475" i="2"/>
  <c r="BT744" i="2"/>
  <c r="BU746" i="2"/>
  <c r="CA746" i="2" s="1"/>
  <c r="CA840" i="2"/>
  <c r="BV840" i="2"/>
  <c r="BZ840" i="2" s="1"/>
  <c r="BT93" i="2"/>
  <c r="BT493" i="2"/>
  <c r="BT77" i="2"/>
  <c r="BU79" i="2"/>
  <c r="CA79" i="2" s="1"/>
  <c r="BT97" i="2"/>
  <c r="BT337" i="2"/>
  <c r="BU339" i="2"/>
  <c r="BU359" i="2"/>
  <c r="CA359" i="2" s="1"/>
  <c r="BT626" i="2"/>
  <c r="BU221" i="2"/>
  <c r="CA221" i="2" s="1"/>
  <c r="CA839" i="2"/>
  <c r="BV839" i="2"/>
  <c r="BZ839" i="2" s="1"/>
  <c r="BT325" i="2"/>
  <c r="BT834" i="2"/>
  <c r="BT836" i="2"/>
  <c r="CA838" i="2"/>
  <c r="BV838" i="2"/>
  <c r="BZ838" i="2" s="1"/>
  <c r="BT434" i="2"/>
  <c r="BT474" i="2"/>
  <c r="BT494" i="2"/>
  <c r="BT643" i="2"/>
  <c r="N6" i="1"/>
  <c r="BT9" i="2"/>
  <c r="BT409" i="2"/>
  <c r="BT449" i="2"/>
  <c r="BU102" i="2"/>
  <c r="CA102" i="2" s="1"/>
  <c r="BT589" i="2"/>
  <c r="BU611" i="2"/>
  <c r="CA611" i="2" s="1"/>
  <c r="BU711" i="2"/>
  <c r="CA711" i="2" s="1"/>
  <c r="BT726" i="2"/>
  <c r="BT746" i="2"/>
  <c r="BT797" i="2"/>
  <c r="BU799" i="2"/>
  <c r="CA799" i="2" s="1"/>
  <c r="BT50" i="2"/>
  <c r="BT110" i="2"/>
  <c r="BT330" i="2"/>
  <c r="BU332" i="2"/>
  <c r="CA332" i="2" s="1"/>
  <c r="BU761" i="2"/>
  <c r="CA761" i="2" s="1"/>
  <c r="BT799" i="2"/>
  <c r="BT835" i="2"/>
  <c r="BU837" i="2"/>
  <c r="BU25" i="2"/>
  <c r="CA25" i="2" s="1"/>
  <c r="BT163" i="2"/>
  <c r="BT203" i="2"/>
  <c r="BT74" i="2"/>
  <c r="BU296" i="2"/>
  <c r="CA296" i="2" s="1"/>
  <c r="BT545" i="2"/>
  <c r="BT565" i="2"/>
  <c r="BT634" i="2"/>
  <c r="BT517" i="2"/>
  <c r="J55" i="1"/>
  <c r="BT832" i="2"/>
  <c r="BT253" i="2"/>
  <c r="BT400" i="2"/>
  <c r="BT500" i="2"/>
  <c r="BT756" i="2"/>
  <c r="BT776" i="2"/>
  <c r="BT796" i="2"/>
  <c r="BU393" i="2"/>
  <c r="CA393" i="2" s="1"/>
  <c r="BU433" i="2"/>
  <c r="CA433" i="2" s="1"/>
  <c r="BU551" i="2"/>
  <c r="CA551" i="2" s="1"/>
  <c r="BT658" i="2"/>
  <c r="BT137" i="2"/>
  <c r="BT157" i="2"/>
  <c r="BT177" i="2"/>
  <c r="BT217" i="2"/>
  <c r="BT237" i="2"/>
  <c r="BU239" i="2"/>
  <c r="CA239" i="2" s="1"/>
  <c r="BU259" i="2"/>
  <c r="CA259" i="2" s="1"/>
  <c r="BT375" i="2"/>
  <c r="BT484" i="2"/>
  <c r="BT542" i="2"/>
  <c r="BT571" i="2"/>
  <c r="BT640" i="2"/>
  <c r="BT660" i="2"/>
  <c r="BU662" i="2"/>
  <c r="CA662" i="2" s="1"/>
  <c r="BT680" i="2"/>
  <c r="BU834" i="2"/>
  <c r="CA834" i="2" s="1"/>
  <c r="BU693" i="2"/>
  <c r="BT101" i="2"/>
  <c r="BT121" i="2"/>
  <c r="BT339" i="2"/>
  <c r="BT437" i="2"/>
  <c r="BU439" i="2"/>
  <c r="BT593" i="2"/>
  <c r="BT396" i="2"/>
  <c r="BU817" i="2"/>
  <c r="CA817" i="2" s="1"/>
  <c r="BU836" i="2"/>
  <c r="BT432" i="2"/>
  <c r="BU514" i="2"/>
  <c r="BT579" i="2"/>
  <c r="BT588" i="2"/>
  <c r="BU835" i="2"/>
  <c r="BT20" i="2"/>
  <c r="BU22" i="2"/>
  <c r="CA22" i="2" s="1"/>
  <c r="BT40" i="2"/>
  <c r="BT109" i="2"/>
  <c r="BT198" i="2"/>
  <c r="BU200" i="2"/>
  <c r="BT218" i="2"/>
  <c r="BT258" i="2"/>
  <c r="BT641" i="2"/>
  <c r="BT781" i="2"/>
  <c r="BT255" i="2"/>
  <c r="BU346" i="2"/>
  <c r="CA346" i="2" s="1"/>
  <c r="BT119" i="2"/>
  <c r="BT326" i="2"/>
  <c r="BT393" i="2"/>
  <c r="BT540" i="2"/>
  <c r="BT560" i="2"/>
  <c r="BU830" i="2"/>
  <c r="BT676" i="2"/>
  <c r="BT830" i="2"/>
  <c r="BU163" i="2"/>
  <c r="CA163" i="2" s="1"/>
  <c r="BT341" i="2"/>
  <c r="BT602" i="2"/>
  <c r="BU640" i="2"/>
  <c r="CA640" i="2" s="1"/>
  <c r="BT745" i="2"/>
  <c r="BT143" i="2"/>
  <c r="BU176" i="2"/>
  <c r="BT254" i="2"/>
  <c r="BT283" i="2"/>
  <c r="BT488" i="2"/>
  <c r="BT584" i="2"/>
  <c r="BU622" i="2"/>
  <c r="CA622" i="2" s="1"/>
  <c r="BT740" i="2"/>
  <c r="BU742" i="2"/>
  <c r="CA742" i="2" s="1"/>
  <c r="BT27" i="2"/>
  <c r="BU127" i="2"/>
  <c r="CA127" i="2" s="1"/>
  <c r="BU247" i="2"/>
  <c r="CA247" i="2" s="1"/>
  <c r="BT303" i="2"/>
  <c r="BT390" i="2"/>
  <c r="BT419" i="2"/>
  <c r="BT439" i="2"/>
  <c r="BT459" i="2"/>
  <c r="BT682" i="2"/>
  <c r="BT771" i="2"/>
  <c r="BT47" i="2"/>
  <c r="BT87" i="2"/>
  <c r="BT294" i="2"/>
  <c r="BT401" i="2"/>
  <c r="BT410" i="2"/>
  <c r="BT430" i="2"/>
  <c r="BT548" i="2"/>
  <c r="BT577" i="2"/>
  <c r="BT606" i="2"/>
  <c r="BT644" i="2"/>
  <c r="BT673" i="2"/>
  <c r="BT811" i="2"/>
  <c r="BT753" i="2"/>
  <c r="BT307" i="2"/>
  <c r="BT356" i="2"/>
  <c r="BT666" i="2"/>
  <c r="BU797" i="2"/>
  <c r="CA797" i="2" s="1"/>
  <c r="BT829" i="2"/>
  <c r="BT33" i="2"/>
  <c r="BT191" i="2"/>
  <c r="BT211" i="2"/>
  <c r="BT260" i="2"/>
  <c r="BT485" i="2"/>
  <c r="BT688" i="2"/>
  <c r="BT717" i="2"/>
  <c r="BU719" i="2"/>
  <c r="CA719" i="2" s="1"/>
  <c r="BT777" i="2"/>
  <c r="BT153" i="2"/>
  <c r="BT213" i="2"/>
  <c r="BT233" i="2"/>
  <c r="BU264" i="2"/>
  <c r="CA264" i="2" s="1"/>
  <c r="BT719" i="2"/>
  <c r="BT144" i="2"/>
  <c r="BZ286" i="2"/>
  <c r="BT302" i="2"/>
  <c r="BT418" i="2"/>
  <c r="BT614" i="2"/>
  <c r="BT661" i="2"/>
  <c r="BT681" i="2"/>
  <c r="BT790" i="2"/>
  <c r="BU792" i="2"/>
  <c r="CA792" i="2" s="1"/>
  <c r="BT833" i="2"/>
  <c r="BU57" i="2"/>
  <c r="CA57" i="2" s="1"/>
  <c r="BU392" i="2"/>
  <c r="CA392" i="2" s="1"/>
  <c r="BU23" i="2"/>
  <c r="CA23" i="2" s="1"/>
  <c r="BU759" i="2"/>
  <c r="CA759" i="2" s="1"/>
  <c r="BT139" i="2"/>
  <c r="BU620" i="2"/>
  <c r="CA620" i="2" s="1"/>
  <c r="BU712" i="2"/>
  <c r="CA712" i="2" s="1"/>
  <c r="BT83" i="2"/>
  <c r="BT141" i="2"/>
  <c r="BT159" i="2"/>
  <c r="BU161" i="2"/>
  <c r="BT179" i="2"/>
  <c r="BU181" i="2"/>
  <c r="CA181" i="2" s="1"/>
  <c r="BT389" i="2"/>
  <c r="BT508" i="2"/>
  <c r="BU566" i="2"/>
  <c r="CA566" i="2" s="1"/>
  <c r="BU698" i="2"/>
  <c r="CA698" i="2" s="1"/>
  <c r="BT734" i="2"/>
  <c r="BT831" i="2"/>
  <c r="BU569" i="2"/>
  <c r="CA569" i="2" s="1"/>
  <c r="BU694" i="2"/>
  <c r="CA694" i="2" s="1"/>
  <c r="BT186" i="2"/>
  <c r="BT613" i="2"/>
  <c r="BT725" i="2"/>
  <c r="BT754" i="2"/>
  <c r="BT763" i="2"/>
  <c r="BT803" i="2"/>
  <c r="BT85" i="2"/>
  <c r="BU87" i="2"/>
  <c r="BT161" i="2"/>
  <c r="BU183" i="2"/>
  <c r="CA183" i="2" s="1"/>
  <c r="BT259" i="2"/>
  <c r="BT297" i="2"/>
  <c r="BT346" i="2"/>
  <c r="BT371" i="2"/>
  <c r="BT557" i="2"/>
  <c r="BT622" i="2"/>
  <c r="BU642" i="2"/>
  <c r="CA642" i="2" s="1"/>
  <c r="BT774" i="2"/>
  <c r="BT794" i="2"/>
  <c r="BT653" i="2"/>
  <c r="BT700" i="2"/>
  <c r="BU702" i="2"/>
  <c r="CA702" i="2" s="1"/>
  <c r="BU807" i="2"/>
  <c r="CA807" i="2" s="1"/>
  <c r="BU833" i="2"/>
  <c r="BT804" i="2"/>
  <c r="BT514" i="2"/>
  <c r="BT298" i="2"/>
  <c r="BT529" i="2"/>
  <c r="BU480" i="2"/>
  <c r="BW807" i="2"/>
  <c r="BU832" i="2"/>
  <c r="BU51" i="2"/>
  <c r="CA51" i="2" s="1"/>
  <c r="BT51" i="2"/>
  <c r="BU53" i="2"/>
  <c r="BT102" i="2"/>
  <c r="BT343" i="2"/>
  <c r="BT388" i="2"/>
  <c r="BT395" i="2"/>
  <c r="BT404" i="2"/>
  <c r="BU487" i="2"/>
  <c r="BU540" i="2"/>
  <c r="CA540" i="2" s="1"/>
  <c r="BU357" i="2"/>
  <c r="CA357" i="2" s="1"/>
  <c r="BT429" i="2"/>
  <c r="BT4" i="2"/>
  <c r="BU64" i="2"/>
  <c r="CA64" i="2" s="1"/>
  <c r="BT35" i="2"/>
  <c r="BU75" i="2"/>
  <c r="CA75" i="2" s="1"/>
  <c r="BT84" i="2"/>
  <c r="BU115" i="2"/>
  <c r="CA115" i="2" s="1"/>
  <c r="BT180" i="2"/>
  <c r="BT287" i="2"/>
  <c r="BT316" i="2"/>
  <c r="BU327" i="2"/>
  <c r="CA327" i="2" s="1"/>
  <c r="BT397" i="2"/>
  <c r="BU471" i="2"/>
  <c r="BW480" i="2"/>
  <c r="BT574" i="2"/>
  <c r="BT697" i="2"/>
  <c r="BT706" i="2"/>
  <c r="BT735" i="2"/>
  <c r="BT773" i="2"/>
  <c r="BT793" i="2"/>
  <c r="BT25" i="2"/>
  <c r="BT70" i="2"/>
  <c r="BT133" i="2"/>
  <c r="BT167" i="2"/>
  <c r="BT196" i="2"/>
  <c r="BT315" i="2"/>
  <c r="BT399" i="2"/>
  <c r="BT417" i="2"/>
  <c r="BT686" i="2"/>
  <c r="BT695" i="2"/>
  <c r="BT704" i="2"/>
  <c r="BU706" i="2"/>
  <c r="BT733" i="2"/>
  <c r="BT16" i="2"/>
  <c r="BT36" i="2"/>
  <c r="BU128" i="2"/>
  <c r="CA128" i="2" s="1"/>
  <c r="BT142" i="2"/>
  <c r="BT160" i="2"/>
  <c r="BT178" i="2"/>
  <c r="BT187" i="2"/>
  <c r="BT207" i="2"/>
  <c r="BU227" i="2"/>
  <c r="CA227" i="2" s="1"/>
  <c r="BT252" i="2"/>
  <c r="BT324" i="2"/>
  <c r="BU326" i="2"/>
  <c r="BV326" i="2" s="1"/>
  <c r="BU473" i="2"/>
  <c r="CA473" i="2" s="1"/>
  <c r="BT489" i="2"/>
  <c r="BT516" i="2"/>
  <c r="BT525" i="2"/>
  <c r="BU548" i="2"/>
  <c r="CA548" i="2" s="1"/>
  <c r="BT596" i="2"/>
  <c r="BT650" i="2"/>
  <c r="BU652" i="2"/>
  <c r="CA652" i="2" s="1"/>
  <c r="BT668" i="2"/>
  <c r="BU679" i="2"/>
  <c r="CA679" i="2" s="1"/>
  <c r="BT724" i="2"/>
  <c r="BU753" i="2"/>
  <c r="BT800" i="2"/>
  <c r="BU802" i="2"/>
  <c r="CA802" i="2" s="1"/>
  <c r="BT464" i="2"/>
  <c r="BU103" i="2"/>
  <c r="CA103" i="2" s="1"/>
  <c r="BT209" i="2"/>
  <c r="BT236" i="2"/>
  <c r="BU317" i="2"/>
  <c r="CA317" i="2" s="1"/>
  <c r="BT566" i="2"/>
  <c r="BT598" i="2"/>
  <c r="BU600" i="2"/>
  <c r="CA600" i="2" s="1"/>
  <c r="BT679" i="2"/>
  <c r="BT135" i="2"/>
  <c r="BT457" i="2"/>
  <c r="BT534" i="2"/>
  <c r="BW566" i="2"/>
  <c r="BT573" i="2"/>
  <c r="BT582" i="2"/>
  <c r="BT764" i="2"/>
  <c r="BT784" i="2"/>
  <c r="BU786" i="2"/>
  <c r="CA786" i="2" s="1"/>
  <c r="BT351" i="2"/>
  <c r="BU793" i="2"/>
  <c r="CA793" i="2" s="1"/>
  <c r="BU527" i="2"/>
  <c r="CA527" i="2" s="1"/>
  <c r="BT715" i="2"/>
  <c r="BU20" i="2"/>
  <c r="BU222" i="2"/>
  <c r="CA222" i="2" s="1"/>
  <c r="BT22" i="2"/>
  <c r="BT49" i="2"/>
  <c r="BT96" i="2"/>
  <c r="BT114" i="2"/>
  <c r="BT193" i="2"/>
  <c r="BT256" i="2"/>
  <c r="BT292" i="2"/>
  <c r="BT312" i="2"/>
  <c r="BT355" i="2"/>
  <c r="BT423" i="2"/>
  <c r="BU461" i="2"/>
  <c r="CA461" i="2" s="1"/>
  <c r="BT477" i="2"/>
  <c r="BU479" i="2"/>
  <c r="CA479" i="2" s="1"/>
  <c r="BT486" i="2"/>
  <c r="BT495" i="2"/>
  <c r="BT513" i="2"/>
  <c r="BU573" i="2"/>
  <c r="CA573" i="2" s="1"/>
  <c r="BT665" i="2"/>
  <c r="BT674" i="2"/>
  <c r="BT757" i="2"/>
  <c r="BT766" i="2"/>
  <c r="BT786" i="2"/>
  <c r="BU804" i="2"/>
  <c r="BT24" i="2"/>
  <c r="BU44" i="2"/>
  <c r="BT98" i="2"/>
  <c r="BT107" i="2"/>
  <c r="BT116" i="2"/>
  <c r="BZ116" i="2" s="1"/>
  <c r="BT148" i="2"/>
  <c r="BT166" i="2"/>
  <c r="BW222" i="2"/>
  <c r="BT240" i="2"/>
  <c r="BT267" i="2"/>
  <c r="BT348" i="2"/>
  <c r="BT366" i="2"/>
  <c r="BT384" i="2"/>
  <c r="BT391" i="2"/>
  <c r="BT416" i="2"/>
  <c r="BT538" i="2"/>
  <c r="BU545" i="2"/>
  <c r="CA545" i="2" s="1"/>
  <c r="BT554" i="2"/>
  <c r="BU606" i="2"/>
  <c r="BW620" i="2"/>
  <c r="BT685" i="2"/>
  <c r="BT694" i="2"/>
  <c r="BU743" i="2"/>
  <c r="CA743" i="2" s="1"/>
  <c r="BT768" i="2"/>
  <c r="BT788" i="2"/>
  <c r="BT806" i="2"/>
  <c r="BU420" i="2"/>
  <c r="BU707" i="2"/>
  <c r="CA707" i="2" s="1"/>
  <c r="BU37" i="2"/>
  <c r="CA37" i="2" s="1"/>
  <c r="BT323" i="2"/>
  <c r="BU400" i="2"/>
  <c r="CA400" i="2" s="1"/>
  <c r="BT524" i="2"/>
  <c r="BU298" i="2"/>
  <c r="CA298" i="2" s="1"/>
  <c r="BT454" i="2"/>
  <c r="BT136" i="2"/>
  <c r="BT208" i="2"/>
  <c r="BV208" i="2" s="1"/>
  <c r="BZ208" i="2" s="1"/>
  <c r="BT271" i="2"/>
  <c r="BT359" i="2"/>
  <c r="BV359" i="2" s="1"/>
  <c r="BZ359" i="2" s="1"/>
  <c r="BT368" i="2"/>
  <c r="BU370" i="2"/>
  <c r="CA370" i="2" s="1"/>
  <c r="BT420" i="2"/>
  <c r="BT445" i="2"/>
  <c r="BU467" i="2"/>
  <c r="CA467" i="2" s="1"/>
  <c r="BT572" i="2"/>
  <c r="BT597" i="2"/>
  <c r="BT698" i="2"/>
  <c r="BT716" i="2"/>
  <c r="BU718" i="2"/>
  <c r="CA718" i="2" s="1"/>
  <c r="BT736" i="2"/>
  <c r="BU738" i="2"/>
  <c r="CA738" i="2" s="1"/>
  <c r="BT808" i="2"/>
  <c r="BU831" i="2"/>
  <c r="BT39" i="2"/>
  <c r="BW64" i="2"/>
  <c r="BW540" i="2"/>
  <c r="BT95" i="2"/>
  <c r="BU97" i="2"/>
  <c r="CA97" i="2" s="1"/>
  <c r="BT104" i="2"/>
  <c r="BT183" i="2"/>
  <c r="BT192" i="2"/>
  <c r="BT221" i="2"/>
  <c r="BT239" i="2"/>
  <c r="BT264" i="2"/>
  <c r="BT311" i="2"/>
  <c r="BU553" i="2"/>
  <c r="CA553" i="2" s="1"/>
  <c r="BT619" i="2"/>
  <c r="BT635" i="2"/>
  <c r="BU122" i="2"/>
  <c r="CA122" i="2" s="1"/>
  <c r="BU655" i="2"/>
  <c r="CA655" i="2" s="1"/>
  <c r="BT41" i="2"/>
  <c r="BU43" i="2"/>
  <c r="CA43" i="2" s="1"/>
  <c r="BT86" i="2"/>
  <c r="BW163" i="2"/>
  <c r="BU560" i="2"/>
  <c r="CA560" i="2" s="1"/>
  <c r="BT693" i="2"/>
  <c r="BT711" i="2"/>
  <c r="BT156" i="2"/>
  <c r="BT165" i="2"/>
  <c r="BT313" i="2"/>
  <c r="BT338" i="2"/>
  <c r="BT347" i="2"/>
  <c r="BZ347" i="2" s="1"/>
  <c r="BT460" i="2"/>
  <c r="BT553" i="2"/>
  <c r="BT562" i="2"/>
  <c r="BT585" i="2"/>
  <c r="BU592" i="2"/>
  <c r="CA592" i="2" s="1"/>
  <c r="BT657" i="2"/>
  <c r="BT14" i="2"/>
  <c r="BZ14" i="2" s="1"/>
  <c r="BT43" i="2"/>
  <c r="BT79" i="2"/>
  <c r="BT158" i="2"/>
  <c r="BT176" i="2"/>
  <c r="BT232" i="2"/>
  <c r="BT277" i="2"/>
  <c r="BU288" i="2"/>
  <c r="BT304" i="2"/>
  <c r="BT340" i="2"/>
  <c r="BT435" i="2"/>
  <c r="BT471" i="2"/>
  <c r="BT594" i="2"/>
  <c r="BT742" i="2"/>
  <c r="BU816" i="2"/>
  <c r="CA816" i="2" s="1"/>
  <c r="BT5" i="2"/>
  <c r="BT48" i="2"/>
  <c r="BT75" i="2"/>
  <c r="BT164" i="2"/>
  <c r="BT282" i="2"/>
  <c r="BZ293" i="2"/>
  <c r="BT480" i="2"/>
  <c r="BT507" i="2"/>
  <c r="BT610" i="2"/>
  <c r="BT705" i="2"/>
  <c r="BT809" i="2"/>
  <c r="BT59" i="2"/>
  <c r="BW302" i="2"/>
  <c r="BU302" i="2"/>
  <c r="CA302" i="2" s="1"/>
  <c r="BT714" i="2"/>
  <c r="BU59" i="2"/>
  <c r="CA59" i="2" s="1"/>
  <c r="BU275" i="2"/>
  <c r="CA275" i="2" s="1"/>
  <c r="BU352" i="2"/>
  <c r="CA352" i="2" s="1"/>
  <c r="BT509" i="2"/>
  <c r="BW386" i="2"/>
  <c r="BU386" i="2"/>
  <c r="CA386" i="2" s="1"/>
  <c r="BT795" i="2"/>
  <c r="BU36" i="2"/>
  <c r="BW36" i="2"/>
  <c r="BU77" i="2"/>
  <c r="BU124" i="2"/>
  <c r="BU136" i="2"/>
  <c r="CA136" i="2" s="1"/>
  <c r="BT150" i="2"/>
  <c r="BT168" i="2"/>
  <c r="BU254" i="2"/>
  <c r="BU261" i="2"/>
  <c r="CA261" i="2" s="1"/>
  <c r="BT345" i="2"/>
  <c r="BT466" i="2"/>
  <c r="BU580" i="2"/>
  <c r="CA580" i="2" s="1"/>
  <c r="BT691" i="2"/>
  <c r="BW707" i="2"/>
  <c r="BW379" i="2"/>
  <c r="BU379" i="2"/>
  <c r="CA379" i="2" s="1"/>
  <c r="BT115" i="2"/>
  <c r="BZ115" i="2" s="1"/>
  <c r="BT124" i="2"/>
  <c r="BT138" i="2"/>
  <c r="BU143" i="2"/>
  <c r="BT170" i="2"/>
  <c r="BW352" i="2"/>
  <c r="BU363" i="2"/>
  <c r="CA363" i="2" s="1"/>
  <c r="BT443" i="2"/>
  <c r="BU459" i="2"/>
  <c r="CA459" i="2" s="1"/>
  <c r="BW720" i="2"/>
  <c r="BU720" i="2"/>
  <c r="CA720" i="2" s="1"/>
  <c r="BW170" i="2"/>
  <c r="BU170" i="2"/>
  <c r="CA170" i="2" s="1"/>
  <c r="BU133" i="2"/>
  <c r="CA133" i="2" s="1"/>
  <c r="BT231" i="2"/>
  <c r="BU265" i="2"/>
  <c r="CA265" i="2" s="1"/>
  <c r="BT279" i="2"/>
  <c r="BT354" i="2"/>
  <c r="BU356" i="2"/>
  <c r="CA356" i="2" s="1"/>
  <c r="BT561" i="2"/>
  <c r="BT684" i="2"/>
  <c r="BT702" i="2"/>
  <c r="BT201" i="2"/>
  <c r="BT219" i="2"/>
  <c r="BT226" i="2"/>
  <c r="BU228" i="2"/>
  <c r="BT235" i="2"/>
  <c r="BT342" i="2"/>
  <c r="BT415" i="2"/>
  <c r="BT556" i="2"/>
  <c r="BT654" i="2"/>
  <c r="BU333" i="2"/>
  <c r="CA333" i="2" s="1"/>
  <c r="BU349" i="2"/>
  <c r="CA349" i="2" s="1"/>
  <c r="BT424" i="2"/>
  <c r="BU533" i="2"/>
  <c r="CA533" i="2" s="1"/>
  <c r="BU549" i="2"/>
  <c r="CA549" i="2" s="1"/>
  <c r="BT627" i="2"/>
  <c r="BT636" i="2"/>
  <c r="BT645" i="2"/>
  <c r="BU647" i="2"/>
  <c r="CA647" i="2" s="1"/>
  <c r="BT663" i="2"/>
  <c r="BT672" i="2"/>
  <c r="BW780" i="2"/>
  <c r="BU780" i="2"/>
  <c r="CA780" i="2" s="1"/>
  <c r="BU219" i="2"/>
  <c r="BW103" i="2"/>
  <c r="BT319" i="2"/>
  <c r="BU672" i="2"/>
  <c r="BT769" i="2"/>
  <c r="BT117" i="2"/>
  <c r="BT62" i="2"/>
  <c r="BU212" i="2"/>
  <c r="CA212" i="2" s="1"/>
  <c r="BU535" i="2"/>
  <c r="CA535" i="2" s="1"/>
  <c r="BW126" i="2"/>
  <c r="BU126" i="2"/>
  <c r="CA126" i="2" s="1"/>
  <c r="BU767" i="2"/>
  <c r="CA767" i="2" s="1"/>
  <c r="BW105" i="2"/>
  <c r="BU105" i="2"/>
  <c r="CA105" i="2" s="1"/>
  <c r="CA339" i="2"/>
  <c r="BU202" i="2"/>
  <c r="CA202" i="2" s="1"/>
  <c r="BW202" i="2"/>
  <c r="BU440" i="2"/>
  <c r="CA440" i="2" s="1"/>
  <c r="BT37" i="2"/>
  <c r="BU39" i="2"/>
  <c r="BT46" i="2"/>
  <c r="BT64" i="2"/>
  <c r="BW82" i="2"/>
  <c r="BU82" i="2"/>
  <c r="CA82" i="2" s="1"/>
  <c r="BU187" i="2"/>
  <c r="BT296" i="2"/>
  <c r="BU314" i="2"/>
  <c r="CA314" i="2" s="1"/>
  <c r="BU325" i="2"/>
  <c r="CA325" i="2" s="1"/>
  <c r="BT380" i="2"/>
  <c r="BU419" i="2"/>
  <c r="BV419" i="2" s="1"/>
  <c r="BZ419" i="2" s="1"/>
  <c r="BT521" i="2"/>
  <c r="BT615" i="2"/>
  <c r="BT649" i="2"/>
  <c r="BU651" i="2"/>
  <c r="CA651" i="2" s="1"/>
  <c r="BW651" i="2"/>
  <c r="BT739" i="2"/>
  <c r="BU764" i="2"/>
  <c r="CA764" i="2" s="1"/>
  <c r="BT82" i="2"/>
  <c r="BT189" i="2"/>
  <c r="BU191" i="2"/>
  <c r="CA191" i="2" s="1"/>
  <c r="BT403" i="2"/>
  <c r="BT412" i="2"/>
  <c r="BT487" i="2"/>
  <c r="BT505" i="2"/>
  <c r="BU601" i="2"/>
  <c r="CA601" i="2" s="1"/>
  <c r="BT633" i="2"/>
  <c r="BU757" i="2"/>
  <c r="BU809" i="2"/>
  <c r="CA809" i="2" s="1"/>
  <c r="BU110" i="2"/>
  <c r="BT21" i="2"/>
  <c r="BT30" i="2"/>
  <c r="BU32" i="2"/>
  <c r="CA32" i="2" s="1"/>
  <c r="BW225" i="2"/>
  <c r="BU225" i="2"/>
  <c r="CA225" i="2" s="1"/>
  <c r="BT382" i="2"/>
  <c r="BU391" i="2"/>
  <c r="CA391" i="2" s="1"/>
  <c r="BU414" i="2"/>
  <c r="CA414" i="2" s="1"/>
  <c r="BW414" i="2"/>
  <c r="BT523" i="2"/>
  <c r="BT624" i="2"/>
  <c r="BT748" i="2"/>
  <c r="BT828" i="2"/>
  <c r="BU773" i="2"/>
  <c r="CA773" i="2" s="1"/>
  <c r="BT813" i="2"/>
  <c r="BU4" i="2"/>
  <c r="CA4" i="2" s="1"/>
  <c r="BT89" i="2"/>
  <c r="BU209" i="2"/>
  <c r="CA209" i="2" s="1"/>
  <c r="BT272" i="2"/>
  <c r="BU544" i="2"/>
  <c r="CA544" i="2" s="1"/>
  <c r="BT727" i="2"/>
  <c r="BT787" i="2"/>
  <c r="BT13" i="2"/>
  <c r="BU38" i="2"/>
  <c r="BT52" i="2"/>
  <c r="BT61" i="2"/>
  <c r="BU84" i="2"/>
  <c r="CA84" i="2" s="1"/>
  <c r="BT100" i="2"/>
  <c r="BT128" i="2"/>
  <c r="BT216" i="2"/>
  <c r="BT223" i="2"/>
  <c r="BT244" i="2"/>
  <c r="BT274" i="2"/>
  <c r="BT281" i="2"/>
  <c r="BT288" i="2"/>
  <c r="BT365" i="2"/>
  <c r="BT374" i="2"/>
  <c r="BT414" i="2"/>
  <c r="BT518" i="2"/>
  <c r="BT544" i="2"/>
  <c r="BU546" i="2"/>
  <c r="CA546" i="2" s="1"/>
  <c r="BT575" i="2"/>
  <c r="BU607" i="2"/>
  <c r="CA607" i="2" s="1"/>
  <c r="BU699" i="2"/>
  <c r="CA699" i="2" s="1"/>
  <c r="BT713" i="2"/>
  <c r="BU722" i="2"/>
  <c r="CA722" i="2" s="1"/>
  <c r="BT815" i="2"/>
  <c r="BT444" i="2"/>
  <c r="BU453" i="2"/>
  <c r="CA453" i="2" s="1"/>
  <c r="BT637" i="2"/>
  <c r="BT722" i="2"/>
  <c r="BT731" i="2"/>
  <c r="BT775" i="2"/>
  <c r="BU798" i="2"/>
  <c r="CA798" i="2" s="1"/>
  <c r="BU810" i="2"/>
  <c r="CA810" i="2" s="1"/>
  <c r="BU56" i="2"/>
  <c r="CA56" i="2" s="1"/>
  <c r="CA248" i="2"/>
  <c r="BT367" i="2"/>
  <c r="BT546" i="2"/>
  <c r="BU508" i="2"/>
  <c r="CA508" i="2" s="1"/>
  <c r="J51" i="1"/>
  <c r="BU81" i="2"/>
  <c r="CA81" i="2" s="1"/>
  <c r="BT195" i="2"/>
  <c r="BU232" i="2"/>
  <c r="CA232" i="2" s="1"/>
  <c r="BT276" i="2"/>
  <c r="BU423" i="2"/>
  <c r="CA423" i="2" s="1"/>
  <c r="BW600" i="2"/>
  <c r="BU360" i="2"/>
  <c r="CA360" i="2" s="1"/>
  <c r="BT383" i="2"/>
  <c r="BU385" i="2"/>
  <c r="CA385" i="2" s="1"/>
  <c r="BW400" i="2"/>
  <c r="BT646" i="2"/>
  <c r="BU747" i="2"/>
  <c r="CA747" i="2" s="1"/>
  <c r="BU10" i="2"/>
  <c r="BT26" i="2"/>
  <c r="BU76" i="2"/>
  <c r="CA76" i="2" s="1"/>
  <c r="BT81" i="2"/>
  <c r="BT111" i="2"/>
  <c r="BT118" i="2"/>
  <c r="BT132" i="2"/>
  <c r="BT169" i="2"/>
  <c r="BT188" i="2"/>
  <c r="BT197" i="2"/>
  <c r="BT220" i="2"/>
  <c r="BT227" i="2"/>
  <c r="BT234" i="2"/>
  <c r="BU262" i="2"/>
  <c r="CA262" i="2" s="1"/>
  <c r="BU285" i="2"/>
  <c r="CA285" i="2" s="1"/>
  <c r="BT299" i="2"/>
  <c r="BU301" i="2"/>
  <c r="CA301" i="2" s="1"/>
  <c r="BT322" i="2"/>
  <c r="BU343" i="2"/>
  <c r="CA343" i="2" s="1"/>
  <c r="BT362" i="2"/>
  <c r="BT378" i="2"/>
  <c r="BT425" i="2"/>
  <c r="BT448" i="2"/>
  <c r="BT476" i="2"/>
  <c r="BT492" i="2"/>
  <c r="BT499" i="2"/>
  <c r="BT536" i="2"/>
  <c r="BT541" i="2"/>
  <c r="BT555" i="2"/>
  <c r="BT567" i="2"/>
  <c r="BT595" i="2"/>
  <c r="BT664" i="2"/>
  <c r="BU673" i="2"/>
  <c r="BT678" i="2"/>
  <c r="BT687" i="2"/>
  <c r="BU763" i="2"/>
  <c r="BT770" i="2"/>
  <c r="BT779" i="2"/>
  <c r="BT805" i="2"/>
  <c r="BU829" i="2"/>
  <c r="BT295" i="2"/>
  <c r="BU376" i="2"/>
  <c r="CA376" i="2" s="1"/>
  <c r="BT123" i="2"/>
  <c r="BT225" i="2"/>
  <c r="BT130" i="2"/>
  <c r="BU49" i="2"/>
  <c r="CA49" i="2" s="1"/>
  <c r="BU241" i="2"/>
  <c r="CA241" i="2" s="1"/>
  <c r="BU483" i="2"/>
  <c r="CA483" i="2" s="1"/>
  <c r="BU12" i="2"/>
  <c r="CA12" i="2" s="1"/>
  <c r="BT19" i="2"/>
  <c r="BU26" i="2"/>
  <c r="CA26" i="2" s="1"/>
  <c r="BT44" i="2"/>
  <c r="BU83" i="2"/>
  <c r="BT120" i="2"/>
  <c r="BT190" i="2"/>
  <c r="BT206" i="2"/>
  <c r="BT222" i="2"/>
  <c r="BT250" i="2"/>
  <c r="BU378" i="2"/>
  <c r="BT413" i="2"/>
  <c r="BU526" i="2"/>
  <c r="CA526" i="2" s="1"/>
  <c r="BU583" i="2"/>
  <c r="BT749" i="2"/>
  <c r="BU751" i="2"/>
  <c r="CA751" i="2" s="1"/>
  <c r="BT407" i="2"/>
  <c r="BT56" i="2"/>
  <c r="BU74" i="2"/>
  <c r="CA74" i="2" s="1"/>
  <c r="C54" i="1"/>
  <c r="BU5" i="2"/>
  <c r="CA5" i="2" s="1"/>
  <c r="BU46" i="2"/>
  <c r="CA46" i="2" s="1"/>
  <c r="BT60" i="2"/>
  <c r="BT90" i="2"/>
  <c r="BT113" i="2"/>
  <c r="BT127" i="2"/>
  <c r="BT146" i="2"/>
  <c r="BU164" i="2"/>
  <c r="CA164" i="2" s="1"/>
  <c r="BT185" i="2"/>
  <c r="BT199" i="2"/>
  <c r="BT215" i="2"/>
  <c r="BT273" i="2"/>
  <c r="BT280" i="2"/>
  <c r="BU282" i="2"/>
  <c r="CA282" i="2" s="1"/>
  <c r="BW343" i="2"/>
  <c r="BU345" i="2"/>
  <c r="BT373" i="2"/>
  <c r="BT392" i="2"/>
  <c r="BT526" i="2"/>
  <c r="BT550" i="2"/>
  <c r="BU576" i="2"/>
  <c r="CA576" i="2" s="1"/>
  <c r="BT583" i="2"/>
  <c r="BU680" i="2"/>
  <c r="CA680" i="2" s="1"/>
  <c r="BZ684" i="2"/>
  <c r="BT689" i="2"/>
  <c r="BU705" i="2"/>
  <c r="CA705" i="2" s="1"/>
  <c r="BT728" i="2"/>
  <c r="BT737" i="2"/>
  <c r="BT751" i="2"/>
  <c r="BU772" i="2"/>
  <c r="BT814" i="2"/>
  <c r="BU455" i="2"/>
  <c r="CA455" i="2" s="1"/>
  <c r="BW701" i="2"/>
  <c r="BU701" i="2"/>
  <c r="CA701" i="2" s="1"/>
  <c r="BW717" i="2"/>
  <c r="BU717" i="2"/>
  <c r="CA717" i="2" s="1"/>
  <c r="BT23" i="2"/>
  <c r="BT54" i="2"/>
  <c r="BT67" i="2"/>
  <c r="BT108" i="2"/>
  <c r="BU113" i="2"/>
  <c r="CA113" i="2" s="1"/>
  <c r="BW179" i="2"/>
  <c r="BU179" i="2"/>
  <c r="CA179" i="2" s="1"/>
  <c r="BU229" i="2"/>
  <c r="CA229" i="2" s="1"/>
  <c r="BW242" i="2"/>
  <c r="BU242" i="2"/>
  <c r="BT270" i="2"/>
  <c r="BT369" i="2"/>
  <c r="BT394" i="2"/>
  <c r="BU406" i="2"/>
  <c r="CA406" i="2" s="1"/>
  <c r="BT411" i="2"/>
  <c r="BT511" i="2"/>
  <c r="BU234" i="2"/>
  <c r="CA234" i="2" s="1"/>
  <c r="BU445" i="2"/>
  <c r="BW445" i="2"/>
  <c r="BU511" i="2"/>
  <c r="CA511" i="2" s="1"/>
  <c r="BW815" i="2"/>
  <c r="BU815" i="2"/>
  <c r="E52" i="1"/>
  <c r="BT10" i="2"/>
  <c r="BT15" i="2"/>
  <c r="BT38" i="2"/>
  <c r="BT76" i="2"/>
  <c r="BU123" i="2"/>
  <c r="CA123" i="2" s="1"/>
  <c r="BU155" i="2"/>
  <c r="CA155" i="2" s="1"/>
  <c r="BT162" i="2"/>
  <c r="BW174" i="2"/>
  <c r="BU174" i="2"/>
  <c r="CA174" i="2" s="1"/>
  <c r="BT214" i="2"/>
  <c r="BU224" i="2"/>
  <c r="CA224" i="2" s="1"/>
  <c r="BT229" i="2"/>
  <c r="BT262" i="2"/>
  <c r="BZ294" i="2"/>
  <c r="BT314" i="2"/>
  <c r="BU319" i="2"/>
  <c r="CA319" i="2" s="1"/>
  <c r="BT334" i="2"/>
  <c r="BU366" i="2"/>
  <c r="BT376" i="2"/>
  <c r="BU401" i="2"/>
  <c r="CA401" i="2" s="1"/>
  <c r="BW413" i="2"/>
  <c r="BU413" i="2"/>
  <c r="CA413" i="2" s="1"/>
  <c r="BT440" i="2"/>
  <c r="BW455" i="2"/>
  <c r="BT467" i="2"/>
  <c r="BT696" i="2"/>
  <c r="BU740" i="2"/>
  <c r="BU157" i="2"/>
  <c r="CA157" i="2" s="1"/>
  <c r="BW157" i="2"/>
  <c r="BW336" i="2"/>
  <c r="BU336" i="2"/>
  <c r="CA336" i="2" s="1"/>
  <c r="BT462" i="2"/>
  <c r="BT479" i="2"/>
  <c r="BT506" i="2"/>
  <c r="BU567" i="2"/>
  <c r="BW567" i="2"/>
  <c r="BT605" i="2"/>
  <c r="BW661" i="2"/>
  <c r="BU661" i="2"/>
  <c r="BW812" i="2"/>
  <c r="BU812" i="2"/>
  <c r="CA812" i="2" s="1"/>
  <c r="BW10" i="2"/>
  <c r="BT174" i="2"/>
  <c r="BU294" i="2"/>
  <c r="BW294" i="2"/>
  <c r="BU309" i="2"/>
  <c r="CA309" i="2" s="1"/>
  <c r="BW447" i="2"/>
  <c r="BU447" i="2"/>
  <c r="CA447" i="2" s="1"/>
  <c r="BU33" i="2"/>
  <c r="H52" i="1"/>
  <c r="BU71" i="2"/>
  <c r="CA71" i="2" s="1"/>
  <c r="BU63" i="2"/>
  <c r="CA63" i="2" s="1"/>
  <c r="BW76" i="2"/>
  <c r="BT92" i="2"/>
  <c r="BU196" i="2"/>
  <c r="CA196" i="2" s="1"/>
  <c r="BU206" i="2"/>
  <c r="BU272" i="2"/>
  <c r="CA272" i="2" s="1"/>
  <c r="BU474" i="2"/>
  <c r="CA474" i="2" s="1"/>
  <c r="BU513" i="2"/>
  <c r="CA513" i="2" s="1"/>
  <c r="BT675" i="2"/>
  <c r="BU714" i="2"/>
  <c r="BW714" i="2"/>
  <c r="BU108" i="2"/>
  <c r="BT17" i="2"/>
  <c r="BT12" i="2"/>
  <c r="BU17" i="2"/>
  <c r="CA17" i="2" s="1"/>
  <c r="BW20" i="2"/>
  <c r="BT58" i="2"/>
  <c r="BT63" i="2"/>
  <c r="BT66" i="2"/>
  <c r="BT71" i="2"/>
  <c r="BT94" i="2"/>
  <c r="BU120" i="2"/>
  <c r="CA120" i="2" s="1"/>
  <c r="BT125" i="2"/>
  <c r="BU201" i="2"/>
  <c r="CA201" i="2" s="1"/>
  <c r="BT246" i="2"/>
  <c r="BT284" i="2"/>
  <c r="BU289" i="2"/>
  <c r="CA289" i="2" s="1"/>
  <c r="BW289" i="2"/>
  <c r="BT309" i="2"/>
  <c r="BW373" i="2"/>
  <c r="BU373" i="2"/>
  <c r="BW403" i="2"/>
  <c r="BU403" i="2"/>
  <c r="CA403" i="2" s="1"/>
  <c r="BT469" i="2"/>
  <c r="BU501" i="2"/>
  <c r="CA501" i="2" s="1"/>
  <c r="BW545" i="2"/>
  <c r="BU552" i="2"/>
  <c r="BU557" i="2"/>
  <c r="BU581" i="2"/>
  <c r="CA581" i="2" s="1"/>
  <c r="BT656" i="2"/>
  <c r="BT772" i="2"/>
  <c r="BW71" i="2"/>
  <c r="BW309" i="2"/>
  <c r="BU398" i="2"/>
  <c r="CA398" i="2" s="1"/>
  <c r="BW508" i="2"/>
  <c r="BU450" i="2"/>
  <c r="CA450" i="2" s="1"/>
  <c r="D54" i="1"/>
  <c r="BT7" i="2"/>
  <c r="BW12" i="2"/>
  <c r="BT32" i="2"/>
  <c r="BU40" i="2"/>
  <c r="CA40" i="2" s="1"/>
  <c r="BT45" i="2"/>
  <c r="BT53" i="2"/>
  <c r="BW63" i="2"/>
  <c r="BU66" i="2"/>
  <c r="BT73" i="2"/>
  <c r="BW81" i="2"/>
  <c r="BU94" i="2"/>
  <c r="CA94" i="2" s="1"/>
  <c r="BU104" i="2"/>
  <c r="BU107" i="2"/>
  <c r="BW110" i="2"/>
  <c r="BT122" i="2"/>
  <c r="BU135" i="2"/>
  <c r="BU142" i="2"/>
  <c r="CA142" i="2" s="1"/>
  <c r="BU147" i="2"/>
  <c r="BT152" i="2"/>
  <c r="BU211" i="2"/>
  <c r="CA211" i="2" s="1"/>
  <c r="BT241" i="2"/>
  <c r="BU251" i="2"/>
  <c r="CA251" i="2" s="1"/>
  <c r="BT261" i="2"/>
  <c r="BU351" i="2"/>
  <c r="CA351" i="2" s="1"/>
  <c r="BU434" i="2"/>
  <c r="CA434" i="2" s="1"/>
  <c r="BU437" i="2"/>
  <c r="BU464" i="2"/>
  <c r="CA464" i="2" s="1"/>
  <c r="BT503" i="2"/>
  <c r="BT520" i="2"/>
  <c r="BT547" i="2"/>
  <c r="BU571" i="2"/>
  <c r="BT707" i="2"/>
  <c r="BW732" i="2"/>
  <c r="BU732" i="2"/>
  <c r="BT807" i="2"/>
  <c r="BW281" i="2"/>
  <c r="BU281" i="2"/>
  <c r="CA693" i="2"/>
  <c r="BU306" i="2"/>
  <c r="CA306" i="2" s="1"/>
  <c r="BU340" i="2"/>
  <c r="CA340" i="2" s="1"/>
  <c r="BW385" i="2"/>
  <c r="BT498" i="2"/>
  <c r="BU503" i="2"/>
  <c r="BW512" i="2"/>
  <c r="BU512" i="2"/>
  <c r="CA512" i="2" s="1"/>
  <c r="BW38" i="2"/>
  <c r="BU255" i="2"/>
  <c r="CA255" i="2" s="1"/>
  <c r="BU505" i="2"/>
  <c r="CA505" i="2" s="1"/>
  <c r="BW505" i="2"/>
  <c r="BU60" i="2"/>
  <c r="BU185" i="2"/>
  <c r="BW261" i="2"/>
  <c r="BU266" i="2"/>
  <c r="CA266" i="2" s="1"/>
  <c r="BT363" i="2"/>
  <c r="H54" i="1"/>
  <c r="BU19" i="2"/>
  <c r="CA19" i="2" s="1"/>
  <c r="BT29" i="2"/>
  <c r="BW37" i="2"/>
  <c r="BT42" i="2"/>
  <c r="BT55" i="2"/>
  <c r="BT65" i="2"/>
  <c r="BW75" i="2"/>
  <c r="BT91" i="2"/>
  <c r="BW156" i="2"/>
  <c r="BU156" i="2"/>
  <c r="CA156" i="2" s="1"/>
  <c r="BU188" i="2"/>
  <c r="BT200" i="2"/>
  <c r="BT238" i="2"/>
  <c r="BT243" i="2"/>
  <c r="BU258" i="2"/>
  <c r="CA258" i="2" s="1"/>
  <c r="BT358" i="2"/>
  <c r="BW382" i="2"/>
  <c r="BU382" i="2"/>
  <c r="BU422" i="2"/>
  <c r="CA422" i="2" s="1"/>
  <c r="BT427" i="2"/>
  <c r="BW434" i="2"/>
  <c r="BT451" i="2"/>
  <c r="BT456" i="2"/>
  <c r="BT461" i="2"/>
  <c r="BW583" i="2"/>
  <c r="BT604" i="2"/>
  <c r="BU667" i="2"/>
  <c r="BW767" i="2"/>
  <c r="BU45" i="2"/>
  <c r="CA45" i="2" s="1"/>
  <c r="BU29" i="2"/>
  <c r="CA29" i="2" s="1"/>
  <c r="BW185" i="2"/>
  <c r="BW306" i="2"/>
  <c r="BU417" i="2"/>
  <c r="BU727" i="2"/>
  <c r="CA727" i="2" s="1"/>
  <c r="BW727" i="2"/>
  <c r="BW60" i="2"/>
  <c r="BU86" i="2"/>
  <c r="CA86" i="2" s="1"/>
  <c r="BU101" i="2"/>
  <c r="CA101" i="2" s="1"/>
  <c r="BW296" i="2"/>
  <c r="BW308" i="2"/>
  <c r="BU308" i="2"/>
  <c r="CA308" i="2" s="1"/>
  <c r="BW340" i="2"/>
  <c r="BW345" i="2"/>
  <c r="J54" i="1"/>
  <c r="BT6" i="2"/>
  <c r="BT11" i="2"/>
  <c r="BT31" i="2"/>
  <c r="BT34" i="2"/>
  <c r="BT57" i="2"/>
  <c r="BU65" i="2"/>
  <c r="CA65" i="2" s="1"/>
  <c r="BT80" i="2"/>
  <c r="BT106" i="2"/>
  <c r="BT175" i="2"/>
  <c r="BU238" i="2"/>
  <c r="CA238" i="2" s="1"/>
  <c r="BT245" i="2"/>
  <c r="BU260" i="2"/>
  <c r="CA260" i="2" s="1"/>
  <c r="BW266" i="2"/>
  <c r="BW268" i="2"/>
  <c r="BU268" i="2"/>
  <c r="BZ295" i="2"/>
  <c r="BT308" i="2"/>
  <c r="BT327" i="2"/>
  <c r="BU330" i="2"/>
  <c r="CA330" i="2" s="1"/>
  <c r="BT350" i="2"/>
  <c r="BU353" i="2"/>
  <c r="CA353" i="2" s="1"/>
  <c r="BT372" i="2"/>
  <c r="BT377" i="2"/>
  <c r="BT387" i="2"/>
  <c r="BT422" i="2"/>
  <c r="BT453" i="2"/>
  <c r="BT458" i="2"/>
  <c r="BT490" i="2"/>
  <c r="BU500" i="2"/>
  <c r="CA500" i="2" s="1"/>
  <c r="BU568" i="2"/>
  <c r="CA568" i="2" s="1"/>
  <c r="BU2" i="2"/>
  <c r="CA2" i="2" s="1"/>
  <c r="BW53" i="2"/>
  <c r="G54" i="1"/>
  <c r="BW4" i="2"/>
  <c r="BW40" i="2"/>
  <c r="BU91" i="2"/>
  <c r="BU151" i="2"/>
  <c r="CA151" i="2" s="1"/>
  <c r="BW151" i="2"/>
  <c r="BU235" i="2"/>
  <c r="BW255" i="2"/>
  <c r="BW431" i="2"/>
  <c r="BU431" i="2"/>
  <c r="CA431" i="2" s="1"/>
  <c r="BU534" i="2"/>
  <c r="CA534" i="2" s="1"/>
  <c r="BW460" i="2"/>
  <c r="BU460" i="2"/>
  <c r="CA460" i="2" s="1"/>
  <c r="G52" i="1"/>
  <c r="BW33" i="2"/>
  <c r="BT147" i="2"/>
  <c r="I54" i="1"/>
  <c r="I50" i="1"/>
  <c r="BU52" i="2"/>
  <c r="CA52" i="2" s="1"/>
  <c r="BW57" i="2"/>
  <c r="BU295" i="2"/>
  <c r="CA295" i="2" s="1"/>
  <c r="BW327" i="2"/>
  <c r="BU372" i="2"/>
  <c r="BU384" i="2"/>
  <c r="BW384" i="2"/>
  <c r="BU407" i="2"/>
  <c r="CA407" i="2" s="1"/>
  <c r="BU490" i="2"/>
  <c r="CA490" i="2" s="1"/>
  <c r="BU292" i="2"/>
  <c r="CA292" i="2" s="1"/>
  <c r="E54" i="1"/>
  <c r="F54" i="1"/>
  <c r="BT248" i="2"/>
  <c r="BV248" i="2" s="1"/>
  <c r="BZ248" i="2" s="1"/>
  <c r="BU6" i="2"/>
  <c r="CA6" i="2" s="1"/>
  <c r="BU18" i="2"/>
  <c r="CA18" i="2" s="1"/>
  <c r="BU31" i="2"/>
  <c r="CA31" i="2" s="1"/>
  <c r="BU177" i="2"/>
  <c r="CA177" i="2" s="1"/>
  <c r="BU245" i="2"/>
  <c r="CA245" i="2" s="1"/>
  <c r="J50" i="1"/>
  <c r="BT3" i="2"/>
  <c r="BU13" i="2"/>
  <c r="CA13" i="2" s="1"/>
  <c r="BT18" i="2"/>
  <c r="BT72" i="2"/>
  <c r="BT88" i="2"/>
  <c r="BU116" i="2"/>
  <c r="CA116" i="2" s="1"/>
  <c r="BT126" i="2"/>
  <c r="BU141" i="2"/>
  <c r="CA141" i="2" s="1"/>
  <c r="BT247" i="2"/>
  <c r="BT285" i="2"/>
  <c r="BW298" i="2"/>
  <c r="BW300" i="2"/>
  <c r="BU300" i="2"/>
  <c r="CA300" i="2" s="1"/>
  <c r="BT332" i="2"/>
  <c r="BU399" i="2"/>
  <c r="BU404" i="2"/>
  <c r="BW424" i="2"/>
  <c r="BU424" i="2"/>
  <c r="CA424" i="2" s="1"/>
  <c r="BT441" i="2"/>
  <c r="BW453" i="2"/>
  <c r="BU485" i="2"/>
  <c r="BW492" i="2"/>
  <c r="BU492" i="2"/>
  <c r="CA492" i="2" s="1"/>
  <c r="BT519" i="2"/>
  <c r="BU521" i="2"/>
  <c r="CA521" i="2" s="1"/>
  <c r="BW536" i="2"/>
  <c r="BU536" i="2"/>
  <c r="BT558" i="2"/>
  <c r="BZ558" i="2" s="1"/>
  <c r="BU617" i="2"/>
  <c r="CA617" i="2" s="1"/>
  <c r="BW664" i="2"/>
  <c r="BU664" i="2"/>
  <c r="BU602" i="2"/>
  <c r="BT617" i="2"/>
  <c r="BT628" i="2"/>
  <c r="BT659" i="2"/>
  <c r="BZ659" i="2" s="1"/>
  <c r="BT667" i="2"/>
  <c r="BT732" i="2"/>
  <c r="BT767" i="2"/>
  <c r="BU782" i="2"/>
  <c r="BT812" i="2"/>
  <c r="BT576" i="2"/>
  <c r="BT581" i="2"/>
  <c r="BT612" i="2"/>
  <c r="BU619" i="2"/>
  <c r="BT630" i="2"/>
  <c r="BT648" i="2"/>
  <c r="BT677" i="2"/>
  <c r="BU682" i="2"/>
  <c r="CA682" i="2" s="1"/>
  <c r="BT701" i="2"/>
  <c r="BT709" i="2"/>
  <c r="BU758" i="2"/>
  <c r="CA758" i="2" s="1"/>
  <c r="BU774" i="2"/>
  <c r="CA774" i="2" s="1"/>
  <c r="BT782" i="2"/>
  <c r="BU787" i="2"/>
  <c r="BT801" i="2"/>
  <c r="BU806" i="2"/>
  <c r="CA806" i="2" s="1"/>
  <c r="BT761" i="2"/>
  <c r="BU766" i="2"/>
  <c r="CA766" i="2" s="1"/>
  <c r="BT792" i="2"/>
  <c r="BT669" i="2"/>
  <c r="BU674" i="2"/>
  <c r="BT539" i="2"/>
  <c r="BU547" i="2"/>
  <c r="CA547" i="2" s="1"/>
  <c r="BT552" i="2"/>
  <c r="BU586" i="2"/>
  <c r="BU734" i="2"/>
  <c r="BT750" i="2"/>
  <c r="BT591" i="2"/>
  <c r="BT599" i="2"/>
  <c r="BU627" i="2"/>
  <c r="CA627" i="2" s="1"/>
  <c r="BT642" i="2"/>
  <c r="BT671" i="2"/>
  <c r="BU687" i="2"/>
  <c r="CA687" i="2" s="1"/>
  <c r="BT692" i="2"/>
  <c r="BU726" i="2"/>
  <c r="CA726" i="2" s="1"/>
  <c r="BT729" i="2"/>
  <c r="BU739" i="2"/>
  <c r="CA739" i="2" s="1"/>
  <c r="BU771" i="2"/>
  <c r="BW774" i="2"/>
  <c r="BU779" i="2"/>
  <c r="CA779" i="2" s="1"/>
  <c r="BU803" i="2"/>
  <c r="CA803" i="2" s="1"/>
  <c r="BW806" i="2"/>
  <c r="BU814" i="2"/>
  <c r="BT789" i="2"/>
  <c r="BU794" i="2"/>
  <c r="BW547" i="2"/>
  <c r="BT578" i="2"/>
  <c r="BT586" i="2"/>
  <c r="BU591" i="2"/>
  <c r="CA591" i="2" s="1"/>
  <c r="BU596" i="2"/>
  <c r="BT609" i="2"/>
  <c r="BZ609" i="2" s="1"/>
  <c r="BU634" i="2"/>
  <c r="BT655" i="2"/>
  <c r="BU666" i="2"/>
  <c r="CA666" i="2" s="1"/>
  <c r="BU671" i="2"/>
  <c r="CA671" i="2" s="1"/>
  <c r="BW674" i="2"/>
  <c r="BU692" i="2"/>
  <c r="BT755" i="2"/>
  <c r="BU100" i="2"/>
  <c r="BT103" i="2"/>
  <c r="BT129" i="2"/>
  <c r="BT134" i="2"/>
  <c r="BU144" i="2"/>
  <c r="BU159" i="2"/>
  <c r="CA159" i="2" s="1"/>
  <c r="BT182" i="2"/>
  <c r="BU213" i="2"/>
  <c r="CA213" i="2" s="1"/>
  <c r="BT269" i="2"/>
  <c r="BU271" i="2"/>
  <c r="CA271" i="2" s="1"/>
  <c r="BU284" i="2"/>
  <c r="CA284" i="2" s="1"/>
  <c r="BT353" i="2"/>
  <c r="BT379" i="2"/>
  <c r="BU387" i="2"/>
  <c r="BT398" i="2"/>
  <c r="BT406" i="2"/>
  <c r="BT450" i="2"/>
  <c r="BU497" i="2"/>
  <c r="CA497" i="2" s="1"/>
  <c r="BT533" i="2"/>
  <c r="BT570" i="2"/>
  <c r="BT580" i="2"/>
  <c r="BU588" i="2"/>
  <c r="CA588" i="2" s="1"/>
  <c r="BT611" i="2"/>
  <c r="BT616" i="2"/>
  <c r="BT647" i="2"/>
  <c r="BW655" i="2"/>
  <c r="BW687" i="2"/>
  <c r="BT721" i="2"/>
  <c r="BU731" i="2"/>
  <c r="CA731" i="2" s="1"/>
  <c r="BW734" i="2"/>
  <c r="BT747" i="2"/>
  <c r="BT752" i="2"/>
  <c r="BT760" i="2"/>
  <c r="BT791" i="2"/>
  <c r="BU811" i="2"/>
  <c r="CA811" i="2" s="1"/>
  <c r="BT817" i="2"/>
  <c r="BT473" i="2"/>
  <c r="BT497" i="2"/>
  <c r="BT528" i="2"/>
  <c r="BT549" i="2"/>
  <c r="BT601" i="2"/>
  <c r="BT621" i="2"/>
  <c r="BT639" i="2"/>
  <c r="BU668" i="2"/>
  <c r="CA668" i="2" s="1"/>
  <c r="BU700" i="2"/>
  <c r="BT708" i="2"/>
  <c r="BW747" i="2"/>
  <c r="BU778" i="2"/>
  <c r="CA778" i="2" s="1"/>
  <c r="BU800" i="2"/>
  <c r="BW814" i="2"/>
  <c r="BW705" i="2"/>
  <c r="BU713" i="2"/>
  <c r="BU721" i="2"/>
  <c r="CA721" i="2" s="1"/>
  <c r="BU752" i="2"/>
  <c r="BU760" i="2"/>
  <c r="BU791" i="2"/>
  <c r="BW794" i="2"/>
  <c r="BU828" i="2"/>
  <c r="BU408" i="2"/>
  <c r="BT431" i="2"/>
  <c r="BT447" i="2"/>
  <c r="BT452" i="2"/>
  <c r="BT478" i="2"/>
  <c r="BU530" i="2"/>
  <c r="CA530" i="2" s="1"/>
  <c r="BT564" i="2"/>
  <c r="BT629" i="2"/>
  <c r="BW634" i="2"/>
  <c r="BU678" i="2"/>
  <c r="BU697" i="2"/>
  <c r="BW159" i="2"/>
  <c r="BU195" i="2"/>
  <c r="CA195" i="2" s="1"/>
  <c r="BU207" i="2"/>
  <c r="BW213" i="2"/>
  <c r="BT257" i="2"/>
  <c r="BT263" i="2"/>
  <c r="BT268" i="2"/>
  <c r="BT289" i="2"/>
  <c r="BU305" i="2"/>
  <c r="CA305" i="2" s="1"/>
  <c r="BT331" i="2"/>
  <c r="BT344" i="2"/>
  <c r="BW387" i="2"/>
  <c r="BT408" i="2"/>
  <c r="BU421" i="2"/>
  <c r="CA421" i="2" s="1"/>
  <c r="BT436" i="2"/>
  <c r="BT468" i="2"/>
  <c r="BU478" i="2"/>
  <c r="CA478" i="2" s="1"/>
  <c r="BT481" i="2"/>
  <c r="BT502" i="2"/>
  <c r="BT512" i="2"/>
  <c r="BT515" i="2"/>
  <c r="BU520" i="2"/>
  <c r="BU525" i="2"/>
  <c r="CA525" i="2" s="1"/>
  <c r="BT551" i="2"/>
  <c r="BT559" i="2"/>
  <c r="BU582" i="2"/>
  <c r="BW596" i="2"/>
  <c r="BT618" i="2"/>
  <c r="BT631" i="2"/>
  <c r="BU644" i="2"/>
  <c r="BU646" i="2"/>
  <c r="BU654" i="2"/>
  <c r="BU660" i="2"/>
  <c r="CA660" i="2" s="1"/>
  <c r="BT718" i="2"/>
  <c r="BT741" i="2"/>
  <c r="BU754" i="2"/>
  <c r="CA754" i="2" s="1"/>
  <c r="BU762" i="2"/>
  <c r="CA762" i="2" s="1"/>
  <c r="BT783" i="2"/>
  <c r="BT802" i="2"/>
  <c r="BU494" i="2"/>
  <c r="BU507" i="2"/>
  <c r="BU538" i="2"/>
  <c r="CA538" i="2" s="1"/>
  <c r="BU681" i="2"/>
  <c r="CA681" i="2" s="1"/>
  <c r="BU691" i="2"/>
  <c r="BU723" i="2"/>
  <c r="CA723" i="2" s="1"/>
  <c r="BU186" i="2"/>
  <c r="CA186" i="2" s="1"/>
  <c r="BT228" i="2"/>
  <c r="BT305" i="2"/>
  <c r="BT320" i="2"/>
  <c r="BT352" i="2"/>
  <c r="BT360" i="2"/>
  <c r="BU365" i="2"/>
  <c r="BT370" i="2"/>
  <c r="BU389" i="2"/>
  <c r="BT421" i="2"/>
  <c r="BT433" i="2"/>
  <c r="BU444" i="2"/>
  <c r="CA444" i="2" s="1"/>
  <c r="BT470" i="2"/>
  <c r="BU481" i="2"/>
  <c r="CA481" i="2" s="1"/>
  <c r="BT491" i="2"/>
  <c r="BW530" i="2"/>
  <c r="BT535" i="2"/>
  <c r="BT590" i="2"/>
  <c r="BU595" i="2"/>
  <c r="CA595" i="2" s="1"/>
  <c r="BT603" i="2"/>
  <c r="BU631" i="2"/>
  <c r="CA631" i="2" s="1"/>
  <c r="BU686" i="2"/>
  <c r="CA686" i="2" s="1"/>
  <c r="BW694" i="2"/>
  <c r="BU733" i="2"/>
  <c r="CA733" i="2" s="1"/>
  <c r="BU741" i="2"/>
  <c r="CA741" i="2" s="1"/>
  <c r="BT762" i="2"/>
  <c r="BU783" i="2"/>
  <c r="CA783" i="2" s="1"/>
  <c r="BT810" i="2"/>
  <c r="BT291" i="2"/>
  <c r="BU457" i="2"/>
  <c r="CA457" i="2" s="1"/>
  <c r="BU577" i="2"/>
  <c r="CA577" i="2" s="1"/>
  <c r="BU615" i="2"/>
  <c r="CA615" i="2" s="1"/>
  <c r="BT620" i="2"/>
  <c r="BT623" i="2"/>
  <c r="BU626" i="2"/>
  <c r="CA626" i="2" s="1"/>
  <c r="BU641" i="2"/>
  <c r="BU657" i="2"/>
  <c r="BT662" i="2"/>
  <c r="BW678" i="2"/>
  <c r="BT683" i="2"/>
  <c r="BT712" i="2"/>
  <c r="BT720" i="2"/>
  <c r="BT730" i="2"/>
  <c r="BT759" i="2"/>
  <c r="BU813" i="2"/>
  <c r="BT816" i="2"/>
  <c r="BU138" i="2"/>
  <c r="CA138" i="2" s="1"/>
  <c r="BT181" i="2"/>
  <c r="BV181" i="2" s="1"/>
  <c r="BZ181" i="2" s="1"/>
  <c r="BU189" i="2"/>
  <c r="CA189" i="2" s="1"/>
  <c r="BT249" i="2"/>
  <c r="BT265" i="2"/>
  <c r="BU291" i="2"/>
  <c r="CA291" i="2" s="1"/>
  <c r="BU293" i="2"/>
  <c r="CA293" i="2" s="1"/>
  <c r="BT310" i="2"/>
  <c r="BU312" i="2"/>
  <c r="CA312" i="2" s="1"/>
  <c r="BT333" i="2"/>
  <c r="BT349" i="2"/>
  <c r="BW360" i="2"/>
  <c r="BT405" i="2"/>
  <c r="BT438" i="2"/>
  <c r="BU441" i="2"/>
  <c r="CA441" i="2" s="1"/>
  <c r="BT465" i="2"/>
  <c r="BU477" i="2"/>
  <c r="CA477" i="2" s="1"/>
  <c r="BT483" i="2"/>
  <c r="BT504" i="2"/>
  <c r="BT527" i="2"/>
  <c r="BU587" i="2"/>
  <c r="CA587" i="2" s="1"/>
  <c r="BT600" i="2"/>
  <c r="BU688" i="2"/>
  <c r="CA688" i="2" s="1"/>
  <c r="BT780" i="2"/>
  <c r="BW810" i="2"/>
  <c r="N9" i="1"/>
  <c r="BW89" i="2"/>
  <c r="BU89" i="2"/>
  <c r="BT140" i="2"/>
  <c r="BT149" i="2"/>
  <c r="BT205" i="2"/>
  <c r="BW331" i="2"/>
  <c r="BU331" i="2"/>
  <c r="BW158" i="2"/>
  <c r="BU158" i="2"/>
  <c r="BU169" i="2"/>
  <c r="CA200" i="2"/>
  <c r="BW252" i="2"/>
  <c r="BU252" i="2"/>
  <c r="BW310" i="2"/>
  <c r="BU310" i="2"/>
  <c r="BW41" i="2"/>
  <c r="BU41" i="2"/>
  <c r="BU130" i="2"/>
  <c r="I51" i="1"/>
  <c r="H51" i="1"/>
  <c r="G51" i="1"/>
  <c r="F51" i="1"/>
  <c r="D51" i="1"/>
  <c r="E51" i="1"/>
  <c r="C51" i="1"/>
  <c r="BW21" i="2"/>
  <c r="BU21" i="2"/>
  <c r="CA208" i="2"/>
  <c r="BW416" i="2"/>
  <c r="BU416" i="2"/>
  <c r="BU180" i="2"/>
  <c r="BW180" i="2"/>
  <c r="BU9" i="2"/>
  <c r="BW74" i="2"/>
  <c r="BT154" i="2"/>
  <c r="BU160" i="2"/>
  <c r="BW160" i="2"/>
  <c r="BW169" i="2"/>
  <c r="BT224" i="2"/>
  <c r="BW85" i="2"/>
  <c r="BU85" i="2"/>
  <c r="BW287" i="2"/>
  <c r="BZ287" i="2"/>
  <c r="BU287" i="2"/>
  <c r="BW322" i="2"/>
  <c r="BU322" i="2"/>
  <c r="BW56" i="2"/>
  <c r="BU28" i="2"/>
  <c r="BW28" i="2"/>
  <c r="BU154" i="2"/>
  <c r="BU48" i="2"/>
  <c r="BW48" i="2"/>
  <c r="BW70" i="2"/>
  <c r="C52" i="1"/>
  <c r="BW88" i="2"/>
  <c r="BU88" i="2"/>
  <c r="BU117" i="2"/>
  <c r="D52" i="1"/>
  <c r="BU16" i="2"/>
  <c r="BU24" i="2"/>
  <c r="BT28" i="2"/>
  <c r="BW132" i="2"/>
  <c r="BU132" i="2"/>
  <c r="BT145" i="2"/>
  <c r="BW168" i="2"/>
  <c r="BU168" i="2"/>
  <c r="BW246" i="2"/>
  <c r="BU246" i="2"/>
  <c r="BT426" i="2"/>
  <c r="BW55" i="2"/>
  <c r="BU55" i="2"/>
  <c r="BW73" i="2"/>
  <c r="BU73" i="2"/>
  <c r="BU499" i="2"/>
  <c r="BW499" i="2"/>
  <c r="F52" i="1"/>
  <c r="BT8" i="2"/>
  <c r="BU70" i="2"/>
  <c r="BW91" i="2"/>
  <c r="BZ215" i="2"/>
  <c r="BW215" i="2"/>
  <c r="BU215" i="2"/>
  <c r="BT251" i="2"/>
  <c r="BT69" i="2"/>
  <c r="BU165" i="2"/>
  <c r="BW342" i="2"/>
  <c r="BU342" i="2"/>
  <c r="BW496" i="2"/>
  <c r="BU496" i="2"/>
  <c r="BU8" i="2"/>
  <c r="BW8" i="2"/>
  <c r="BW35" i="2"/>
  <c r="BU35" i="2"/>
  <c r="BW394" i="2"/>
  <c r="BU394" i="2"/>
  <c r="I55" i="1"/>
  <c r="H55" i="1"/>
  <c r="D55" i="1"/>
  <c r="G55" i="1"/>
  <c r="F55" i="1"/>
  <c r="E55" i="1"/>
  <c r="C55" i="1"/>
  <c r="BW470" i="2"/>
  <c r="BU470" i="2"/>
  <c r="BW51" i="2"/>
  <c r="J52" i="1"/>
  <c r="D50" i="1"/>
  <c r="BU3" i="2"/>
  <c r="BU58" i="2"/>
  <c r="I53" i="1"/>
  <c r="H53" i="1"/>
  <c r="G53" i="1"/>
  <c r="D53" i="1"/>
  <c r="F53" i="1"/>
  <c r="E53" i="1"/>
  <c r="C53" i="1"/>
  <c r="BW11" i="2"/>
  <c r="BU50" i="2"/>
  <c r="BW54" i="2"/>
  <c r="BU54" i="2"/>
  <c r="BU69" i="2"/>
  <c r="BT99" i="2"/>
  <c r="BU106" i="2"/>
  <c r="BW109" i="2"/>
  <c r="BU109" i="2"/>
  <c r="BW112" i="2"/>
  <c r="BU112" i="2"/>
  <c r="BW122" i="2"/>
  <c r="BU131" i="2"/>
  <c r="BW134" i="2"/>
  <c r="BU134" i="2"/>
  <c r="BW167" i="2"/>
  <c r="BU167" i="2"/>
  <c r="BU217" i="2"/>
  <c r="BW217" i="2"/>
  <c r="BW297" i="2"/>
  <c r="BU297" i="2"/>
  <c r="BU313" i="2"/>
  <c r="BW313" i="2"/>
  <c r="BW220" i="2"/>
  <c r="BU220" i="2"/>
  <c r="BU182" i="2"/>
  <c r="BW23" i="2"/>
  <c r="J53" i="1"/>
  <c r="BU30" i="2"/>
  <c r="BW125" i="2"/>
  <c r="BU125" i="2"/>
  <c r="BU173" i="2"/>
  <c r="BU198" i="2"/>
  <c r="BW280" i="2"/>
  <c r="BU280" i="2"/>
  <c r="BU96" i="2"/>
  <c r="BW15" i="2"/>
  <c r="BU15" i="2"/>
  <c r="BW119" i="2"/>
  <c r="BU119" i="2"/>
  <c r="BU150" i="2"/>
  <c r="E50" i="1"/>
  <c r="F50" i="1"/>
  <c r="G50" i="1"/>
  <c r="BW34" i="2"/>
  <c r="BU34" i="2"/>
  <c r="BW61" i="2"/>
  <c r="BU61" i="2"/>
  <c r="BW95" i="2"/>
  <c r="BU95" i="2"/>
  <c r="BW121" i="2"/>
  <c r="BU121" i="2"/>
  <c r="BU137" i="2"/>
  <c r="BW146" i="2"/>
  <c r="BU146" i="2"/>
  <c r="BT155" i="2"/>
  <c r="BW214" i="2"/>
  <c r="BU214" i="2"/>
  <c r="BW371" i="2"/>
  <c r="BU371" i="2"/>
  <c r="C50" i="1"/>
  <c r="BU11" i="2"/>
  <c r="BU62" i="2"/>
  <c r="BU80" i="2"/>
  <c r="BW14" i="2"/>
  <c r="BU14" i="2"/>
  <c r="BU42" i="2"/>
  <c r="BW115" i="2"/>
  <c r="BW192" i="2"/>
  <c r="BU192" i="2"/>
  <c r="BT293" i="2"/>
  <c r="BW243" i="2"/>
  <c r="BU243" i="2"/>
  <c r="BW278" i="2"/>
  <c r="BU278" i="2"/>
  <c r="BW316" i="2"/>
  <c r="BU316" i="2"/>
  <c r="BW348" i="2"/>
  <c r="BU348" i="2"/>
  <c r="BW465" i="2"/>
  <c r="BU465" i="2"/>
  <c r="BW178" i="2"/>
  <c r="BU178" i="2"/>
  <c r="BT194" i="2"/>
  <c r="BT278" i="2"/>
  <c r="BW304" i="2"/>
  <c r="BU304" i="2"/>
  <c r="BW307" i="2"/>
  <c r="BU307" i="2"/>
  <c r="BT385" i="2"/>
  <c r="BU111" i="2"/>
  <c r="BT151" i="2"/>
  <c r="BT173" i="2"/>
  <c r="BU194" i="2"/>
  <c r="BW190" i="2"/>
  <c r="BU190" i="2"/>
  <c r="BU205" i="2"/>
  <c r="BT212" i="2"/>
  <c r="BZ274" i="2"/>
  <c r="BW274" i="2"/>
  <c r="BT300" i="2"/>
  <c r="BW388" i="2"/>
  <c r="BU388" i="2"/>
  <c r="BW412" i="2"/>
  <c r="BU412" i="2"/>
  <c r="BW456" i="2"/>
  <c r="BU456" i="2"/>
  <c r="BW462" i="2"/>
  <c r="BU462" i="2"/>
  <c r="BT131" i="2"/>
  <c r="BW227" i="2"/>
  <c r="BW267" i="2"/>
  <c r="BU267" i="2"/>
  <c r="BT364" i="2"/>
  <c r="BU90" i="2"/>
  <c r="BT105" i="2"/>
  <c r="BU140" i="2"/>
  <c r="BW254" i="2"/>
  <c r="BU274" i="2"/>
  <c r="BZ292" i="2"/>
  <c r="BT318" i="2"/>
  <c r="BT204" i="2"/>
  <c r="BW286" i="2"/>
  <c r="BU286" i="2"/>
  <c r="BW390" i="2"/>
  <c r="BU390" i="2"/>
  <c r="BU78" i="2"/>
  <c r="BU145" i="2"/>
  <c r="BU204" i="2"/>
  <c r="BW223" i="2"/>
  <c r="BU223" i="2"/>
  <c r="BU273" i="2"/>
  <c r="BW273" i="2"/>
  <c r="BU279" i="2"/>
  <c r="BW299" i="2"/>
  <c r="BU299" i="2"/>
  <c r="BW452" i="2"/>
  <c r="BU452" i="2"/>
  <c r="BU68" i="2"/>
  <c r="BU99" i="2"/>
  <c r="BU114" i="2"/>
  <c r="BU149" i="2"/>
  <c r="BW237" i="2"/>
  <c r="BU237" i="2"/>
  <c r="BW244" i="2"/>
  <c r="BU244" i="2"/>
  <c r="BW270" i="2"/>
  <c r="BU270" i="2"/>
  <c r="BU335" i="2"/>
  <c r="BW524" i="2"/>
  <c r="BU524" i="2"/>
  <c r="BW257" i="2"/>
  <c r="BU257" i="2"/>
  <c r="BU98" i="2"/>
  <c r="BW140" i="2"/>
  <c r="BU171" i="2"/>
  <c r="BW196" i="2"/>
  <c r="BU233" i="2"/>
  <c r="BW250" i="2"/>
  <c r="BU250" i="2"/>
  <c r="BU276" i="2"/>
  <c r="BW276" i="2"/>
  <c r="BW476" i="2"/>
  <c r="BU476" i="2"/>
  <c r="BW482" i="2"/>
  <c r="BU482" i="2"/>
  <c r="BW283" i="2"/>
  <c r="BU283" i="2"/>
  <c r="BW72" i="2"/>
  <c r="BU72" i="2"/>
  <c r="BW149" i="2"/>
  <c r="BU153" i="2"/>
  <c r="BT171" i="2"/>
  <c r="BT184" i="2"/>
  <c r="BT266" i="2"/>
  <c r="BW292" i="2"/>
  <c r="CA323" i="2"/>
  <c r="BW473" i="2"/>
  <c r="BW361" i="2"/>
  <c r="BU361" i="2"/>
  <c r="BU7" i="2"/>
  <c r="BU27" i="2"/>
  <c r="BU47" i="2"/>
  <c r="BU67" i="2"/>
  <c r="BW78" i="2"/>
  <c r="BU93" i="2"/>
  <c r="BU118" i="2"/>
  <c r="BU129" i="2"/>
  <c r="BU148" i="2"/>
  <c r="BU162" i="2"/>
  <c r="BU175" i="2"/>
  <c r="BU199" i="2"/>
  <c r="BW203" i="2"/>
  <c r="BU203" i="2"/>
  <c r="BU218" i="2"/>
  <c r="BU226" i="2"/>
  <c r="BW263" i="2"/>
  <c r="BU263" i="2"/>
  <c r="BW311" i="2"/>
  <c r="BU311" i="2"/>
  <c r="BU369" i="2"/>
  <c r="BW92" i="2"/>
  <c r="BU92" i="2"/>
  <c r="BU139" i="2"/>
  <c r="BW171" i="2"/>
  <c r="BU184" i="2"/>
  <c r="BW210" i="2"/>
  <c r="BU210" i="2"/>
  <c r="BU397" i="2"/>
  <c r="BW449" i="2"/>
  <c r="BU449" i="2"/>
  <c r="BW98" i="2"/>
  <c r="BU166" i="2"/>
  <c r="BT210" i="2"/>
  <c r="BT301" i="2"/>
  <c r="BW325" i="2"/>
  <c r="BW624" i="2"/>
  <c r="BU624" i="2"/>
  <c r="BW561" i="2"/>
  <c r="BU561" i="2"/>
  <c r="BW603" i="2"/>
  <c r="BU603" i="2"/>
  <c r="BW329" i="2"/>
  <c r="BU329" i="2"/>
  <c r="BW381" i="2"/>
  <c r="BU381" i="2"/>
  <c r="BW493" i="2"/>
  <c r="BU493" i="2"/>
  <c r="BU253" i="2"/>
  <c r="BZ291" i="2"/>
  <c r="BT329" i="2"/>
  <c r="BU364" i="2"/>
  <c r="BW364" i="2"/>
  <c r="CA419" i="2"/>
  <c r="BT446" i="2"/>
  <c r="BU458" i="2"/>
  <c r="BW458" i="2"/>
  <c r="BU472" i="2"/>
  <c r="BU427" i="2"/>
  <c r="BW436" i="2"/>
  <c r="BU436" i="2"/>
  <c r="BW504" i="2"/>
  <c r="BU504" i="2"/>
  <c r="BU236" i="2"/>
  <c r="BU249" i="2"/>
  <c r="BT335" i="2"/>
  <c r="BW338" i="2"/>
  <c r="BU355" i="2"/>
  <c r="BT361" i="2"/>
  <c r="BW418" i="2"/>
  <c r="BU418" i="2"/>
  <c r="BW498" i="2"/>
  <c r="BU498" i="2"/>
  <c r="BW633" i="2"/>
  <c r="BU633" i="2"/>
  <c r="BW374" i="2"/>
  <c r="BU374" i="2"/>
  <c r="BW451" i="2"/>
  <c r="BU451" i="2"/>
  <c r="BW466" i="2"/>
  <c r="BU466" i="2"/>
  <c r="BW796" i="2"/>
  <c r="BU796" i="2"/>
  <c r="BU415" i="2"/>
  <c r="BW415" i="2"/>
  <c r="BW454" i="2"/>
  <c r="BU454" i="2"/>
  <c r="BU515" i="2"/>
  <c r="BW515" i="2"/>
  <c r="BU555" i="2"/>
  <c r="BW555" i="2"/>
  <c r="BU367" i="2"/>
  <c r="BW367" i="2"/>
  <c r="BW383" i="2"/>
  <c r="BU383" i="2"/>
  <c r="BW396" i="2"/>
  <c r="BU396" i="2"/>
  <c r="BW463" i="2"/>
  <c r="BU463" i="2"/>
  <c r="BW486" i="2"/>
  <c r="BU486" i="2"/>
  <c r="BU152" i="2"/>
  <c r="BU172" i="2"/>
  <c r="BU193" i="2"/>
  <c r="BU231" i="2"/>
  <c r="BW236" i="2"/>
  <c r="BU240" i="2"/>
  <c r="BT286" i="2"/>
  <c r="BU338" i="2"/>
  <c r="BU377" i="2"/>
  <c r="BU380" i="2"/>
  <c r="BW405" i="2"/>
  <c r="BU405" i="2"/>
  <c r="BU411" i="2"/>
  <c r="BW432" i="2"/>
  <c r="BU432" i="2"/>
  <c r="BT442" i="2"/>
  <c r="BT463" i="2"/>
  <c r="BW506" i="2"/>
  <c r="BU506" i="2"/>
  <c r="BU594" i="2"/>
  <c r="BW594" i="2"/>
  <c r="BU318" i="2"/>
  <c r="BW408" i="2"/>
  <c r="BU635" i="2"/>
  <c r="BW635" i="2"/>
  <c r="BU197" i="2"/>
  <c r="BU256" i="2"/>
  <c r="BU269" i="2"/>
  <c r="BW290" i="2"/>
  <c r="BU290" i="2"/>
  <c r="BW303" i="2"/>
  <c r="BU303" i="2"/>
  <c r="BW324" i="2"/>
  <c r="BU324" i="2"/>
  <c r="BW350" i="2"/>
  <c r="BU350" i="2"/>
  <c r="BU442" i="2"/>
  <c r="CA514" i="2"/>
  <c r="BU517" i="2"/>
  <c r="BW517" i="2"/>
  <c r="BW533" i="2"/>
  <c r="BU216" i="2"/>
  <c r="BW230" i="2"/>
  <c r="BU230" i="2"/>
  <c r="BW277" i="2"/>
  <c r="BU277" i="2"/>
  <c r="BT290" i="2"/>
  <c r="BT317" i="2"/>
  <c r="BW321" i="2"/>
  <c r="BU321" i="2"/>
  <c r="BW337" i="2"/>
  <c r="BU337" i="2"/>
  <c r="BU645" i="2"/>
  <c r="BW645" i="2"/>
  <c r="BT230" i="2"/>
  <c r="BT306" i="2"/>
  <c r="BT321" i="2"/>
  <c r="BW334" i="2"/>
  <c r="BU334" i="2"/>
  <c r="BU402" i="2"/>
  <c r="BW426" i="2"/>
  <c r="BU426" i="2"/>
  <c r="BW518" i="2"/>
  <c r="BU518" i="2"/>
  <c r="BW612" i="2"/>
  <c r="BU612" i="2"/>
  <c r="BW784" i="2"/>
  <c r="BU784" i="2"/>
  <c r="BW544" i="2"/>
  <c r="BU347" i="2"/>
  <c r="BW368" i="2"/>
  <c r="BU368" i="2"/>
  <c r="BT381" i="2"/>
  <c r="BW430" i="2"/>
  <c r="BU430" i="2"/>
  <c r="BU448" i="2"/>
  <c r="BT472" i="2"/>
  <c r="BU532" i="2"/>
  <c r="BT710" i="2"/>
  <c r="BU648" i="2"/>
  <c r="BW704" i="2"/>
  <c r="BU704" i="2"/>
  <c r="BW523" i="2"/>
  <c r="BU523" i="2"/>
  <c r="BW584" i="2"/>
  <c r="BU584" i="2"/>
  <c r="BW621" i="2"/>
  <c r="BU621" i="2"/>
  <c r="BW410" i="2"/>
  <c r="BU410" i="2"/>
  <c r="BU468" i="2"/>
  <c r="BW468" i="2"/>
  <c r="BU320" i="2"/>
  <c r="BW443" i="2"/>
  <c r="BU443" i="2"/>
  <c r="BU537" i="2"/>
  <c r="BW537" i="2"/>
  <c r="BU608" i="2"/>
  <c r="CA653" i="2"/>
  <c r="BW785" i="2"/>
  <c r="BU785" i="2"/>
  <c r="BW341" i="2"/>
  <c r="BU341" i="2"/>
  <c r="BW354" i="2"/>
  <c r="BU354" i="2"/>
  <c r="BT537" i="2"/>
  <c r="BT543" i="2"/>
  <c r="BW618" i="2"/>
  <c r="BU618" i="2"/>
  <c r="BW328" i="2"/>
  <c r="BU328" i="2"/>
  <c r="BW425" i="2"/>
  <c r="BU425" i="2"/>
  <c r="BT531" i="2"/>
  <c r="BW564" i="2"/>
  <c r="BU564" i="2"/>
  <c r="BU315" i="2"/>
  <c r="BU344" i="2"/>
  <c r="BU358" i="2"/>
  <c r="BU362" i="2"/>
  <c r="BU375" i="2"/>
  <c r="BU428" i="2"/>
  <c r="BW428" i="2"/>
  <c r="BU491" i="2"/>
  <c r="BU597" i="2"/>
  <c r="BU658" i="2"/>
  <c r="BW658" i="2"/>
  <c r="BW745" i="2"/>
  <c r="BU745" i="2"/>
  <c r="BT357" i="2"/>
  <c r="BW395" i="2"/>
  <c r="BU395" i="2"/>
  <c r="BT428" i="2"/>
  <c r="BW446" i="2"/>
  <c r="BU446" i="2"/>
  <c r="BU516" i="2"/>
  <c r="BT522" i="2"/>
  <c r="BU528" i="2"/>
  <c r="BW696" i="2"/>
  <c r="BU696" i="2"/>
  <c r="BT699" i="2"/>
  <c r="BW716" i="2"/>
  <c r="BU716" i="2"/>
  <c r="BW765" i="2"/>
  <c r="BU765" i="2"/>
  <c r="BU558" i="2"/>
  <c r="BT568" i="2"/>
  <c r="BU574" i="2"/>
  <c r="BW574" i="2"/>
  <c r="BW590" i="2"/>
  <c r="BU590" i="2"/>
  <c r="BW609" i="2"/>
  <c r="BU609" i="2"/>
  <c r="BW653" i="2"/>
  <c r="BT743" i="2"/>
  <c r="BT482" i="2"/>
  <c r="BU495" i="2"/>
  <c r="BW541" i="2"/>
  <c r="BU541" i="2"/>
  <c r="BT587" i="2"/>
  <c r="BW558" i="2"/>
  <c r="BU554" i="2"/>
  <c r="BW554" i="2"/>
  <c r="BU563" i="2"/>
  <c r="BU614" i="2"/>
  <c r="BU638" i="2"/>
  <c r="BU684" i="2"/>
  <c r="BT563" i="2"/>
  <c r="BW570" i="2"/>
  <c r="BU570" i="2"/>
  <c r="BU605" i="2"/>
  <c r="BW605" i="2"/>
  <c r="BT638" i="2"/>
  <c r="BW675" i="2"/>
  <c r="BU675" i="2"/>
  <c r="BW695" i="2"/>
  <c r="BU695" i="2"/>
  <c r="BT723" i="2"/>
  <c r="BU737" i="2"/>
  <c r="BU510" i="2"/>
  <c r="BU519" i="2"/>
  <c r="BU539" i="2"/>
  <c r="BW614" i="2"/>
  <c r="BU632" i="2"/>
  <c r="BW638" i="2"/>
  <c r="BW683" i="2"/>
  <c r="BU725" i="2"/>
  <c r="BU435" i="2"/>
  <c r="BU475" i="2"/>
  <c r="BT510" i="2"/>
  <c r="BU531" i="2"/>
  <c r="BU543" i="2"/>
  <c r="BU556" i="2"/>
  <c r="BW613" i="2"/>
  <c r="BW669" i="2"/>
  <c r="BU669" i="2"/>
  <c r="BW409" i="2"/>
  <c r="BU409" i="2"/>
  <c r="BW576" i="2"/>
  <c r="BU616" i="2"/>
  <c r="BW616" i="2"/>
  <c r="BU629" i="2"/>
  <c r="BU637" i="2"/>
  <c r="BW643" i="2"/>
  <c r="BU643" i="2"/>
  <c r="BW663" i="2"/>
  <c r="BU777" i="2"/>
  <c r="BU625" i="2"/>
  <c r="BU683" i="2"/>
  <c r="BW429" i="2"/>
  <c r="BU429" i="2"/>
  <c r="BW475" i="2"/>
  <c r="BU484" i="2"/>
  <c r="BW510" i="2"/>
  <c r="BW535" i="2"/>
  <c r="BW562" i="2"/>
  <c r="BU562" i="2"/>
  <c r="BU572" i="2"/>
  <c r="BU575" i="2"/>
  <c r="BW575" i="2"/>
  <c r="BU598" i="2"/>
  <c r="BW604" i="2"/>
  <c r="BU604" i="2"/>
  <c r="BU677" i="2"/>
  <c r="BW725" i="2"/>
  <c r="BW435" i="2"/>
  <c r="BW469" i="2"/>
  <c r="BU469" i="2"/>
  <c r="BU488" i="2"/>
  <c r="BT530" i="2"/>
  <c r="BW539" i="2"/>
  <c r="BU542" i="2"/>
  <c r="BU565" i="2"/>
  <c r="BT569" i="2"/>
  <c r="BU613" i="2"/>
  <c r="BU628" i="2"/>
  <c r="BU663" i="2"/>
  <c r="BW755" i="2"/>
  <c r="BU755" i="2"/>
  <c r="BW775" i="2"/>
  <c r="BU775" i="2"/>
  <c r="BW789" i="2"/>
  <c r="BU789" i="2"/>
  <c r="BT607" i="2"/>
  <c r="BW610" i="2"/>
  <c r="BU610" i="2"/>
  <c r="BT632" i="2"/>
  <c r="BW749" i="2"/>
  <c r="BU749" i="2"/>
  <c r="BW769" i="2"/>
  <c r="BU769" i="2"/>
  <c r="BW805" i="2"/>
  <c r="BU805" i="2"/>
  <c r="BW724" i="2"/>
  <c r="BW656" i="2"/>
  <c r="BU656" i="2"/>
  <c r="BU665" i="2"/>
  <c r="BW689" i="2"/>
  <c r="BU689" i="2"/>
  <c r="BW736" i="2"/>
  <c r="BU736" i="2"/>
  <c r="BW756" i="2"/>
  <c r="BU756" i="2"/>
  <c r="BW776" i="2"/>
  <c r="BU776" i="2"/>
  <c r="BW703" i="2"/>
  <c r="BW715" i="2"/>
  <c r="BU715" i="2"/>
  <c r="BU724" i="2"/>
  <c r="BU489" i="2"/>
  <c r="BU509" i="2"/>
  <c r="BU529" i="2"/>
  <c r="BU550" i="2"/>
  <c r="BU578" i="2"/>
  <c r="BU585" i="2"/>
  <c r="BU593" i="2"/>
  <c r="BT608" i="2"/>
  <c r="BU623" i="2"/>
  <c r="BW665" i="2"/>
  <c r="BT703" i="2"/>
  <c r="BW709" i="2"/>
  <c r="BU709" i="2"/>
  <c r="BW764" i="2"/>
  <c r="BU502" i="2"/>
  <c r="BU522" i="2"/>
  <c r="BU685" i="2"/>
  <c r="BW795" i="2"/>
  <c r="BU795" i="2"/>
  <c r="BW636" i="2"/>
  <c r="BU636" i="2"/>
  <c r="BT652" i="2"/>
  <c r="BW676" i="2"/>
  <c r="BU676" i="2"/>
  <c r="BU703" i="2"/>
  <c r="BT798" i="2"/>
  <c r="BU589" i="2"/>
  <c r="BT592" i="2"/>
  <c r="BW615" i="2"/>
  <c r="BW649" i="2"/>
  <c r="BU649" i="2"/>
  <c r="BW729" i="2"/>
  <c r="BU729" i="2"/>
  <c r="BW735" i="2"/>
  <c r="BU735" i="2"/>
  <c r="BT738" i="2"/>
  <c r="BU744" i="2"/>
  <c r="BT758" i="2"/>
  <c r="BT778" i="2"/>
  <c r="BU630" i="2"/>
  <c r="BU650" i="2"/>
  <c r="BU670" i="2"/>
  <c r="BU690" i="2"/>
  <c r="BU710" i="2"/>
  <c r="BU730" i="2"/>
  <c r="BU750" i="2"/>
  <c r="BU770" i="2"/>
  <c r="BU790" i="2"/>
  <c r="BW743" i="2"/>
  <c r="BW763" i="2"/>
  <c r="BU708" i="2"/>
  <c r="BU728" i="2"/>
  <c r="BU748" i="2"/>
  <c r="BU768" i="2"/>
  <c r="BU788" i="2"/>
  <c r="BU808" i="2"/>
  <c r="BU781" i="2"/>
  <c r="BU801" i="2"/>
  <c r="BU559" i="2"/>
  <c r="BU579" i="2"/>
  <c r="BU599" i="2"/>
  <c r="BU639" i="2"/>
  <c r="BU659" i="2"/>
  <c r="BW673" i="2"/>
  <c r="BW693" i="2"/>
  <c r="BW713" i="2"/>
  <c r="BW753" i="2"/>
  <c r="BW773" i="2"/>
  <c r="BW793" i="2"/>
  <c r="BV438" i="2" l="1"/>
  <c r="BZ438" i="2" s="1"/>
  <c r="BV606" i="2"/>
  <c r="BV77" i="2"/>
  <c r="BZ77" i="2" s="1"/>
  <c r="BV212" i="2"/>
  <c r="BZ212" i="2" s="1"/>
  <c r="BV339" i="2"/>
  <c r="BZ339" i="2" s="1"/>
  <c r="BV323" i="2"/>
  <c r="BZ323" i="2" s="1"/>
  <c r="BV620" i="2"/>
  <c r="BZ620" i="2" s="1"/>
  <c r="BV571" i="2"/>
  <c r="BV640" i="2"/>
  <c r="BZ640" i="2" s="1"/>
  <c r="BV746" i="2"/>
  <c r="BZ746" i="2" s="1"/>
  <c r="BV242" i="2"/>
  <c r="BZ242" i="2" s="1"/>
  <c r="BV602" i="2"/>
  <c r="BZ602" i="2" s="1"/>
  <c r="BV653" i="2"/>
  <c r="BZ653" i="2" s="1"/>
  <c r="BV305" i="2"/>
  <c r="BZ305" i="2" s="1"/>
  <c r="BV57" i="2"/>
  <c r="BZ57" i="2" s="1"/>
  <c r="BV655" i="2"/>
  <c r="BZ655" i="2" s="1"/>
  <c r="BV353" i="2"/>
  <c r="BZ353" i="2" s="1"/>
  <c r="BV79" i="2"/>
  <c r="BZ79" i="2" s="1"/>
  <c r="BV433" i="2"/>
  <c r="BZ433" i="2" s="1"/>
  <c r="BV763" i="2"/>
  <c r="BZ763" i="2" s="1"/>
  <c r="BV221" i="2"/>
  <c r="BZ221" i="2" s="1"/>
  <c r="BV200" i="2"/>
  <c r="BZ200" i="2" s="1"/>
  <c r="BV393" i="2"/>
  <c r="BZ393" i="2" s="1"/>
  <c r="BV356" i="2"/>
  <c r="BZ356" i="2" s="1"/>
  <c r="BV804" i="2"/>
  <c r="BV439" i="2"/>
  <c r="BZ439" i="2" s="1"/>
  <c r="BV634" i="2"/>
  <c r="BZ634" i="2" s="1"/>
  <c r="BV551" i="2"/>
  <c r="BZ551" i="2" s="1"/>
  <c r="BV351" i="2"/>
  <c r="BZ351" i="2" s="1"/>
  <c r="BV186" i="2"/>
  <c r="BZ186" i="2" s="1"/>
  <c r="BV711" i="2"/>
  <c r="BZ711" i="2" s="1"/>
  <c r="BV817" i="2"/>
  <c r="BV641" i="2"/>
  <c r="BZ641" i="2" s="1"/>
  <c r="BV697" i="2"/>
  <c r="BZ697" i="2" s="1"/>
  <c r="BV557" i="2"/>
  <c r="BZ557" i="2" s="1"/>
  <c r="BV471" i="2"/>
  <c r="BZ471" i="2" s="1"/>
  <c r="BV102" i="2"/>
  <c r="BZ102" i="2" s="1"/>
  <c r="BV830" i="2"/>
  <c r="BZ830" i="2" s="1"/>
  <c r="BV327" i="2"/>
  <c r="BV611" i="2"/>
  <c r="BZ611" i="2" s="1"/>
  <c r="BV693" i="2"/>
  <c r="BZ693" i="2" s="1"/>
  <c r="BV135" i="2"/>
  <c r="BZ135" i="2" s="1"/>
  <c r="CA830" i="2"/>
  <c r="BV22" i="2"/>
  <c r="BZ22" i="2" s="1"/>
  <c r="BV514" i="2"/>
  <c r="BZ514" i="2" s="1"/>
  <c r="BV797" i="2"/>
  <c r="BV209" i="2"/>
  <c r="BZ209" i="2" s="1"/>
  <c r="BV661" i="2"/>
  <c r="BZ661" i="2" s="1"/>
  <c r="BV25" i="2"/>
  <c r="BZ25" i="2" s="1"/>
  <c r="BV803" i="2"/>
  <c r="BV163" i="2"/>
  <c r="BZ163" i="2" s="1"/>
  <c r="BV761" i="2"/>
  <c r="BZ761" i="2" s="1"/>
  <c r="BV719" i="2"/>
  <c r="BZ719" i="2" s="1"/>
  <c r="BV127" i="2"/>
  <c r="BZ127" i="2" s="1"/>
  <c r="BV673" i="2"/>
  <c r="BZ673" i="2" s="1"/>
  <c r="BV176" i="2"/>
  <c r="BZ176" i="2" s="1"/>
  <c r="BV569" i="2"/>
  <c r="CA661" i="2"/>
  <c r="BV298" i="2"/>
  <c r="BZ298" i="2" s="1"/>
  <c r="BV360" i="2"/>
  <c r="BZ360" i="2" s="1"/>
  <c r="BV647" i="2"/>
  <c r="BZ647" i="2" s="1"/>
  <c r="CA439" i="2"/>
  <c r="BV392" i="2"/>
  <c r="BZ392" i="2" s="1"/>
  <c r="BV742" i="2"/>
  <c r="BZ742" i="2" s="1"/>
  <c r="BV706" i="2"/>
  <c r="BV53" i="2"/>
  <c r="BZ53" i="2" s="1"/>
  <c r="BV622" i="2"/>
  <c r="BZ622" i="2" s="1"/>
  <c r="BV799" i="2"/>
  <c r="BV759" i="2"/>
  <c r="BZ759" i="2" s="1"/>
  <c r="BV20" i="2"/>
  <c r="BZ20" i="2" s="1"/>
  <c r="BV778" i="2"/>
  <c r="BZ778" i="2" s="1"/>
  <c r="BV301" i="2"/>
  <c r="BZ301" i="2" s="1"/>
  <c r="BV644" i="2"/>
  <c r="BZ644" i="2" s="1"/>
  <c r="CA176" i="2"/>
  <c r="BV110" i="2"/>
  <c r="BZ110" i="2" s="1"/>
  <c r="BV834" i="2"/>
  <c r="BZ834" i="2" s="1"/>
  <c r="BV332" i="2"/>
  <c r="BZ332" i="2" s="1"/>
  <c r="BV807" i="2"/>
  <c r="BV694" i="2"/>
  <c r="BZ694" i="2" s="1"/>
  <c r="BV44" i="2"/>
  <c r="BZ44" i="2" s="1"/>
  <c r="BV686" i="2"/>
  <c r="BZ686" i="2" s="1"/>
  <c r="BV264" i="2"/>
  <c r="BZ264" i="2" s="1"/>
  <c r="BV527" i="2"/>
  <c r="BZ527" i="2" s="1"/>
  <c r="BV464" i="2"/>
  <c r="BZ464" i="2" s="1"/>
  <c r="BV122" i="2"/>
  <c r="BV757" i="2"/>
  <c r="BZ757" i="2" s="1"/>
  <c r="CA602" i="2"/>
  <c r="BV530" i="2"/>
  <c r="BZ530" i="2" s="1"/>
  <c r="BV560" i="2"/>
  <c r="BZ560" i="2" s="1"/>
  <c r="BV296" i="2"/>
  <c r="BZ296" i="2" s="1"/>
  <c r="CA837" i="2"/>
  <c r="BV837" i="2"/>
  <c r="BZ837" i="2" s="1"/>
  <c r="BV239" i="2"/>
  <c r="BZ239" i="2" s="1"/>
  <c r="BV734" i="2"/>
  <c r="BV346" i="2"/>
  <c r="BZ346" i="2" s="1"/>
  <c r="BV247" i="2"/>
  <c r="BZ247" i="2" s="1"/>
  <c r="BV437" i="2"/>
  <c r="BZ437" i="2" s="1"/>
  <c r="BV222" i="2"/>
  <c r="BZ222" i="2" s="1"/>
  <c r="BV259" i="2"/>
  <c r="BZ259" i="2" s="1"/>
  <c r="CA471" i="2"/>
  <c r="BV40" i="2"/>
  <c r="BZ40" i="2" s="1"/>
  <c r="CA20" i="2"/>
  <c r="BV549" i="2"/>
  <c r="BV43" i="2"/>
  <c r="BZ43" i="2" s="1"/>
  <c r="BV533" i="2"/>
  <c r="BZ533" i="2" s="1"/>
  <c r="BV227" i="2"/>
  <c r="BZ227" i="2" s="1"/>
  <c r="BV143" i="2"/>
  <c r="BZ143" i="2" s="1"/>
  <c r="BV835" i="2"/>
  <c r="BZ835" i="2" s="1"/>
  <c r="CA835" i="2"/>
  <c r="BV662" i="2"/>
  <c r="BZ662" i="2" s="1"/>
  <c r="BV400" i="2"/>
  <c r="BZ400" i="2" s="1"/>
  <c r="CA706" i="2"/>
  <c r="BV535" i="2"/>
  <c r="BZ535" i="2" s="1"/>
  <c r="BV76" i="2"/>
  <c r="BZ76" i="2" s="1"/>
  <c r="BV553" i="2"/>
  <c r="BZ553" i="2" s="1"/>
  <c r="BV698" i="2"/>
  <c r="BV592" i="2"/>
  <c r="BZ592" i="2" s="1"/>
  <c r="BV607" i="2"/>
  <c r="BV115" i="2"/>
  <c r="BV379" i="2"/>
  <c r="BZ379" i="2" s="1"/>
  <c r="BV404" i="2"/>
  <c r="BZ404" i="2" s="1"/>
  <c r="BV651" i="2"/>
  <c r="BZ651" i="2" s="1"/>
  <c r="BV567" i="2"/>
  <c r="CA836" i="2"/>
  <c r="BV836" i="2"/>
  <c r="BZ836" i="2" s="1"/>
  <c r="BV596" i="2"/>
  <c r="BZ596" i="2" s="1"/>
  <c r="BV642" i="2"/>
  <c r="BZ642" i="2" s="1"/>
  <c r="BV473" i="2"/>
  <c r="BZ473" i="2" s="1"/>
  <c r="BV490" i="2"/>
  <c r="BZ490" i="2" s="1"/>
  <c r="CA326" i="2"/>
  <c r="BV10" i="2"/>
  <c r="BZ10" i="2" s="1"/>
  <c r="BV156" i="2"/>
  <c r="BZ156" i="2" s="1"/>
  <c r="BV51" i="2"/>
  <c r="BZ51" i="2" s="1"/>
  <c r="CA143" i="2"/>
  <c r="BV187" i="2"/>
  <c r="BZ187" i="2" s="1"/>
  <c r="BV254" i="2"/>
  <c r="BZ254" i="2" s="1"/>
  <c r="BV480" i="2"/>
  <c r="BZ480" i="2" s="1"/>
  <c r="BV802" i="2"/>
  <c r="BV71" i="2"/>
  <c r="BZ71" i="2" s="1"/>
  <c r="BV46" i="2"/>
  <c r="BZ46" i="2" s="1"/>
  <c r="BV179" i="2"/>
  <c r="BZ179" i="2" s="1"/>
  <c r="BV738" i="2"/>
  <c r="BZ738" i="2" s="1"/>
  <c r="CA804" i="2"/>
  <c r="BV343" i="2"/>
  <c r="BZ343" i="2" s="1"/>
  <c r="BV202" i="2"/>
  <c r="BZ202" i="2" s="1"/>
  <c r="BV83" i="2"/>
  <c r="BZ83" i="2" s="1"/>
  <c r="BV39" i="2"/>
  <c r="BZ39" i="2" s="1"/>
  <c r="BV161" i="2"/>
  <c r="BZ161" i="2" s="1"/>
  <c r="BV810" i="2"/>
  <c r="BV87" i="2"/>
  <c r="BZ87" i="2" s="1"/>
  <c r="CA53" i="2"/>
  <c r="BV219" i="2"/>
  <c r="BZ219" i="2" s="1"/>
  <c r="CA634" i="2"/>
  <c r="BV177" i="2"/>
  <c r="BZ177" i="2" s="1"/>
  <c r="BV793" i="2"/>
  <c r="BZ793" i="2" s="1"/>
  <c r="BV753" i="2"/>
  <c r="BZ753" i="2" s="1"/>
  <c r="BV754" i="2"/>
  <c r="BZ754" i="2" s="1"/>
  <c r="BV288" i="2"/>
  <c r="BZ288" i="2" s="1"/>
  <c r="BV688" i="2"/>
  <c r="BZ688" i="2" s="1"/>
  <c r="BV773" i="2"/>
  <c r="BZ773" i="2" s="1"/>
  <c r="CA644" i="2"/>
  <c r="BV654" i="2"/>
  <c r="BZ654" i="2" s="1"/>
  <c r="CA697" i="2"/>
  <c r="BV631" i="2"/>
  <c r="BZ631" i="2" s="1"/>
  <c r="BV133" i="2"/>
  <c r="BZ133" i="2" s="1"/>
  <c r="BV487" i="2"/>
  <c r="BZ487" i="2" s="1"/>
  <c r="BV501" i="2"/>
  <c r="BZ501" i="2" s="1"/>
  <c r="BV372" i="2"/>
  <c r="BZ372" i="2" s="1"/>
  <c r="BV780" i="2"/>
  <c r="BZ780" i="2" s="1"/>
  <c r="BV573" i="2"/>
  <c r="BV792" i="2"/>
  <c r="BZ792" i="2" s="1"/>
  <c r="BV420" i="2"/>
  <c r="BZ420" i="2" s="1"/>
  <c r="BV583" i="2"/>
  <c r="BZ583" i="2" s="1"/>
  <c r="CA571" i="2"/>
  <c r="BV151" i="2"/>
  <c r="BZ151" i="2" s="1"/>
  <c r="BV63" i="2"/>
  <c r="BZ63" i="2" s="1"/>
  <c r="BV657" i="2"/>
  <c r="BV771" i="2"/>
  <c r="BZ771" i="2" s="1"/>
  <c r="BV281" i="2"/>
  <c r="BZ281" i="2" s="1"/>
  <c r="BV406" i="2"/>
  <c r="BZ406" i="2" s="1"/>
  <c r="BV241" i="2"/>
  <c r="BZ241" i="2" s="1"/>
  <c r="BV357" i="2"/>
  <c r="BZ357" i="2" s="1"/>
  <c r="BV292" i="2"/>
  <c r="BV691" i="2"/>
  <c r="BZ691" i="2" s="1"/>
  <c r="BV485" i="2"/>
  <c r="BZ485" i="2" s="1"/>
  <c r="BV413" i="2"/>
  <c r="BZ413" i="2" s="1"/>
  <c r="BV234" i="2"/>
  <c r="BZ234" i="2" s="1"/>
  <c r="CA161" i="2"/>
  <c r="BV378" i="2"/>
  <c r="BZ378" i="2" s="1"/>
  <c r="BV185" i="2"/>
  <c r="BZ185" i="2" s="1"/>
  <c r="BV183" i="2"/>
  <c r="BZ183" i="2" s="1"/>
  <c r="CA372" i="2"/>
  <c r="CA187" i="2"/>
  <c r="BV59" i="2"/>
  <c r="BZ59" i="2" s="1"/>
  <c r="CA833" i="2"/>
  <c r="BV833" i="2"/>
  <c r="BZ833" i="2" s="1"/>
  <c r="BV671" i="2"/>
  <c r="BZ671" i="2" s="1"/>
  <c r="BV787" i="2"/>
  <c r="BZ787" i="2" s="1"/>
  <c r="BV707" i="2"/>
  <c r="BZ707" i="2" s="1"/>
  <c r="BV275" i="2"/>
  <c r="BZ275" i="2" s="1"/>
  <c r="BV747" i="2"/>
  <c r="BV206" i="2"/>
  <c r="BZ206" i="2" s="1"/>
  <c r="CA87" i="2"/>
  <c r="BV64" i="2"/>
  <c r="BZ64" i="2" s="1"/>
  <c r="CA691" i="2"/>
  <c r="CA487" i="2"/>
  <c r="BV767" i="2"/>
  <c r="BZ767" i="2" s="1"/>
  <c r="CA757" i="2"/>
  <c r="BV816" i="2"/>
  <c r="BV370" i="2"/>
  <c r="BZ370" i="2" s="1"/>
  <c r="BV104" i="2"/>
  <c r="BZ104" i="2" s="1"/>
  <c r="BV809" i="2"/>
  <c r="BV786" i="2"/>
  <c r="BZ786" i="2" s="1"/>
  <c r="CA606" i="2"/>
  <c r="BV245" i="2"/>
  <c r="BZ245" i="2" s="1"/>
  <c r="CA437" i="2"/>
  <c r="BV813" i="2"/>
  <c r="BV365" i="2"/>
  <c r="BZ365" i="2" s="1"/>
  <c r="CA480" i="2"/>
  <c r="BV37" i="2"/>
  <c r="BZ37" i="2" s="1"/>
  <c r="BV228" i="2"/>
  <c r="BZ228" i="2" s="1"/>
  <c r="BV705" i="2"/>
  <c r="BV82" i="2"/>
  <c r="BZ82" i="2" s="1"/>
  <c r="BV265" i="2"/>
  <c r="BZ265" i="2" s="1"/>
  <c r="BV261" i="2"/>
  <c r="BZ261" i="2" s="1"/>
  <c r="CA771" i="2"/>
  <c r="BV774" i="2"/>
  <c r="BZ774" i="2" s="1"/>
  <c r="BV508" i="2"/>
  <c r="BZ508" i="2" s="1"/>
  <c r="BV4" i="2"/>
  <c r="BZ4" i="2" s="1"/>
  <c r="BV352" i="2"/>
  <c r="BZ352" i="2" s="1"/>
  <c r="BV798" i="2"/>
  <c r="BV325" i="2"/>
  <c r="BZ325" i="2" s="1"/>
  <c r="CA288" i="2"/>
  <c r="BV477" i="2"/>
  <c r="BV718" i="2"/>
  <c r="BZ718" i="2" s="1"/>
  <c r="BV213" i="2"/>
  <c r="BZ213" i="2" s="1"/>
  <c r="BV743" i="2"/>
  <c r="BZ743" i="2" s="1"/>
  <c r="BV548" i="2"/>
  <c r="BZ548" i="2" s="1"/>
  <c r="BV467" i="2"/>
  <c r="BZ467" i="2" s="1"/>
  <c r="BV312" i="2"/>
  <c r="BZ312" i="2" s="1"/>
  <c r="BV345" i="2"/>
  <c r="BZ345" i="2" s="1"/>
  <c r="BV595" i="2"/>
  <c r="BZ595" i="2" s="1"/>
  <c r="BV84" i="2"/>
  <c r="BZ84" i="2" s="1"/>
  <c r="BV739" i="2"/>
  <c r="BZ739" i="2" s="1"/>
  <c r="BV680" i="2"/>
  <c r="BZ680" i="2" s="1"/>
  <c r="BV702" i="2"/>
  <c r="BZ702" i="2" s="1"/>
  <c r="BV295" i="2"/>
  <c r="BV668" i="2"/>
  <c r="BZ668" i="2" s="1"/>
  <c r="CA10" i="2"/>
  <c r="BV566" i="2"/>
  <c r="BV712" i="2"/>
  <c r="BZ712" i="2" s="1"/>
  <c r="CA654" i="2"/>
  <c r="BV455" i="2"/>
  <c r="BZ455" i="2" s="1"/>
  <c r="CA641" i="2"/>
  <c r="CA557" i="2"/>
  <c r="BV155" i="2"/>
  <c r="BZ155" i="2" s="1"/>
  <c r="BV126" i="2"/>
  <c r="BZ126" i="2" s="1"/>
  <c r="CA206" i="2"/>
  <c r="BV23" i="2"/>
  <c r="BZ23" i="2" s="1"/>
  <c r="BV17" i="2"/>
  <c r="BZ17" i="2" s="1"/>
  <c r="BV479" i="2"/>
  <c r="BZ479" i="2" s="1"/>
  <c r="BV97" i="2"/>
  <c r="BZ97" i="2" s="1"/>
  <c r="BV195" i="2"/>
  <c r="BZ195" i="2" s="1"/>
  <c r="BV38" i="2"/>
  <c r="BZ38" i="2" s="1"/>
  <c r="BV627" i="2"/>
  <c r="BZ627" i="2" s="1"/>
  <c r="BV546" i="2"/>
  <c r="BZ546" i="2" s="1"/>
  <c r="BV170" i="2"/>
  <c r="BZ170" i="2" s="1"/>
  <c r="BV577" i="2"/>
  <c r="BZ577" i="2" s="1"/>
  <c r="BV424" i="2"/>
  <c r="BZ424" i="2" s="1"/>
  <c r="BV814" i="2"/>
  <c r="BV314" i="2"/>
  <c r="BZ314" i="2" s="1"/>
  <c r="BV652" i="2"/>
  <c r="BZ652" i="2" s="1"/>
  <c r="BV758" i="2"/>
  <c r="BZ758" i="2" s="1"/>
  <c r="BV615" i="2"/>
  <c r="BZ615" i="2" s="1"/>
  <c r="BV540" i="2"/>
  <c r="BV601" i="2"/>
  <c r="BZ601" i="2" s="1"/>
  <c r="BV580" i="2"/>
  <c r="BZ580" i="2" s="1"/>
  <c r="BV103" i="2"/>
  <c r="BZ103" i="2" s="1"/>
  <c r="BV674" i="2"/>
  <c r="BV75" i="2"/>
  <c r="BZ75" i="2" s="1"/>
  <c r="N7" i="1"/>
  <c r="CA832" i="2"/>
  <c r="BV832" i="2"/>
  <c r="BZ832" i="2" s="1"/>
  <c r="BV32" i="2"/>
  <c r="BZ32" i="2" s="1"/>
  <c r="BV512" i="2"/>
  <c r="BZ512" i="2" s="1"/>
  <c r="BV731" i="2"/>
  <c r="BZ731" i="2" s="1"/>
  <c r="BV262" i="2"/>
  <c r="BZ262" i="2" s="1"/>
  <c r="CA83" i="2"/>
  <c r="BV672" i="2"/>
  <c r="BZ672" i="2" s="1"/>
  <c r="CA787" i="2"/>
  <c r="BV128" i="2"/>
  <c r="BZ128" i="2" s="1"/>
  <c r="BV687" i="2"/>
  <c r="BZ687" i="2" s="1"/>
  <c r="BV764" i="2"/>
  <c r="BZ764" i="2" s="1"/>
  <c r="BV732" i="2"/>
  <c r="BZ732" i="2" s="1"/>
  <c r="BV284" i="2"/>
  <c r="BZ284" i="2" s="1"/>
  <c r="BV260" i="2"/>
  <c r="BZ260" i="2" s="1"/>
  <c r="BV699" i="2"/>
  <c r="BV576" i="2"/>
  <c r="BZ576" i="2" s="1"/>
  <c r="BV211" i="2"/>
  <c r="BZ211" i="2" s="1"/>
  <c r="BV5" i="2"/>
  <c r="BZ5" i="2" s="1"/>
  <c r="BV258" i="2"/>
  <c r="BZ258" i="2" s="1"/>
  <c r="CA38" i="2"/>
  <c r="BV447" i="2"/>
  <c r="BZ447" i="2" s="1"/>
  <c r="BV36" i="2"/>
  <c r="BZ36" i="2" s="1"/>
  <c r="BV478" i="2"/>
  <c r="BV586" i="2"/>
  <c r="BZ586" i="2" s="1"/>
  <c r="BV232" i="2"/>
  <c r="BZ232" i="2" s="1"/>
  <c r="CA44" i="2"/>
  <c r="BV772" i="2"/>
  <c r="BZ772" i="2" s="1"/>
  <c r="BV720" i="2"/>
  <c r="BZ720" i="2" s="1"/>
  <c r="BV679" i="2"/>
  <c r="BZ679" i="2" s="1"/>
  <c r="CA404" i="2"/>
  <c r="CA365" i="2"/>
  <c r="BV336" i="2"/>
  <c r="BZ336" i="2" s="1"/>
  <c r="BV271" i="2"/>
  <c r="BZ271" i="2" s="1"/>
  <c r="BV31" i="2"/>
  <c r="BZ31" i="2" s="1"/>
  <c r="BV196" i="2"/>
  <c r="BZ196" i="2" s="1"/>
  <c r="BV81" i="2"/>
  <c r="BZ81" i="2" s="1"/>
  <c r="BV727" i="2"/>
  <c r="BZ727" i="2" s="1"/>
  <c r="BV422" i="2"/>
  <c r="BZ422" i="2" s="1"/>
  <c r="BV582" i="2"/>
  <c r="CA753" i="2"/>
  <c r="CA763" i="2"/>
  <c r="BV692" i="2"/>
  <c r="BZ692" i="2" s="1"/>
  <c r="BV552" i="2"/>
  <c r="BZ552" i="2" s="1"/>
  <c r="BV26" i="2"/>
  <c r="BZ26" i="2" s="1"/>
  <c r="CA831" i="2"/>
  <c r="BV831" i="2"/>
  <c r="BZ831" i="2" s="1"/>
  <c r="CA185" i="2"/>
  <c r="BV536" i="2"/>
  <c r="BZ536" i="2" s="1"/>
  <c r="CA657" i="2"/>
  <c r="BV385" i="2"/>
  <c r="BZ385" i="2" s="1"/>
  <c r="BV545" i="2"/>
  <c r="BZ545" i="2" s="1"/>
  <c r="BV741" i="2"/>
  <c r="BZ741" i="2" s="1"/>
  <c r="BV733" i="2"/>
  <c r="BV717" i="2"/>
  <c r="BZ717" i="2" s="1"/>
  <c r="BV423" i="2"/>
  <c r="BZ423" i="2" s="1"/>
  <c r="BV391" i="2"/>
  <c r="BZ391" i="2" s="1"/>
  <c r="BV136" i="2"/>
  <c r="BZ136" i="2" s="1"/>
  <c r="BV225" i="2"/>
  <c r="BZ225" i="2" s="1"/>
  <c r="BV461" i="2"/>
  <c r="BZ461" i="2" s="1"/>
  <c r="BV762" i="2"/>
  <c r="BV191" i="2"/>
  <c r="BZ191" i="2" s="1"/>
  <c r="BV147" i="2"/>
  <c r="BZ147" i="2" s="1"/>
  <c r="BV591" i="2"/>
  <c r="BZ591" i="2" s="1"/>
  <c r="BV251" i="2"/>
  <c r="BZ251" i="2" s="1"/>
  <c r="BV667" i="2"/>
  <c r="BZ667" i="2" s="1"/>
  <c r="BV474" i="2"/>
  <c r="BZ474" i="2" s="1"/>
  <c r="BV600" i="2"/>
  <c r="BZ600" i="2" s="1"/>
  <c r="CA378" i="2"/>
  <c r="CA228" i="2"/>
  <c r="CA281" i="2"/>
  <c r="BV285" i="2"/>
  <c r="BZ285" i="2" s="1"/>
  <c r="CA254" i="2"/>
  <c r="BV398" i="2"/>
  <c r="BZ398" i="2" s="1"/>
  <c r="BV812" i="2"/>
  <c r="BV56" i="2"/>
  <c r="BZ56" i="2" s="1"/>
  <c r="CA813" i="2"/>
  <c r="BV317" i="2"/>
  <c r="BZ317" i="2" s="1"/>
  <c r="BV511" i="2"/>
  <c r="BZ511" i="2" s="1"/>
  <c r="BV300" i="2"/>
  <c r="BZ300" i="2" s="1"/>
  <c r="BV224" i="2"/>
  <c r="BZ224" i="2" s="1"/>
  <c r="BV49" i="2"/>
  <c r="BZ49" i="2" s="1"/>
  <c r="BV421" i="2"/>
  <c r="BZ421" i="2" s="1"/>
  <c r="BV782" i="2"/>
  <c r="BZ782" i="2" s="1"/>
  <c r="CA420" i="2"/>
  <c r="CA39" i="2"/>
  <c r="BV459" i="2"/>
  <c r="BZ459" i="2" s="1"/>
  <c r="N5" i="1"/>
  <c r="BV414" i="2"/>
  <c r="BZ414" i="2" s="1"/>
  <c r="BV407" i="2"/>
  <c r="BZ407" i="2" s="1"/>
  <c r="BV100" i="2"/>
  <c r="BZ100" i="2" s="1"/>
  <c r="BV779" i="2"/>
  <c r="BZ779" i="2" s="1"/>
  <c r="BV229" i="2"/>
  <c r="BZ229" i="2" s="1"/>
  <c r="CA147" i="2"/>
  <c r="CA242" i="2"/>
  <c r="BV521" i="2"/>
  <c r="BZ521" i="2" s="1"/>
  <c r="BV751" i="2"/>
  <c r="BZ751" i="2" s="1"/>
  <c r="CA772" i="2"/>
  <c r="CA485" i="2"/>
  <c r="BV526" i="2"/>
  <c r="BZ526" i="2" s="1"/>
  <c r="BV752" i="2"/>
  <c r="BZ752" i="2" s="1"/>
  <c r="BV666" i="2"/>
  <c r="BZ666" i="2" s="1"/>
  <c r="BV291" i="2"/>
  <c r="BV65" i="2"/>
  <c r="BZ65" i="2" s="1"/>
  <c r="BV124" i="2"/>
  <c r="BZ124" i="2" s="1"/>
  <c r="BV29" i="2"/>
  <c r="BZ29" i="2" s="1"/>
  <c r="CA219" i="2"/>
  <c r="CA673" i="2"/>
  <c r="BV282" i="2"/>
  <c r="BZ282" i="2" s="1"/>
  <c r="BV829" i="2"/>
  <c r="BZ829" i="2" s="1"/>
  <c r="CA829" i="2"/>
  <c r="BV723" i="2"/>
  <c r="BZ723" i="2" s="1"/>
  <c r="BV811" i="2"/>
  <c r="BV726" i="2"/>
  <c r="BZ726" i="2" s="1"/>
  <c r="BV349" i="2"/>
  <c r="BZ349" i="2" s="1"/>
  <c r="CA782" i="2"/>
  <c r="BV441" i="2"/>
  <c r="BZ441" i="2" s="1"/>
  <c r="BV363" i="2"/>
  <c r="BZ363" i="2" s="1"/>
  <c r="BV440" i="2"/>
  <c r="BZ440" i="2" s="1"/>
  <c r="CA672" i="2"/>
  <c r="CA110" i="2"/>
  <c r="CA100" i="2"/>
  <c r="CA552" i="2"/>
  <c r="BV581" i="2"/>
  <c r="BV386" i="2"/>
  <c r="BZ386" i="2" s="1"/>
  <c r="BV492" i="2"/>
  <c r="BZ492" i="2" s="1"/>
  <c r="CA345" i="2"/>
  <c r="BV444" i="2"/>
  <c r="BZ444" i="2" s="1"/>
  <c r="CA582" i="2"/>
  <c r="BV159" i="2"/>
  <c r="BZ159" i="2" s="1"/>
  <c r="BV340" i="2"/>
  <c r="BZ340" i="2" s="1"/>
  <c r="BV164" i="2"/>
  <c r="BZ164" i="2" s="1"/>
  <c r="BV330" i="2"/>
  <c r="BZ330" i="2" s="1"/>
  <c r="BV483" i="2"/>
  <c r="BZ483" i="2" s="1"/>
  <c r="BV481" i="2"/>
  <c r="BZ481" i="2" s="1"/>
  <c r="CA667" i="2"/>
  <c r="BV544" i="2"/>
  <c r="BZ544" i="2" s="1"/>
  <c r="CA36" i="2"/>
  <c r="BV123" i="2"/>
  <c r="BZ123" i="2" s="1"/>
  <c r="BV722" i="2"/>
  <c r="BZ722" i="2" s="1"/>
  <c r="BV534" i="2"/>
  <c r="BZ534" i="2" s="1"/>
  <c r="BV538" i="2"/>
  <c r="BZ538" i="2" s="1"/>
  <c r="CA135" i="2"/>
  <c r="CA77" i="2"/>
  <c r="CA124" i="2"/>
  <c r="BV18" i="2"/>
  <c r="BZ18" i="2" s="1"/>
  <c r="BV617" i="2"/>
  <c r="BZ617" i="2" s="1"/>
  <c r="BV266" i="2"/>
  <c r="BZ266" i="2" s="1"/>
  <c r="CA583" i="2"/>
  <c r="BV189" i="2"/>
  <c r="BZ189" i="2" s="1"/>
  <c r="BV806" i="2"/>
  <c r="CA596" i="2"/>
  <c r="BV13" i="2"/>
  <c r="BZ13" i="2" s="1"/>
  <c r="BV12" i="2"/>
  <c r="BZ12" i="2" s="1"/>
  <c r="BV505" i="2"/>
  <c r="BZ505" i="2" s="1"/>
  <c r="BV105" i="2"/>
  <c r="BZ105" i="2" s="1"/>
  <c r="BV626" i="2"/>
  <c r="BZ626" i="2" s="1"/>
  <c r="BV376" i="2"/>
  <c r="BZ376" i="2" s="1"/>
  <c r="BV453" i="2"/>
  <c r="BZ453" i="2" s="1"/>
  <c r="BV302" i="2"/>
  <c r="BZ302" i="2" s="1"/>
  <c r="BV587" i="2"/>
  <c r="BZ587" i="2" s="1"/>
  <c r="BV272" i="2"/>
  <c r="BZ272" i="2" s="1"/>
  <c r="BV293" i="2"/>
  <c r="BV333" i="2"/>
  <c r="BZ333" i="2" s="1"/>
  <c r="BV74" i="2"/>
  <c r="BZ74" i="2" s="1"/>
  <c r="N8" i="1"/>
  <c r="CA503" i="2"/>
  <c r="BV503" i="2"/>
  <c r="BV108" i="2"/>
  <c r="BZ108" i="2" s="1"/>
  <c r="CA108" i="2"/>
  <c r="CA791" i="2"/>
  <c r="BV791" i="2"/>
  <c r="BZ791" i="2" s="1"/>
  <c r="BV144" i="2"/>
  <c r="BZ144" i="2" s="1"/>
  <c r="CA144" i="2"/>
  <c r="BV794" i="2"/>
  <c r="CA794" i="2"/>
  <c r="BV268" i="2"/>
  <c r="CA268" i="2"/>
  <c r="BV494" i="2"/>
  <c r="BZ494" i="2" s="1"/>
  <c r="CA494" i="2"/>
  <c r="BV207" i="2"/>
  <c r="BZ207" i="2" s="1"/>
  <c r="CA207" i="2"/>
  <c r="BV33" i="2"/>
  <c r="BZ33" i="2" s="1"/>
  <c r="CA33" i="2"/>
  <c r="CA366" i="2"/>
  <c r="BV366" i="2"/>
  <c r="BZ366" i="2" s="1"/>
  <c r="CA520" i="2"/>
  <c r="BV520" i="2"/>
  <c r="BZ520" i="2" s="1"/>
  <c r="BV714" i="2"/>
  <c r="BZ714" i="2" s="1"/>
  <c r="CA714" i="2"/>
  <c r="BV460" i="2"/>
  <c r="BZ460" i="2" s="1"/>
  <c r="CA389" i="2"/>
  <c r="BV389" i="2"/>
  <c r="BZ389" i="2" s="1"/>
  <c r="BV713" i="2"/>
  <c r="BZ713" i="2" s="1"/>
  <c r="CA713" i="2"/>
  <c r="CA107" i="2"/>
  <c r="BV107" i="2"/>
  <c r="BZ107" i="2" s="1"/>
  <c r="BV815" i="2"/>
  <c r="CA815" i="2"/>
  <c r="CA664" i="2"/>
  <c r="BV664" i="2"/>
  <c r="BZ664" i="2" s="1"/>
  <c r="BV101" i="2"/>
  <c r="BZ101" i="2" s="1"/>
  <c r="CA382" i="2"/>
  <c r="BV382" i="2"/>
  <c r="BZ382" i="2" s="1"/>
  <c r="BV619" i="2"/>
  <c r="BZ619" i="2" s="1"/>
  <c r="CA619" i="2"/>
  <c r="BV513" i="2"/>
  <c r="BZ513" i="2" s="1"/>
  <c r="CA678" i="2"/>
  <c r="BV678" i="2"/>
  <c r="BZ678" i="2" s="1"/>
  <c r="CA384" i="2"/>
  <c r="BV384" i="2"/>
  <c r="BZ384" i="2" s="1"/>
  <c r="BV682" i="2"/>
  <c r="BZ682" i="2" s="1"/>
  <c r="BV721" i="2"/>
  <c r="BZ721" i="2" s="1"/>
  <c r="BV660" i="2"/>
  <c r="BZ660" i="2" s="1"/>
  <c r="CA417" i="2"/>
  <c r="BV417" i="2"/>
  <c r="BZ417" i="2" s="1"/>
  <c r="BV588" i="2"/>
  <c r="BV701" i="2"/>
  <c r="BZ701" i="2" s="1"/>
  <c r="CA814" i="2"/>
  <c r="BV289" i="2"/>
  <c r="BZ289" i="2" s="1"/>
  <c r="BV120" i="2"/>
  <c r="BZ120" i="2" s="1"/>
  <c r="BV45" i="2"/>
  <c r="BZ45" i="2" s="1"/>
  <c r="BV86" i="2"/>
  <c r="BZ86" i="2" s="1"/>
  <c r="BV60" i="2"/>
  <c r="BZ60" i="2" s="1"/>
  <c r="CA60" i="2"/>
  <c r="BV66" i="2"/>
  <c r="BZ66" i="2" s="1"/>
  <c r="CA66" i="2"/>
  <c r="BV19" i="2"/>
  <c r="BZ19" i="2" s="1"/>
  <c r="BV450" i="2"/>
  <c r="BZ450" i="2" s="1"/>
  <c r="CA734" i="2"/>
  <c r="BV387" i="2"/>
  <c r="BZ387" i="2" s="1"/>
  <c r="CA387" i="2"/>
  <c r="BV445" i="2"/>
  <c r="CA445" i="2"/>
  <c r="BV525" i="2"/>
  <c r="BZ525" i="2" s="1"/>
  <c r="BV94" i="2"/>
  <c r="BZ94" i="2" s="1"/>
  <c r="BV2" i="2"/>
  <c r="BZ2" i="2" s="1"/>
  <c r="BV142" i="2"/>
  <c r="BZ142" i="2" s="1"/>
  <c r="BV235" i="2"/>
  <c r="BZ235" i="2" s="1"/>
  <c r="CA235" i="2"/>
  <c r="BV309" i="2"/>
  <c r="BZ309" i="2" s="1"/>
  <c r="BV568" i="2"/>
  <c r="BV188" i="2"/>
  <c r="BZ188" i="2" s="1"/>
  <c r="CA188" i="2"/>
  <c r="BV294" i="2"/>
  <c r="CA294" i="2"/>
  <c r="CA740" i="2"/>
  <c r="BV740" i="2"/>
  <c r="BZ740" i="2" s="1"/>
  <c r="BV434" i="2"/>
  <c r="BZ434" i="2" s="1"/>
  <c r="CA760" i="2"/>
  <c r="BV760" i="2"/>
  <c r="BZ760" i="2" s="1"/>
  <c r="BV238" i="2"/>
  <c r="BZ238" i="2" s="1"/>
  <c r="BV783" i="2"/>
  <c r="BZ783" i="2" s="1"/>
  <c r="CA567" i="2"/>
  <c r="CA536" i="2"/>
  <c r="BV157" i="2"/>
  <c r="BZ157" i="2" s="1"/>
  <c r="BV141" i="2"/>
  <c r="BZ141" i="2" s="1"/>
  <c r="BV646" i="2"/>
  <c r="BZ646" i="2" s="1"/>
  <c r="CA646" i="2"/>
  <c r="CA800" i="2"/>
  <c r="BV800" i="2"/>
  <c r="CA91" i="2"/>
  <c r="BV91" i="2"/>
  <c r="BZ91" i="2" s="1"/>
  <c r="CA586" i="2"/>
  <c r="BV681" i="2"/>
  <c r="BZ681" i="2" s="1"/>
  <c r="BV497" i="2"/>
  <c r="BZ497" i="2" s="1"/>
  <c r="CA674" i="2"/>
  <c r="BV319" i="2"/>
  <c r="BZ319" i="2" s="1"/>
  <c r="BV766" i="2"/>
  <c r="BZ766" i="2" s="1"/>
  <c r="CA732" i="2"/>
  <c r="BV403" i="2"/>
  <c r="BZ403" i="2" s="1"/>
  <c r="BV500" i="2"/>
  <c r="BZ500" i="2" s="1"/>
  <c r="BV306" i="2"/>
  <c r="BZ306" i="2" s="1"/>
  <c r="BV401" i="2"/>
  <c r="BZ401" i="2" s="1"/>
  <c r="BV201" i="2"/>
  <c r="BZ201" i="2" s="1"/>
  <c r="BV431" i="2"/>
  <c r="BZ431" i="2" s="1"/>
  <c r="BV52" i="2"/>
  <c r="BZ52" i="2" s="1"/>
  <c r="BV6" i="2"/>
  <c r="BZ6" i="2" s="1"/>
  <c r="BV255" i="2"/>
  <c r="BZ255" i="2" s="1"/>
  <c r="BV138" i="2"/>
  <c r="BZ138" i="2" s="1"/>
  <c r="BV116" i="2"/>
  <c r="BV408" i="2"/>
  <c r="BZ408" i="2" s="1"/>
  <c r="CA408" i="2"/>
  <c r="CA692" i="2"/>
  <c r="CA507" i="2"/>
  <c r="BV507" i="2"/>
  <c r="BZ507" i="2" s="1"/>
  <c r="CA752" i="2"/>
  <c r="BV547" i="2"/>
  <c r="BZ547" i="2" s="1"/>
  <c r="BV457" i="2"/>
  <c r="BZ457" i="2" s="1"/>
  <c r="BV308" i="2"/>
  <c r="BZ308" i="2" s="1"/>
  <c r="CA104" i="2"/>
  <c r="CA828" i="2"/>
  <c r="BV828" i="2"/>
  <c r="BZ828" i="2" s="1"/>
  <c r="BV399" i="2"/>
  <c r="BZ399" i="2" s="1"/>
  <c r="CA399" i="2"/>
  <c r="BV174" i="2"/>
  <c r="BZ174" i="2" s="1"/>
  <c r="CA700" i="2"/>
  <c r="BV700" i="2"/>
  <c r="BZ700" i="2" s="1"/>
  <c r="CA373" i="2"/>
  <c r="BV373" i="2"/>
  <c r="BZ373" i="2" s="1"/>
  <c r="BV113" i="2"/>
  <c r="BZ113" i="2" s="1"/>
  <c r="CA639" i="2"/>
  <c r="BV639" i="2"/>
  <c r="BZ639" i="2" s="1"/>
  <c r="BV665" i="2"/>
  <c r="BZ665" i="2" s="1"/>
  <c r="CA665" i="2"/>
  <c r="CA716" i="2"/>
  <c r="BV716" i="2"/>
  <c r="BZ716" i="2" s="1"/>
  <c r="CA537" i="2"/>
  <c r="BV537" i="2"/>
  <c r="BV468" i="2"/>
  <c r="BZ468" i="2" s="1"/>
  <c r="CA468" i="2"/>
  <c r="BV645" i="2"/>
  <c r="BZ645" i="2" s="1"/>
  <c r="CA645" i="2"/>
  <c r="BV290" i="2"/>
  <c r="BZ290" i="2" s="1"/>
  <c r="CA290" i="2"/>
  <c r="BV377" i="2"/>
  <c r="BZ377" i="2" s="1"/>
  <c r="CA377" i="2"/>
  <c r="BV236" i="2"/>
  <c r="BZ236" i="2" s="1"/>
  <c r="CA236" i="2"/>
  <c r="BV364" i="2"/>
  <c r="BZ364" i="2" s="1"/>
  <c r="CA364" i="2"/>
  <c r="BV257" i="2"/>
  <c r="BZ257" i="2" s="1"/>
  <c r="CA257" i="2"/>
  <c r="BV149" i="2"/>
  <c r="BZ149" i="2" s="1"/>
  <c r="CA149" i="2"/>
  <c r="BV412" i="2"/>
  <c r="BZ412" i="2" s="1"/>
  <c r="CA412" i="2"/>
  <c r="CA134" i="2"/>
  <c r="BV134" i="2"/>
  <c r="BZ134" i="2" s="1"/>
  <c r="CA470" i="2"/>
  <c r="BV470" i="2"/>
  <c r="BZ470" i="2" s="1"/>
  <c r="CA70" i="2"/>
  <c r="BV70" i="2"/>
  <c r="BZ70" i="2" s="1"/>
  <c r="CA73" i="2"/>
  <c r="BV73" i="2"/>
  <c r="BZ73" i="2" s="1"/>
  <c r="BV85" i="2"/>
  <c r="BZ85" i="2" s="1"/>
  <c r="CA85" i="2"/>
  <c r="BV158" i="2"/>
  <c r="BZ158" i="2" s="1"/>
  <c r="CA158" i="2"/>
  <c r="CA89" i="2"/>
  <c r="BV89" i="2"/>
  <c r="BZ89" i="2" s="1"/>
  <c r="CA656" i="2"/>
  <c r="BV656" i="2"/>
  <c r="CA677" i="2"/>
  <c r="BV677" i="2"/>
  <c r="BZ677" i="2" s="1"/>
  <c r="BV446" i="2"/>
  <c r="BZ446" i="2" s="1"/>
  <c r="CA446" i="2"/>
  <c r="CA410" i="2"/>
  <c r="BV410" i="2"/>
  <c r="BZ410" i="2" s="1"/>
  <c r="CA648" i="2"/>
  <c r="BV648" i="2"/>
  <c r="BZ648" i="2" s="1"/>
  <c r="BV518" i="2"/>
  <c r="BZ518" i="2" s="1"/>
  <c r="CA518" i="2"/>
  <c r="BV318" i="2"/>
  <c r="BZ318" i="2" s="1"/>
  <c r="CA318" i="2"/>
  <c r="CA383" i="2"/>
  <c r="BV383" i="2"/>
  <c r="BZ383" i="2" s="1"/>
  <c r="CA498" i="2"/>
  <c r="BV498" i="2"/>
  <c r="BZ498" i="2" s="1"/>
  <c r="CA311" i="2"/>
  <c r="BV311" i="2"/>
  <c r="BZ311" i="2" s="1"/>
  <c r="BV47" i="2"/>
  <c r="BZ47" i="2" s="1"/>
  <c r="CA47" i="2"/>
  <c r="CA524" i="2"/>
  <c r="BV524" i="2"/>
  <c r="BZ524" i="2" s="1"/>
  <c r="BV99" i="2"/>
  <c r="BZ99" i="2" s="1"/>
  <c r="CA99" i="2"/>
  <c r="CA95" i="2"/>
  <c r="BV95" i="2"/>
  <c r="BZ95" i="2" s="1"/>
  <c r="CA198" i="2"/>
  <c r="BV198" i="2"/>
  <c r="BZ198" i="2" s="1"/>
  <c r="CA220" i="2"/>
  <c r="BV220" i="2"/>
  <c r="BZ220" i="2" s="1"/>
  <c r="CA131" i="2"/>
  <c r="BV131" i="2"/>
  <c r="BZ131" i="2" s="1"/>
  <c r="CA35" i="2"/>
  <c r="BV35" i="2"/>
  <c r="BZ35" i="2" s="1"/>
  <c r="BV48" i="2"/>
  <c r="BZ48" i="2" s="1"/>
  <c r="CA48" i="2"/>
  <c r="CA180" i="2"/>
  <c r="BV180" i="2"/>
  <c r="BZ180" i="2" s="1"/>
  <c r="CA589" i="2"/>
  <c r="BV589" i="2"/>
  <c r="BZ589" i="2" s="1"/>
  <c r="CA724" i="2"/>
  <c r="BV724" i="2"/>
  <c r="BZ724" i="2" s="1"/>
  <c r="CA628" i="2"/>
  <c r="BV628" i="2"/>
  <c r="BZ628" i="2" s="1"/>
  <c r="BV429" i="2"/>
  <c r="BZ429" i="2" s="1"/>
  <c r="CA429" i="2"/>
  <c r="CA570" i="2"/>
  <c r="BV570" i="2"/>
  <c r="BV425" i="2"/>
  <c r="BZ425" i="2" s="1"/>
  <c r="CA425" i="2"/>
  <c r="BV354" i="2"/>
  <c r="BZ354" i="2" s="1"/>
  <c r="CA354" i="2"/>
  <c r="CA338" i="2"/>
  <c r="BV338" i="2"/>
  <c r="BZ338" i="2" s="1"/>
  <c r="BV603" i="2"/>
  <c r="BZ603" i="2" s="1"/>
  <c r="CA603" i="2"/>
  <c r="BV27" i="2"/>
  <c r="BZ27" i="2" s="1"/>
  <c r="CA27" i="2"/>
  <c r="BV204" i="2"/>
  <c r="BZ204" i="2" s="1"/>
  <c r="CA204" i="2"/>
  <c r="BV388" i="2"/>
  <c r="BZ388" i="2" s="1"/>
  <c r="CA388" i="2"/>
  <c r="BV243" i="2"/>
  <c r="BZ243" i="2" s="1"/>
  <c r="CA243" i="2"/>
  <c r="BV119" i="2"/>
  <c r="BZ119" i="2" s="1"/>
  <c r="CA119" i="2"/>
  <c r="CA173" i="2"/>
  <c r="BV173" i="2"/>
  <c r="BZ173" i="2" s="1"/>
  <c r="CA55" i="2"/>
  <c r="BV55" i="2"/>
  <c r="BZ55" i="2" s="1"/>
  <c r="BV24" i="2"/>
  <c r="BZ24" i="2" s="1"/>
  <c r="CA24" i="2"/>
  <c r="BV21" i="2"/>
  <c r="BZ21" i="2" s="1"/>
  <c r="CA21" i="2"/>
  <c r="CA484" i="2"/>
  <c r="BV484" i="2"/>
  <c r="BZ484" i="2" s="1"/>
  <c r="CA770" i="2"/>
  <c r="BV770" i="2"/>
  <c r="BZ770" i="2" s="1"/>
  <c r="BV341" i="2"/>
  <c r="BZ341" i="2" s="1"/>
  <c r="CA341" i="2"/>
  <c r="CA532" i="2"/>
  <c r="BV532" i="2"/>
  <c r="BZ532" i="2" s="1"/>
  <c r="CA240" i="2"/>
  <c r="BV240" i="2"/>
  <c r="BZ240" i="2" s="1"/>
  <c r="CA166" i="2"/>
  <c r="BV166" i="2"/>
  <c r="BZ166" i="2" s="1"/>
  <c r="CA322" i="2"/>
  <c r="BV322" i="2"/>
  <c r="BZ322" i="2" s="1"/>
  <c r="BV416" i="2"/>
  <c r="BZ416" i="2" s="1"/>
  <c r="CA416" i="2"/>
  <c r="BV331" i="2"/>
  <c r="BZ331" i="2" s="1"/>
  <c r="CA331" i="2"/>
  <c r="CA636" i="2"/>
  <c r="BV636" i="2"/>
  <c r="BZ636" i="2" s="1"/>
  <c r="BV466" i="2"/>
  <c r="CA466" i="2"/>
  <c r="BV7" i="2"/>
  <c r="BZ7" i="2" s="1"/>
  <c r="CA7" i="2"/>
  <c r="CA789" i="2"/>
  <c r="BV789" i="2"/>
  <c r="BZ789" i="2" s="1"/>
  <c r="BV436" i="2"/>
  <c r="BZ436" i="2" s="1"/>
  <c r="CA436" i="2"/>
  <c r="BV14" i="2"/>
  <c r="CA14" i="2"/>
  <c r="CA112" i="2"/>
  <c r="BV112" i="2"/>
  <c r="BZ112" i="2" s="1"/>
  <c r="CA729" i="2"/>
  <c r="BV729" i="2"/>
  <c r="BZ729" i="2" s="1"/>
  <c r="CA541" i="2"/>
  <c r="BV541" i="2"/>
  <c r="BV256" i="2"/>
  <c r="BZ256" i="2" s="1"/>
  <c r="CA256" i="2"/>
  <c r="BV594" i="2"/>
  <c r="BZ594" i="2" s="1"/>
  <c r="CA594" i="2"/>
  <c r="BV361" i="2"/>
  <c r="BZ361" i="2" s="1"/>
  <c r="CA361" i="2"/>
  <c r="BV145" i="2"/>
  <c r="BZ145" i="2" s="1"/>
  <c r="CA145" i="2"/>
  <c r="BV178" i="2"/>
  <c r="BZ178" i="2" s="1"/>
  <c r="CA178" i="2"/>
  <c r="BV61" i="2"/>
  <c r="BZ61" i="2" s="1"/>
  <c r="CA61" i="2"/>
  <c r="CA15" i="2"/>
  <c r="BV15" i="2"/>
  <c r="BZ15" i="2" s="1"/>
  <c r="BV125" i="2"/>
  <c r="BZ125" i="2" s="1"/>
  <c r="CA125" i="2"/>
  <c r="BV496" i="2"/>
  <c r="BZ496" i="2" s="1"/>
  <c r="CA496" i="2"/>
  <c r="CA750" i="2"/>
  <c r="BV750" i="2"/>
  <c r="BZ750" i="2" s="1"/>
  <c r="CA769" i="2"/>
  <c r="BV769" i="2"/>
  <c r="BZ769" i="2" s="1"/>
  <c r="BV604" i="2"/>
  <c r="BZ604" i="2" s="1"/>
  <c r="CA604" i="2"/>
  <c r="BV632" i="2"/>
  <c r="BZ632" i="2" s="1"/>
  <c r="CA632" i="2"/>
  <c r="CA737" i="2"/>
  <c r="BV737" i="2"/>
  <c r="BZ737" i="2" s="1"/>
  <c r="CA590" i="2"/>
  <c r="BV590" i="2"/>
  <c r="BZ590" i="2" s="1"/>
  <c r="BV395" i="2"/>
  <c r="BZ395" i="2" s="1"/>
  <c r="CA395" i="2"/>
  <c r="BV328" i="2"/>
  <c r="BZ328" i="2" s="1"/>
  <c r="CA328" i="2"/>
  <c r="BV506" i="2"/>
  <c r="BZ506" i="2" s="1"/>
  <c r="CA506" i="2"/>
  <c r="CA451" i="2"/>
  <c r="BV451" i="2"/>
  <c r="BZ451" i="2" s="1"/>
  <c r="CA427" i="2"/>
  <c r="BV427" i="2"/>
  <c r="BZ427" i="2" s="1"/>
  <c r="CA153" i="2"/>
  <c r="BV153" i="2"/>
  <c r="BZ153" i="2" s="1"/>
  <c r="BV250" i="2"/>
  <c r="BZ250" i="2" s="1"/>
  <c r="CA250" i="2"/>
  <c r="CA452" i="2"/>
  <c r="BV452" i="2"/>
  <c r="BZ452" i="2" s="1"/>
  <c r="CA313" i="2"/>
  <c r="BV313" i="2"/>
  <c r="BZ313" i="2" s="1"/>
  <c r="BV109" i="2"/>
  <c r="BZ109" i="2" s="1"/>
  <c r="CA109" i="2"/>
  <c r="CA499" i="2"/>
  <c r="BV499" i="2"/>
  <c r="BZ499" i="2" s="1"/>
  <c r="CA16" i="2"/>
  <c r="BV16" i="2"/>
  <c r="BZ16" i="2" s="1"/>
  <c r="CA621" i="2"/>
  <c r="BV621" i="2"/>
  <c r="BZ621" i="2" s="1"/>
  <c r="CA253" i="2"/>
  <c r="BV253" i="2"/>
  <c r="BZ253" i="2" s="1"/>
  <c r="CA267" i="2"/>
  <c r="BV267" i="2"/>
  <c r="BZ267" i="2" s="1"/>
  <c r="BV297" i="2"/>
  <c r="BZ297" i="2" s="1"/>
  <c r="CA297" i="2"/>
  <c r="BV246" i="2"/>
  <c r="BZ246" i="2" s="1"/>
  <c r="CA246" i="2"/>
  <c r="CA117" i="2"/>
  <c r="BV117" i="2"/>
  <c r="BZ117" i="2" s="1"/>
  <c r="BV371" i="2"/>
  <c r="BZ371" i="2" s="1"/>
  <c r="CA371" i="2"/>
  <c r="BV78" i="2"/>
  <c r="BZ78" i="2" s="1"/>
  <c r="CA78" i="2"/>
  <c r="BV785" i="2"/>
  <c r="BZ785" i="2" s="1"/>
  <c r="CA785" i="2"/>
  <c r="CA448" i="2"/>
  <c r="BV448" i="2"/>
  <c r="BZ448" i="2" s="1"/>
  <c r="BV139" i="2"/>
  <c r="BZ139" i="2" s="1"/>
  <c r="CA139" i="2"/>
  <c r="CA299" i="2"/>
  <c r="BV299" i="2"/>
  <c r="BZ299" i="2" s="1"/>
  <c r="BV214" i="2"/>
  <c r="BZ214" i="2" s="1"/>
  <c r="CA214" i="2"/>
  <c r="CA96" i="2"/>
  <c r="BV96" i="2"/>
  <c r="BZ96" i="2" s="1"/>
  <c r="CA3" i="2"/>
  <c r="BV3" i="2"/>
  <c r="BZ3" i="2" s="1"/>
  <c r="BV88" i="2"/>
  <c r="BZ88" i="2" s="1"/>
  <c r="CA88" i="2"/>
  <c r="CA663" i="2"/>
  <c r="BV663" i="2"/>
  <c r="BZ663" i="2" s="1"/>
  <c r="BV563" i="2"/>
  <c r="BZ563" i="2" s="1"/>
  <c r="CA563" i="2"/>
  <c r="CA579" i="2"/>
  <c r="BV579" i="2"/>
  <c r="BZ579" i="2" s="1"/>
  <c r="CA696" i="2"/>
  <c r="BV696" i="2"/>
  <c r="BZ696" i="2" s="1"/>
  <c r="BV402" i="2"/>
  <c r="BZ402" i="2" s="1"/>
  <c r="CA402" i="2"/>
  <c r="CA42" i="2"/>
  <c r="BV42" i="2"/>
  <c r="BZ42" i="2" s="1"/>
  <c r="CA609" i="2"/>
  <c r="BV609" i="2"/>
  <c r="CA517" i="2"/>
  <c r="BV517" i="2"/>
  <c r="BZ517" i="2" s="1"/>
  <c r="BV495" i="2"/>
  <c r="BZ495" i="2" s="1"/>
  <c r="CA495" i="2"/>
  <c r="BV197" i="2"/>
  <c r="BZ197" i="2" s="1"/>
  <c r="CA197" i="2"/>
  <c r="BV542" i="2"/>
  <c r="CA542" i="2"/>
  <c r="BV375" i="2"/>
  <c r="CA375" i="2"/>
  <c r="CA784" i="2"/>
  <c r="BV784" i="2"/>
  <c r="BZ784" i="2" s="1"/>
  <c r="BV337" i="2"/>
  <c r="BZ337" i="2" s="1"/>
  <c r="CA337" i="2"/>
  <c r="BV635" i="2"/>
  <c r="BZ635" i="2" s="1"/>
  <c r="CA635" i="2"/>
  <c r="CA193" i="2"/>
  <c r="BV193" i="2"/>
  <c r="BZ193" i="2" s="1"/>
  <c r="CA670" i="2"/>
  <c r="BV670" i="2"/>
  <c r="BZ670" i="2" s="1"/>
  <c r="CA756" i="2"/>
  <c r="BV756" i="2"/>
  <c r="BZ756" i="2" s="1"/>
  <c r="BV574" i="2"/>
  <c r="CA574" i="2"/>
  <c r="BV358" i="2"/>
  <c r="BZ358" i="2" s="1"/>
  <c r="CA358" i="2"/>
  <c r="BV320" i="2"/>
  <c r="BZ320" i="2" s="1"/>
  <c r="CA320" i="2"/>
  <c r="CA430" i="2"/>
  <c r="BV430" i="2"/>
  <c r="BZ430" i="2" s="1"/>
  <c r="CA350" i="2"/>
  <c r="BV350" i="2"/>
  <c r="BZ350" i="2" s="1"/>
  <c r="CA172" i="2"/>
  <c r="BV172" i="2"/>
  <c r="BZ172" i="2" s="1"/>
  <c r="CA472" i="2"/>
  <c r="BV472" i="2"/>
  <c r="BZ472" i="2" s="1"/>
  <c r="CA624" i="2"/>
  <c r="BV624" i="2"/>
  <c r="BZ624" i="2" s="1"/>
  <c r="BV203" i="2"/>
  <c r="BZ203" i="2" s="1"/>
  <c r="CA203" i="2"/>
  <c r="BV72" i="2"/>
  <c r="BZ72" i="2" s="1"/>
  <c r="CA72" i="2"/>
  <c r="BV307" i="2"/>
  <c r="BZ307" i="2" s="1"/>
  <c r="CA307" i="2"/>
  <c r="BV465" i="2"/>
  <c r="BZ465" i="2" s="1"/>
  <c r="CA465" i="2"/>
  <c r="BV11" i="2"/>
  <c r="BZ11" i="2" s="1"/>
  <c r="CA11" i="2"/>
  <c r="CA287" i="2"/>
  <c r="BV287" i="2"/>
  <c r="BV310" i="2"/>
  <c r="BZ310" i="2" s="1"/>
  <c r="CA310" i="2"/>
  <c r="CA597" i="2"/>
  <c r="BV597" i="2"/>
  <c r="BZ597" i="2" s="1"/>
  <c r="BV443" i="2"/>
  <c r="BZ443" i="2" s="1"/>
  <c r="CA443" i="2"/>
  <c r="BV695" i="2"/>
  <c r="BZ695" i="2" s="1"/>
  <c r="CA695" i="2"/>
  <c r="CA486" i="2"/>
  <c r="BV486" i="2"/>
  <c r="BZ486" i="2" s="1"/>
  <c r="CA449" i="2"/>
  <c r="BV449" i="2"/>
  <c r="BZ449" i="2" s="1"/>
  <c r="BV175" i="2"/>
  <c r="BZ175" i="2" s="1"/>
  <c r="CA175" i="2"/>
  <c r="BV283" i="2"/>
  <c r="BZ283" i="2" s="1"/>
  <c r="CA283" i="2"/>
  <c r="BV171" i="2"/>
  <c r="BZ171" i="2" s="1"/>
  <c r="CA171" i="2"/>
  <c r="BV273" i="2"/>
  <c r="BZ273" i="2" s="1"/>
  <c r="CA273" i="2"/>
  <c r="CA390" i="2"/>
  <c r="BV390" i="2"/>
  <c r="BZ390" i="2" s="1"/>
  <c r="BV54" i="2"/>
  <c r="BZ54" i="2" s="1"/>
  <c r="CA54" i="2"/>
  <c r="CA599" i="2"/>
  <c r="BV599" i="2"/>
  <c r="BZ599" i="2" s="1"/>
  <c r="CA709" i="2"/>
  <c r="BV709" i="2"/>
  <c r="BZ709" i="2" s="1"/>
  <c r="CA504" i="2"/>
  <c r="BV504" i="2"/>
  <c r="BV67" i="2"/>
  <c r="BZ67" i="2" s="1"/>
  <c r="CA67" i="2"/>
  <c r="CA559" i="2"/>
  <c r="BV559" i="2"/>
  <c r="BZ559" i="2" s="1"/>
  <c r="BV613" i="2"/>
  <c r="BZ613" i="2" s="1"/>
  <c r="CA613" i="2"/>
  <c r="BV269" i="2"/>
  <c r="BZ269" i="2" s="1"/>
  <c r="CA269" i="2"/>
  <c r="BV276" i="2"/>
  <c r="BZ276" i="2" s="1"/>
  <c r="CA276" i="2"/>
  <c r="CA491" i="2"/>
  <c r="BV491" i="2"/>
  <c r="BZ491" i="2" s="1"/>
  <c r="BV263" i="2"/>
  <c r="BZ263" i="2" s="1"/>
  <c r="CA263" i="2"/>
  <c r="BV8" i="2"/>
  <c r="BZ8" i="2" s="1"/>
  <c r="CA8" i="2"/>
  <c r="BV685" i="2"/>
  <c r="BZ685" i="2" s="1"/>
  <c r="CA685" i="2"/>
  <c r="CA565" i="2"/>
  <c r="BV565" i="2"/>
  <c r="BV226" i="2"/>
  <c r="BZ226" i="2" s="1"/>
  <c r="CA226" i="2"/>
  <c r="BV623" i="2"/>
  <c r="BZ623" i="2" s="1"/>
  <c r="CA623" i="2"/>
  <c r="CA598" i="2"/>
  <c r="BV598" i="2"/>
  <c r="BZ598" i="2" s="1"/>
  <c r="BV233" i="2"/>
  <c r="BZ233" i="2" s="1"/>
  <c r="CA233" i="2"/>
  <c r="CA215" i="2"/>
  <c r="BV215" i="2"/>
  <c r="CA683" i="2"/>
  <c r="BV683" i="2"/>
  <c r="BZ683" i="2" s="1"/>
  <c r="BV755" i="2"/>
  <c r="BZ755" i="2" s="1"/>
  <c r="CA755" i="2"/>
  <c r="BV539" i="2"/>
  <c r="BZ539" i="2" s="1"/>
  <c r="CA539" i="2"/>
  <c r="CA344" i="2"/>
  <c r="BV344" i="2"/>
  <c r="BZ344" i="2" s="1"/>
  <c r="CA152" i="2"/>
  <c r="BV152" i="2"/>
  <c r="BZ152" i="2" s="1"/>
  <c r="CA92" i="2"/>
  <c r="BV92" i="2"/>
  <c r="BZ92" i="2" s="1"/>
  <c r="CA69" i="2"/>
  <c r="BV69" i="2"/>
  <c r="BZ69" i="2" s="1"/>
  <c r="CA676" i="2"/>
  <c r="BV676" i="2"/>
  <c r="BZ676" i="2" s="1"/>
  <c r="BV550" i="2"/>
  <c r="CA550" i="2"/>
  <c r="BV562" i="2"/>
  <c r="CA562" i="2"/>
  <c r="BV475" i="2"/>
  <c r="BZ475" i="2" s="1"/>
  <c r="CA475" i="2"/>
  <c r="CA684" i="2"/>
  <c r="BV684" i="2"/>
  <c r="CA528" i="2"/>
  <c r="BV528" i="2"/>
  <c r="BZ528" i="2" s="1"/>
  <c r="BV608" i="2"/>
  <c r="BZ608" i="2" s="1"/>
  <c r="CA608" i="2"/>
  <c r="BV324" i="2"/>
  <c r="BZ324" i="2" s="1"/>
  <c r="CA324" i="2"/>
  <c r="BV454" i="2"/>
  <c r="BZ454" i="2" s="1"/>
  <c r="CA454" i="2"/>
  <c r="CA162" i="2"/>
  <c r="BV162" i="2"/>
  <c r="BZ162" i="2" s="1"/>
  <c r="BV244" i="2"/>
  <c r="BZ244" i="2" s="1"/>
  <c r="CA244" i="2"/>
  <c r="BV348" i="2"/>
  <c r="BZ348" i="2" s="1"/>
  <c r="CA348" i="2"/>
  <c r="CA192" i="2"/>
  <c r="BV192" i="2"/>
  <c r="BZ192" i="2" s="1"/>
  <c r="CA146" i="2"/>
  <c r="BV146" i="2"/>
  <c r="BZ146" i="2" s="1"/>
  <c r="BV280" i="2"/>
  <c r="BZ280" i="2" s="1"/>
  <c r="CA280" i="2"/>
  <c r="BV223" i="2"/>
  <c r="BZ223" i="2" s="1"/>
  <c r="CA223" i="2"/>
  <c r="CA210" i="2"/>
  <c r="BV210" i="2"/>
  <c r="BZ210" i="2" s="1"/>
  <c r="CA409" i="2"/>
  <c r="BV409" i="2"/>
  <c r="BZ409" i="2" s="1"/>
  <c r="CA231" i="2"/>
  <c r="BV231" i="2"/>
  <c r="BZ231" i="2" s="1"/>
  <c r="CA561" i="2"/>
  <c r="BV561" i="2"/>
  <c r="BV335" i="2"/>
  <c r="BZ335" i="2" s="1"/>
  <c r="CA335" i="2"/>
  <c r="CA710" i="2"/>
  <c r="BV710" i="2"/>
  <c r="BZ710" i="2" s="1"/>
  <c r="CA556" i="2"/>
  <c r="BV556" i="2"/>
  <c r="BZ556" i="2" s="1"/>
  <c r="CA555" i="2"/>
  <c r="BV555" i="2"/>
  <c r="BZ555" i="2" s="1"/>
  <c r="CA58" i="2"/>
  <c r="BV58" i="2"/>
  <c r="BZ58" i="2" s="1"/>
  <c r="CA690" i="2"/>
  <c r="BV690" i="2"/>
  <c r="BZ690" i="2" s="1"/>
  <c r="BV543" i="2"/>
  <c r="CA543" i="2"/>
  <c r="CA362" i="2"/>
  <c r="BV362" i="2"/>
  <c r="BZ362" i="2" s="1"/>
  <c r="CA650" i="2"/>
  <c r="BV650" i="2"/>
  <c r="BZ650" i="2" s="1"/>
  <c r="BV355" i="2"/>
  <c r="BZ355" i="2" s="1"/>
  <c r="CA355" i="2"/>
  <c r="BV274" i="2"/>
  <c r="CA274" i="2"/>
  <c r="CA168" i="2"/>
  <c r="BV168" i="2"/>
  <c r="BZ168" i="2" s="1"/>
  <c r="CA160" i="2"/>
  <c r="BV160" i="2"/>
  <c r="BZ160" i="2" s="1"/>
  <c r="CA585" i="2"/>
  <c r="BV585" i="2"/>
  <c r="BV575" i="2"/>
  <c r="CA575" i="2"/>
  <c r="CA519" i="2"/>
  <c r="BV519" i="2"/>
  <c r="BZ519" i="2" s="1"/>
  <c r="BV745" i="2"/>
  <c r="CA745" i="2"/>
  <c r="CA432" i="2"/>
  <c r="BV432" i="2"/>
  <c r="BZ432" i="2" s="1"/>
  <c r="BV304" i="2"/>
  <c r="BZ304" i="2" s="1"/>
  <c r="CA304" i="2"/>
  <c r="CA252" i="2"/>
  <c r="BV252" i="2"/>
  <c r="BZ252" i="2" s="1"/>
  <c r="CA808" i="2"/>
  <c r="BV808" i="2"/>
  <c r="CA578" i="2"/>
  <c r="BV578" i="2"/>
  <c r="BZ578" i="2" s="1"/>
  <c r="BV368" i="2"/>
  <c r="BZ368" i="2" s="1"/>
  <c r="CA368" i="2"/>
  <c r="BV374" i="2"/>
  <c r="CA374" i="2"/>
  <c r="CA788" i="2"/>
  <c r="BV788" i="2"/>
  <c r="BZ788" i="2" s="1"/>
  <c r="CA768" i="2"/>
  <c r="BV768" i="2"/>
  <c r="BZ768" i="2" s="1"/>
  <c r="CA649" i="2"/>
  <c r="BV649" i="2"/>
  <c r="BZ649" i="2" s="1"/>
  <c r="BV529" i="2"/>
  <c r="BZ529" i="2" s="1"/>
  <c r="CA529" i="2"/>
  <c r="BV435" i="2"/>
  <c r="BZ435" i="2" s="1"/>
  <c r="CA435" i="2"/>
  <c r="BV765" i="2"/>
  <c r="BZ765" i="2" s="1"/>
  <c r="CA765" i="2"/>
  <c r="CA523" i="2"/>
  <c r="BV523" i="2"/>
  <c r="BZ523" i="2" s="1"/>
  <c r="BV277" i="2"/>
  <c r="BZ277" i="2" s="1"/>
  <c r="CA277" i="2"/>
  <c r="CA411" i="2"/>
  <c r="BV411" i="2"/>
  <c r="BZ411" i="2" s="1"/>
  <c r="BV381" i="2"/>
  <c r="CA381" i="2"/>
  <c r="BV148" i="2"/>
  <c r="BZ148" i="2" s="1"/>
  <c r="CA148" i="2"/>
  <c r="BV462" i="2"/>
  <c r="BZ462" i="2" s="1"/>
  <c r="CA462" i="2"/>
  <c r="CA150" i="2"/>
  <c r="BV150" i="2"/>
  <c r="BZ150" i="2" s="1"/>
  <c r="BV167" i="2"/>
  <c r="BZ167" i="2" s="1"/>
  <c r="CA167" i="2"/>
  <c r="CA50" i="2"/>
  <c r="BV50" i="2"/>
  <c r="BZ50" i="2" s="1"/>
  <c r="BV394" i="2"/>
  <c r="BZ394" i="2" s="1"/>
  <c r="CA394" i="2"/>
  <c r="BV216" i="2"/>
  <c r="BZ216" i="2" s="1"/>
  <c r="CA216" i="2"/>
  <c r="CA194" i="2"/>
  <c r="BV194" i="2"/>
  <c r="BZ194" i="2" s="1"/>
  <c r="BV735" i="2"/>
  <c r="BZ735" i="2" s="1"/>
  <c r="CA735" i="2"/>
  <c r="CA730" i="2"/>
  <c r="BV730" i="2"/>
  <c r="BZ730" i="2" s="1"/>
  <c r="CA428" i="2"/>
  <c r="BV428" i="2"/>
  <c r="BZ428" i="2" s="1"/>
  <c r="BV442" i="2"/>
  <c r="BZ442" i="2" s="1"/>
  <c r="CA442" i="2"/>
  <c r="CA218" i="2"/>
  <c r="BV218" i="2"/>
  <c r="BZ218" i="2" s="1"/>
  <c r="BV106" i="2"/>
  <c r="BZ106" i="2" s="1"/>
  <c r="CA106" i="2"/>
  <c r="CA749" i="2"/>
  <c r="BV749" i="2"/>
  <c r="BV593" i="2"/>
  <c r="BZ593" i="2" s="1"/>
  <c r="CA593" i="2"/>
  <c r="BV321" i="2"/>
  <c r="BZ321" i="2" s="1"/>
  <c r="CA321" i="2"/>
  <c r="CA637" i="2"/>
  <c r="BV637" i="2"/>
  <c r="BZ637" i="2" s="1"/>
  <c r="BV515" i="2"/>
  <c r="BZ515" i="2" s="1"/>
  <c r="CA515" i="2"/>
  <c r="CA199" i="2"/>
  <c r="BV199" i="2"/>
  <c r="BZ199" i="2" s="1"/>
  <c r="BV502" i="2"/>
  <c r="CA502" i="2"/>
  <c r="BV625" i="2"/>
  <c r="BZ625" i="2" s="1"/>
  <c r="CA625" i="2"/>
  <c r="BV129" i="2"/>
  <c r="BZ129" i="2" s="1"/>
  <c r="CA129" i="2"/>
  <c r="BV482" i="2"/>
  <c r="BZ482" i="2" s="1"/>
  <c r="CA482" i="2"/>
  <c r="BV98" i="2"/>
  <c r="BZ98" i="2" s="1"/>
  <c r="CA98" i="2"/>
  <c r="BV237" i="2"/>
  <c r="BZ237" i="2" s="1"/>
  <c r="CA237" i="2"/>
  <c r="BV286" i="2"/>
  <c r="CA286" i="2"/>
  <c r="CA140" i="2"/>
  <c r="BV140" i="2"/>
  <c r="BZ140" i="2" s="1"/>
  <c r="CA316" i="2"/>
  <c r="BV316" i="2"/>
  <c r="BZ316" i="2" s="1"/>
  <c r="BV137" i="2"/>
  <c r="BZ137" i="2" s="1"/>
  <c r="CA137" i="2"/>
  <c r="CA132" i="2"/>
  <c r="BV132" i="2"/>
  <c r="BZ132" i="2" s="1"/>
  <c r="BV41" i="2"/>
  <c r="BZ41" i="2" s="1"/>
  <c r="CA41" i="2"/>
  <c r="CA169" i="2"/>
  <c r="BV169" i="2"/>
  <c r="BZ169" i="2" s="1"/>
  <c r="CA796" i="2"/>
  <c r="BV796" i="2"/>
  <c r="BV715" i="2"/>
  <c r="BZ715" i="2" s="1"/>
  <c r="CA715" i="2"/>
  <c r="CA777" i="2"/>
  <c r="BV777" i="2"/>
  <c r="BZ777" i="2" s="1"/>
  <c r="BV554" i="2"/>
  <c r="BZ554" i="2" s="1"/>
  <c r="CA554" i="2"/>
  <c r="BV68" i="2"/>
  <c r="BZ68" i="2" s="1"/>
  <c r="CA68" i="2"/>
  <c r="CA790" i="2"/>
  <c r="BV790" i="2"/>
  <c r="BZ790" i="2" s="1"/>
  <c r="BV367" i="2"/>
  <c r="BZ367" i="2" s="1"/>
  <c r="CA367" i="2"/>
  <c r="CA111" i="2"/>
  <c r="BV111" i="2"/>
  <c r="BZ111" i="2" s="1"/>
  <c r="CA776" i="2"/>
  <c r="BV776" i="2"/>
  <c r="BZ776" i="2" s="1"/>
  <c r="BV184" i="2"/>
  <c r="BZ184" i="2" s="1"/>
  <c r="CA184" i="2"/>
  <c r="BV34" i="2"/>
  <c r="BZ34" i="2" s="1"/>
  <c r="CA34" i="2"/>
  <c r="CA618" i="2"/>
  <c r="BV618" i="2"/>
  <c r="BZ618" i="2" s="1"/>
  <c r="CA30" i="2"/>
  <c r="BV30" i="2"/>
  <c r="BZ30" i="2" s="1"/>
  <c r="CA342" i="2"/>
  <c r="BV342" i="2"/>
  <c r="BZ342" i="2" s="1"/>
  <c r="BV643" i="2"/>
  <c r="BZ643" i="2" s="1"/>
  <c r="CA643" i="2"/>
  <c r="CA703" i="2"/>
  <c r="BV703" i="2"/>
  <c r="BZ703" i="2" s="1"/>
  <c r="BV270" i="2"/>
  <c r="BZ270" i="2" s="1"/>
  <c r="CA270" i="2"/>
  <c r="BV217" i="2"/>
  <c r="BZ217" i="2" s="1"/>
  <c r="CA217" i="2"/>
  <c r="BV130" i="2"/>
  <c r="BZ130" i="2" s="1"/>
  <c r="CA130" i="2"/>
  <c r="CA781" i="2"/>
  <c r="BV781" i="2"/>
  <c r="BZ781" i="2" s="1"/>
  <c r="BV522" i="2"/>
  <c r="BZ522" i="2" s="1"/>
  <c r="CA522" i="2"/>
  <c r="BV469" i="2"/>
  <c r="BZ469" i="2" s="1"/>
  <c r="CA469" i="2"/>
  <c r="BV458" i="2"/>
  <c r="BZ458" i="2" s="1"/>
  <c r="CA458" i="2"/>
  <c r="CA669" i="2"/>
  <c r="BV669" i="2"/>
  <c r="BZ669" i="2" s="1"/>
  <c r="CA658" i="2"/>
  <c r="BV658" i="2"/>
  <c r="BZ658" i="2" s="1"/>
  <c r="BV347" i="2"/>
  <c r="CA347" i="2"/>
  <c r="BV303" i="2"/>
  <c r="BZ303" i="2" s="1"/>
  <c r="CA303" i="2"/>
  <c r="BV405" i="2"/>
  <c r="BZ405" i="2" s="1"/>
  <c r="CA405" i="2"/>
  <c r="BV463" i="2"/>
  <c r="BZ463" i="2" s="1"/>
  <c r="CA463" i="2"/>
  <c r="CA728" i="2"/>
  <c r="BV728" i="2"/>
  <c r="BZ728" i="2" s="1"/>
  <c r="BV489" i="2"/>
  <c r="BZ489" i="2" s="1"/>
  <c r="CA489" i="2"/>
  <c r="BV805" i="2"/>
  <c r="CA805" i="2"/>
  <c r="CA610" i="2"/>
  <c r="BV610" i="2"/>
  <c r="BZ610" i="2" s="1"/>
  <c r="CA605" i="2"/>
  <c r="BV605" i="2"/>
  <c r="BZ605" i="2" s="1"/>
  <c r="BV614" i="2"/>
  <c r="BZ614" i="2" s="1"/>
  <c r="CA614" i="2"/>
  <c r="BV516" i="2"/>
  <c r="BZ516" i="2" s="1"/>
  <c r="CA516" i="2"/>
  <c r="BV564" i="2"/>
  <c r="CA564" i="2"/>
  <c r="CA704" i="2"/>
  <c r="BV704" i="2"/>
  <c r="BZ704" i="2" s="1"/>
  <c r="BV612" i="2"/>
  <c r="BZ612" i="2" s="1"/>
  <c r="CA612" i="2"/>
  <c r="BV415" i="2"/>
  <c r="BZ415" i="2" s="1"/>
  <c r="CA415" i="2"/>
  <c r="BV633" i="2"/>
  <c r="BZ633" i="2" s="1"/>
  <c r="CA633" i="2"/>
  <c r="BV118" i="2"/>
  <c r="BZ118" i="2" s="1"/>
  <c r="CA118" i="2"/>
  <c r="BV456" i="2"/>
  <c r="BZ456" i="2" s="1"/>
  <c r="CA456" i="2"/>
  <c r="CA121" i="2"/>
  <c r="BV121" i="2"/>
  <c r="BZ121" i="2" s="1"/>
  <c r="BV165" i="2"/>
  <c r="BZ165" i="2" s="1"/>
  <c r="CA165" i="2"/>
  <c r="CA114" i="2"/>
  <c r="BV114" i="2"/>
  <c r="BZ114" i="2" s="1"/>
  <c r="BV28" i="2"/>
  <c r="BZ28" i="2" s="1"/>
  <c r="CA28" i="2"/>
  <c r="CA744" i="2"/>
  <c r="BV744" i="2"/>
  <c r="BV795" i="2"/>
  <c r="CA795" i="2"/>
  <c r="BV418" i="2"/>
  <c r="BZ418" i="2" s="1"/>
  <c r="CA418" i="2"/>
  <c r="CA80" i="2"/>
  <c r="BV80" i="2"/>
  <c r="BZ80" i="2" s="1"/>
  <c r="BV775" i="2"/>
  <c r="BZ775" i="2" s="1"/>
  <c r="CA775" i="2"/>
  <c r="CA62" i="2"/>
  <c r="BV62" i="2"/>
  <c r="BZ62" i="2" s="1"/>
  <c r="CA801" i="2"/>
  <c r="BV801" i="2"/>
  <c r="CA488" i="2"/>
  <c r="BV488" i="2"/>
  <c r="BZ488" i="2" s="1"/>
  <c r="CA531" i="2"/>
  <c r="BV531" i="2"/>
  <c r="BZ531" i="2" s="1"/>
  <c r="BV334" i="2"/>
  <c r="BZ334" i="2" s="1"/>
  <c r="CA334" i="2"/>
  <c r="BV493" i="2"/>
  <c r="BZ493" i="2" s="1"/>
  <c r="CA493" i="2"/>
  <c r="CA279" i="2"/>
  <c r="BV279" i="2"/>
  <c r="BZ279" i="2" s="1"/>
  <c r="CA205" i="2"/>
  <c r="BV205" i="2"/>
  <c r="BZ205" i="2" s="1"/>
  <c r="CA630" i="2"/>
  <c r="BV630" i="2"/>
  <c r="BZ630" i="2" s="1"/>
  <c r="BV675" i="2"/>
  <c r="BZ675" i="2" s="1"/>
  <c r="CA675" i="2"/>
  <c r="CA558" i="2"/>
  <c r="BV558" i="2"/>
  <c r="BV315" i="2"/>
  <c r="BZ315" i="2" s="1"/>
  <c r="CA315" i="2"/>
  <c r="CA584" i="2"/>
  <c r="BV584" i="2"/>
  <c r="CA190" i="2"/>
  <c r="BV190" i="2"/>
  <c r="BZ190" i="2" s="1"/>
  <c r="CA736" i="2"/>
  <c r="BV736" i="2"/>
  <c r="BZ736" i="2" s="1"/>
  <c r="BV572" i="2"/>
  <c r="CA572" i="2"/>
  <c r="CA510" i="2"/>
  <c r="BV510" i="2"/>
  <c r="BZ510" i="2" s="1"/>
  <c r="CA748" i="2"/>
  <c r="BV748" i="2"/>
  <c r="BV509" i="2"/>
  <c r="BZ509" i="2" s="1"/>
  <c r="CA509" i="2"/>
  <c r="CA689" i="2"/>
  <c r="BV689" i="2"/>
  <c r="BZ689" i="2" s="1"/>
  <c r="CA629" i="2"/>
  <c r="BV629" i="2"/>
  <c r="BZ629" i="2" s="1"/>
  <c r="CA638" i="2"/>
  <c r="BV638" i="2"/>
  <c r="BZ638" i="2" s="1"/>
  <c r="BV659" i="2"/>
  <c r="CA659" i="2"/>
  <c r="CA708" i="2"/>
  <c r="BV708" i="2"/>
  <c r="BZ708" i="2" s="1"/>
  <c r="CA616" i="2"/>
  <c r="BV616" i="2"/>
  <c r="BZ616" i="2" s="1"/>
  <c r="BV725" i="2"/>
  <c r="BZ725" i="2" s="1"/>
  <c r="CA725" i="2"/>
  <c r="CA426" i="2"/>
  <c r="BV426" i="2"/>
  <c r="BZ426" i="2" s="1"/>
  <c r="BV230" i="2"/>
  <c r="BZ230" i="2" s="1"/>
  <c r="CA230" i="2"/>
  <c r="CA380" i="2"/>
  <c r="BV380" i="2"/>
  <c r="BZ380" i="2" s="1"/>
  <c r="BV396" i="2"/>
  <c r="BZ396" i="2" s="1"/>
  <c r="CA396" i="2"/>
  <c r="CA249" i="2"/>
  <c r="BV249" i="2"/>
  <c r="BZ249" i="2" s="1"/>
  <c r="CA329" i="2"/>
  <c r="BV329" i="2"/>
  <c r="BZ329" i="2" s="1"/>
  <c r="CA397" i="2"/>
  <c r="BV397" i="2"/>
  <c r="BZ397" i="2" s="1"/>
  <c r="CA369" i="2"/>
  <c r="BV369" i="2"/>
  <c r="BZ369" i="2" s="1"/>
  <c r="CA93" i="2"/>
  <c r="BV93" i="2"/>
  <c r="BZ93" i="2" s="1"/>
  <c r="BV476" i="2"/>
  <c r="BZ476" i="2" s="1"/>
  <c r="CA476" i="2"/>
  <c r="CA90" i="2"/>
  <c r="BV90" i="2"/>
  <c r="BZ90" i="2" s="1"/>
  <c r="CA278" i="2"/>
  <c r="BV278" i="2"/>
  <c r="BZ278" i="2" s="1"/>
  <c r="CA182" i="2"/>
  <c r="BV182" i="2"/>
  <c r="BZ182" i="2" s="1"/>
  <c r="CA154" i="2"/>
  <c r="BV154" i="2"/>
  <c r="BZ154" i="2" s="1"/>
  <c r="CA9" i="2"/>
  <c r="BV9" i="2"/>
  <c r="BZ9" i="2" s="1"/>
  <c r="K53" i="1" l="1"/>
  <c r="K55" i="1"/>
  <c r="K51" i="1"/>
  <c r="K54" i="1"/>
  <c r="K50" i="1"/>
  <c r="K52" i="1"/>
</calcChain>
</file>

<file path=xl/sharedStrings.xml><?xml version="1.0" encoding="utf-8"?>
<sst xmlns="http://schemas.openxmlformats.org/spreadsheetml/2006/main" count="9521" uniqueCount="795">
  <si>
    <t>CONTROL DIARIO DE PRODUCCIÓN · ENCUADERNACIÓN  ·  Digitación a la BD</t>
  </si>
  <si>
    <t>CABECERA DEL PARTE</t>
  </si>
  <si>
    <t>RESUMEN DEL PARTE</t>
  </si>
  <si>
    <t>Fecha</t>
  </si>
  <si>
    <t>Turno</t>
  </si>
  <si>
    <t>Máquina</t>
  </si>
  <si>
    <t>WILL</t>
  </si>
  <si>
    <t>Horas del turno</t>
  </si>
  <si>
    <t>Hora inicio</t>
  </si>
  <si>
    <t>Hora fin</t>
  </si>
  <si>
    <t>Paradas (h)</t>
  </si>
  <si>
    <t>Maquinista</t>
  </si>
  <si>
    <t>Ayudante</t>
  </si>
  <si>
    <t>Horas produciendo</t>
  </si>
  <si>
    <t>Control calidad</t>
  </si>
  <si>
    <t>Observaciones</t>
  </si>
  <si>
    <t>Horas de las OT (= turno)</t>
  </si>
  <si>
    <t>Cuadernos A + B</t>
  </si>
  <si>
    <t>PRODUCCIÓN   ·   una línea por OT. Hora inicio = cambio de material (la 1.ª OT empieza con el turno)</t>
  </si>
  <si>
    <t>Calidad (A / total)</t>
  </si>
  <si>
    <t>OT</t>
  </si>
  <si>
    <t>Código artículo</t>
  </si>
  <si>
    <t>Hora inicio OT</t>
  </si>
  <si>
    <t>Descripción</t>
  </si>
  <si>
    <t>Familia comercial</t>
  </si>
  <si>
    <t>Familia</t>
  </si>
  <si>
    <t>Producción A</t>
  </si>
  <si>
    <t>Producción B</t>
  </si>
  <si>
    <t>Total</t>
  </si>
  <si>
    <t>Horas OT</t>
  </si>
  <si>
    <t>Merma controlable</t>
  </si>
  <si>
    <t>REPORTE DE PARADAS   ·   hora inicio, hora fin y código. La OT es opcional: si no la pones, va a la OT que corría a esa hora</t>
  </si>
  <si>
    <t>Código parada</t>
  </si>
  <si>
    <t>Tipo de ocurrencia (motivo)</t>
  </si>
  <si>
    <t>Área responsable</t>
  </si>
  <si>
    <t>OT (opcional)</t>
  </si>
  <si>
    <t>Minutos</t>
  </si>
  <si>
    <t>Total (h)</t>
  </si>
  <si>
    <t>MERMAS Y LONJAS   ·   una columna por OT, en el mismo orden de las líneas de producción</t>
  </si>
  <si>
    <t>Concepto</t>
  </si>
  <si>
    <t>N° bobinas</t>
  </si>
  <si>
    <t>Refile (kg)</t>
  </si>
  <si>
    <t>Merma operativa (kg)</t>
  </si>
  <si>
    <t>Lonja operativa (kg)</t>
  </si>
  <si>
    <t>Lonja x bobina defecto (kg)</t>
  </si>
  <si>
    <t>Merma x arranque OT (kg)</t>
  </si>
  <si>
    <t>Tucos (kg)</t>
  </si>
  <si>
    <t>Forros (kg)</t>
  </si>
  <si>
    <t>Papel consumido (kg)</t>
  </si>
  <si>
    <t>ÚLTIMAS FILAS EN BD</t>
  </si>
  <si>
    <t>Fila</t>
  </si>
  <si>
    <t>Producto</t>
  </si>
  <si>
    <t>Cuad. A</t>
  </si>
  <si>
    <t>Estado</t>
  </si>
  <si>
    <t>Hrs máquina (fracción)</t>
  </si>
  <si>
    <t>Prod. A (cuadernos)</t>
  </si>
  <si>
    <t>Prod. B (cuadernos)</t>
  </si>
  <si>
    <t>Peso bruto (kg)</t>
  </si>
  <si>
    <t>Lonja x defecto (kg)</t>
  </si>
  <si>
    <t>Merma x arranque (kg)</t>
  </si>
  <si>
    <t>Forro (kg)</t>
  </si>
  <si>
    <t>Encargado</t>
  </si>
  <si>
    <t>Operador</t>
  </si>
  <si>
    <t>Paradas digitadas</t>
  </si>
  <si>
    <t>Origen</t>
  </si>
  <si>
    <t>Limpieza de máquina por inicio de turno</t>
  </si>
  <si>
    <t>Arreglo - cambio de programa</t>
  </si>
  <si>
    <t>Arreglo - registro de impresión</t>
  </si>
  <si>
    <t>Arreglo - cambio de clisse</t>
  </si>
  <si>
    <t>Arreglo - cuadre de topes</t>
  </si>
  <si>
    <t>Arreglo - cambio de piñón</t>
  </si>
  <si>
    <t>Arreglo - cuadre de engrapadora</t>
  </si>
  <si>
    <t>Arreglo - cuadre de formador de lomo</t>
  </si>
  <si>
    <t>Arreglo - cuadre de boleadora</t>
  </si>
  <si>
    <t>Arreglo - regulación de cuchillas</t>
  </si>
  <si>
    <t>Arreglo - cambio de rodillos de impresión</t>
  </si>
  <si>
    <t>Arreglo - cambio de cuchillas</t>
  </si>
  <si>
    <t>Arreglo - Magbe</t>
  </si>
  <si>
    <t>Limpieza de máquina por fin de turno</t>
  </si>
  <si>
    <t>Refrigerio</t>
  </si>
  <si>
    <t>Arreglo - acumulador de hojas</t>
  </si>
  <si>
    <t>Pruebas de producción / implementaciones</t>
  </si>
  <si>
    <t>Desabastecimiento de material - Logística</t>
  </si>
  <si>
    <t>Mal estado tinta - carátula - sticker - guarda</t>
  </si>
  <si>
    <t>Falta de material</t>
  </si>
  <si>
    <t>No programado</t>
  </si>
  <si>
    <t>Falta de personal</t>
  </si>
  <si>
    <t>Mantenimiento programado</t>
  </si>
  <si>
    <t>Fallas mecánicas</t>
  </si>
  <si>
    <t>Fallas eléctricas</t>
  </si>
  <si>
    <t>Limpieza de bandejas / tinas</t>
  </si>
  <si>
    <t>Cambio de filtros</t>
  </si>
  <si>
    <t>Atoro de refile</t>
  </si>
  <si>
    <t>Acumulación de producto terminado</t>
  </si>
  <si>
    <t>Muestras - pruebas</t>
  </si>
  <si>
    <t>Charlas / reuniones / capacitaciones</t>
  </si>
  <si>
    <t>Limpieza de clisses</t>
  </si>
  <si>
    <t>Otras operaciones</t>
  </si>
  <si>
    <t>MATRICERIA</t>
  </si>
  <si>
    <t>PRODUCCION</t>
  </si>
  <si>
    <t>MANTENIMIENTO</t>
  </si>
  <si>
    <t>CDC</t>
  </si>
  <si>
    <t>Día hábil</t>
  </si>
  <si>
    <t>Vel. estándar (cuad/h)</t>
  </si>
  <si>
    <t>Total cuadernos</t>
  </si>
  <si>
    <t>Horas registradas (h)</t>
  </si>
  <si>
    <t>Horas produciendo (h)</t>
  </si>
  <si>
    <t>Horas efectivas (h)</t>
  </si>
  <si>
    <t>Rendimiento</t>
  </si>
  <si>
    <t>Calidad</t>
  </si>
  <si>
    <t>% merma controlable</t>
  </si>
  <si>
    <t>% merma origen</t>
  </si>
  <si>
    <t>Entra al OEE</t>
  </si>
  <si>
    <t>Dia</t>
  </si>
  <si>
    <t>Arcoiris</t>
  </si>
  <si>
    <t>Cuad.Grap. Cuad. 70 H Arcoíris</t>
  </si>
  <si>
    <t>ORLANDO QUISPE CONDORI</t>
  </si>
  <si>
    <t>Sí</t>
  </si>
  <si>
    <t>Registro de papel</t>
  </si>
  <si>
    <t>Noche</t>
  </si>
  <si>
    <t>JESUS AMBROSIO VELI</t>
  </si>
  <si>
    <t>Registro de papel · turno con 2 productos: horas y paradas repartidas por estándar</t>
  </si>
  <si>
    <t>Cuad.Grap. Ray. 70 H Arcoíris</t>
  </si>
  <si>
    <t>Cuad. Grap.T.Renglón 70 H Arcoíris</t>
  </si>
  <si>
    <t>Falta asignar</t>
  </si>
  <si>
    <t>Cuaderno del Docente Layconsa</t>
  </si>
  <si>
    <t>Layconsa</t>
  </si>
  <si>
    <t>Puppy</t>
  </si>
  <si>
    <t>Cuad. Grap. Cuadr. 80 H. c/marco rojo Layconsa Puppy</t>
  </si>
  <si>
    <t>Cuad. Grap. 1x1 c/mco rojo 80 H. Layconsa Puppy</t>
  </si>
  <si>
    <t>Cuad. Grap. 2x2 c/mco rojo 80 H. Layconsa Puppy</t>
  </si>
  <si>
    <t>Cuad. Grap. Decroly c/mco rojo 80 H. Layconsa Puppy</t>
  </si>
  <si>
    <t>Cuad. Grap. Triple Max c/mco rojo  80 H. Layconsa Puppy</t>
  </si>
  <si>
    <t>Estudiante</t>
  </si>
  <si>
    <t>Cuad. Grap. Cuadric. c/rojo 80H Layconsa Estudiante</t>
  </si>
  <si>
    <t>Cuad. Grap. Cuadric. c/amarillo 80H Layconsa Estudiante</t>
  </si>
  <si>
    <t>Registro de papel · turno con 3 productos: horas y paradas repartidas por estándar</t>
  </si>
  <si>
    <t>Cuad. Grap. Cuadric. c/azul 80H Layconsa Estudiante</t>
  </si>
  <si>
    <t>Cuad. Grap. Cuadric. c/verde 80H Layconsa Estudiante</t>
  </si>
  <si>
    <t>Cuad. Grap. A4 Cuadr. 80 H Layconsa Estudiante</t>
  </si>
  <si>
    <t>Cuad. Grap. A4 Ray. 80H  Layconsa Estudiante</t>
  </si>
  <si>
    <t>Cuad. Grap. A4 Trip.Renglón 80H Layconsa Estudiante</t>
  </si>
  <si>
    <t>Cuad. Grap. Triple raya sur 80H Layconsa Estudiante</t>
  </si>
  <si>
    <t>Cuad. Grap.Triple Reng. sin sombra 80H Layconsa Estudiante</t>
  </si>
  <si>
    <t>Teens 80</t>
  </si>
  <si>
    <t>Cuad. Grap. A-4 Cuadr. 80H  Layconsa Teens</t>
  </si>
  <si>
    <t>Cuad. Grap. A-4 Ray. 80H Layconsa Teens</t>
  </si>
  <si>
    <t>Markin</t>
  </si>
  <si>
    <t>Cuad. Grap. A4 Cuadriculado Lucas Markin 80 Hj</t>
  </si>
  <si>
    <t>Diseño</t>
  </si>
  <si>
    <t>Cuad. Grap. Cuadr. Princess Club Layconsa 80 H</t>
  </si>
  <si>
    <t>Cuad. Grap. Cuadr. Unicornios Layconsa 80 H</t>
  </si>
  <si>
    <t>Cuad. Grap. Cuadr. Dino Attack Layconsa 80 H</t>
  </si>
  <si>
    <t>Cuad. Grap. Cuadr. Potencia Extrema Layconsa 80 H</t>
  </si>
  <si>
    <t>Cuad. Grap. Cuadr. Fast Racer Layconsa 80 H</t>
  </si>
  <si>
    <t>Cuad. Grap. T.R. Caligráfico Fast Racer Layconsa 80 H</t>
  </si>
  <si>
    <t>Cuad. Grap. T.R. Caligráfico Princess Club Layconsa 80 H</t>
  </si>
  <si>
    <t>Cuad. Grap. T.R. Caligráfico Dino Attack Layconsa 80 H.</t>
  </si>
  <si>
    <t>Cuad. Grap. Ray. Princess Club Layconsa 80 H</t>
  </si>
  <si>
    <t>Cuad. Grap. Ray. Unicornios Layconsa 80 H</t>
  </si>
  <si>
    <t>Cuad. Grap. Ray. Potencia Extrema Layconsa 80 H</t>
  </si>
  <si>
    <t>No</t>
  </si>
  <si>
    <t>Registro antiguo sin eventos de máquina: paradas desconocidas</t>
  </si>
  <si>
    <t>Cuad. Grap. Ray. Dino Attack Layconsa 80 H</t>
  </si>
  <si>
    <t>Registro de papel · turno con 4 productos: horas y paradas repartidas por estándar</t>
  </si>
  <si>
    <t>Cuad. Grap. Ray. Fast Racer Layconsa 80 H</t>
  </si>
  <si>
    <t>Cuad. Grap. Ray. Cute Pets Layconsa 80 H</t>
  </si>
  <si>
    <t>Cuad. Grap. Ray. Mandalas Layconsa 80 H</t>
  </si>
  <si>
    <t>Cuad. Grap. Cuadr. Mandalas Layconsa 80 H</t>
  </si>
  <si>
    <t>Cuad. Grap. Cuadr. Cute Pets Layconsa 80 H</t>
  </si>
  <si>
    <t>Cuad. Grap. Cuadr. Kawaii Layconsa 80 H.</t>
  </si>
  <si>
    <t>Cuad. Grap. Cuadr. Sweet Layconsa 80 H</t>
  </si>
  <si>
    <t>Registro de papel · turno con 5 productos: horas y paradas repartidas por estándar</t>
  </si>
  <si>
    <t>Cuad. Grap. Ray. Sweet Layconsa 80 H</t>
  </si>
  <si>
    <t>Cuad. Grap. Ray. Kawaii Layconsa 80 H.</t>
  </si>
  <si>
    <t>Markin Diseño</t>
  </si>
  <si>
    <t>Cuad.Grap. Cuad. 80H Lucas Markin fem. c/sticker</t>
  </si>
  <si>
    <t>Cuad.Grap. Cuad. 80H Lucas Markin masc. c/sticker</t>
  </si>
  <si>
    <t>Cuad.Grap. Ray 80H Lucas Markin masc. c/sticker</t>
  </si>
  <si>
    <t>Cuad.Grap. Ray 80H Lucas Markin fem. c/sticker</t>
  </si>
  <si>
    <t>Cuad.Grap. T. Renglón 80H Lucas Markin masc. c/sticker</t>
  </si>
  <si>
    <t>Cuad.Grap. T. Renglón 80H Lucas Markin fem c/sticker</t>
  </si>
  <si>
    <t>Cuad. Grap. T.R. Caligráfico Unicornios Layconsa 80 H</t>
  </si>
  <si>
    <t>Cuad. Grap. T.R. Caligráfico Cute Pets Layconsa 80 H</t>
  </si>
  <si>
    <t>Cuad. Grap. A4 Rayado Lucas Markin 80 Hj</t>
  </si>
  <si>
    <t>Cuad. Grap. A4 T. Renglón Lucas Markin 80 Hj</t>
  </si>
  <si>
    <t>Convenio</t>
  </si>
  <si>
    <t>Cuad. Grap. Ray. deluxe 92 hj. A4 Layconsa PC</t>
  </si>
  <si>
    <t>Cuad. Grap. Triple Reng. deluxe 92 hj. A4 Layconsa PC</t>
  </si>
  <si>
    <t>Cuad. Grap. T.R. Caligráfico Kawaii Layconsa 80 H.</t>
  </si>
  <si>
    <t>Cuad. Grap. A4 1x1 Lucas Markin 80 Hj</t>
  </si>
  <si>
    <t>Lite 50</t>
  </si>
  <si>
    <t>Cuad. Grap. A-4 Cuadriculado Layconsa Teens 50 Hojas</t>
  </si>
  <si>
    <t>Markin 100</t>
  </si>
  <si>
    <t>Cuad. Grap. T. Renglón Lucas Markin 100 Hj</t>
  </si>
  <si>
    <t>Cuad. Grap. Rayado Lucas Markin 100 Hj</t>
  </si>
  <si>
    <t>Cuad. Grap. Cuadriculado Lucas Markin 100 Hj</t>
  </si>
  <si>
    <t>Papelógrafo Cuadriculado 57 x 83 cm Layconsa</t>
  </si>
  <si>
    <t>Papelógrafo Blanco 57 x 83cm Layconsa</t>
  </si>
  <si>
    <t>Papelógrafo Rayado 57 x 83 cm Layconsa</t>
  </si>
  <si>
    <t>Incompleto</t>
  </si>
  <si>
    <t>Registro antiguo: los eventos suman 10.35 h de un turno de 12.00 h</t>
  </si>
  <si>
    <t>Cuad. Grap. Cuadriculado Deluxe 92 hj. A4 Layconsa PC</t>
  </si>
  <si>
    <t>Hojas Impresa Block Rayado LYC  x 8</t>
  </si>
  <si>
    <t>Hojas Impresa Block Cuadriculado LYC x 8</t>
  </si>
  <si>
    <t>Hojas Impresa Block T. Renglón LYC x 8</t>
  </si>
  <si>
    <t>Cuad.Grap. 1x1 80H Markin fem c/sticker</t>
  </si>
  <si>
    <t>Cuad.Grap. 2x2 80H Lucas Markin fem c/sticker</t>
  </si>
  <si>
    <t>Cuad.Grap. Decroly 80H Lucas Markin fem c/sticker</t>
  </si>
  <si>
    <t>MARCO LUZA HUAMAN</t>
  </si>
  <si>
    <t>Arcoiris Diseño</t>
  </si>
  <si>
    <t>Cuad.Grap. Cuad. 70 H Arcoíris Masculino</t>
  </si>
  <si>
    <t>Cuad.Grap. Ray. 70 H Arcoíris Masculino</t>
  </si>
  <si>
    <t>Cuad.Grap. T. Renglón 70 H Arcoíris Masculino</t>
  </si>
  <si>
    <t>Cuad. Grap. cuadriculado 100 Hj Markin</t>
  </si>
  <si>
    <t>Cuad. Grap. Cuadric. c/celeste 80H Layconsa Estudiante</t>
  </si>
  <si>
    <t>Cuad.Grap. Cuad. 70 H Arcoíris Femenino</t>
  </si>
  <si>
    <t>Cuad.Grap. Ray. 70 H Arcoíris Femenino</t>
  </si>
  <si>
    <t>Cuad.Grap. T. Renglón 70 H Arcoíris Femenino</t>
  </si>
  <si>
    <t>Registro antiguo: los eventos suman 14.00 h de un turno de 12.00 h</t>
  </si>
  <si>
    <t>Cuad. Grap. Cuadric. c/Marrón 80H Layconsa Estudiante</t>
  </si>
  <si>
    <t>Cuad. Grap. Cuadric. c/blanco 80H Layconsa Estudiante</t>
  </si>
  <si>
    <t>Cuad. Grap. Triple renglon calig.  amarillo 80H Layconsa Estudiante</t>
  </si>
  <si>
    <t>Cuaderno grapado deluxe CONA 80 hj. cuadriculado</t>
  </si>
  <si>
    <t>MARCELO VELASQUEZ HUAULLA</t>
  </si>
  <si>
    <t>Registro antiguo: los eventos suman 6.75 h de un turno de 12.00 h</t>
  </si>
  <si>
    <t>Registro antiguo: los eventos suman 10.92 h de un turno de 12.00 h</t>
  </si>
  <si>
    <t>Cuad. Grap. A4 Decroly Lucas Markin 80 Hj</t>
  </si>
  <si>
    <t>Cuad. Grap. Decroly Lucas Markin 100 Hj</t>
  </si>
  <si>
    <t>Cuad. Grap. A4 2x2 Lucas Markin 80 Hj</t>
  </si>
  <si>
    <t>Cuad. Grap. A4 Triple Max Lucas Markin 80 Hj c/sticker</t>
  </si>
  <si>
    <t>Cuad.Grap. Triple Max 80H Lucas Markin fem c/sticker</t>
  </si>
  <si>
    <t>Cuad. Grap. 1X1 Lucas Markin 100 Hj</t>
  </si>
  <si>
    <t>Cuad. Grap. 2X2 Lucas Markin 100 Hj</t>
  </si>
  <si>
    <t>Registro antiguo: los eventos suman 6.67 h de un turno de 12.00 h</t>
  </si>
  <si>
    <t>Cuad. Grap. Triple Max Lucas Markin 100 Hj</t>
  </si>
  <si>
    <t>Cuad.Grap. 1x1 Cuadrimax. 70 H Arcoíris</t>
  </si>
  <si>
    <t>Registro antiguo: los eventos suman 13.00 h de un turno de 12.00 h</t>
  </si>
  <si>
    <t>Registro antiguo: los eventos suman 11.00 h de un turno de 12.00 h</t>
  </si>
  <si>
    <t>Registro antiguo: los eventos suman 6.00 h de un turno de 12.00 h</t>
  </si>
  <si>
    <t>Registro antiguo: los eventos suman 10.00 h de un turno de 12.00 h</t>
  </si>
  <si>
    <t>Registro antiguo: los eventos suman 2.50 h de un turno de 12.00 h</t>
  </si>
  <si>
    <t>Cuad.Grap. 1x1 80H Lucas Markin masc. c/sticker</t>
  </si>
  <si>
    <t>Cuad.Grap. 2x2 80H Lucas Markin masc. c/sticker</t>
  </si>
  <si>
    <t>Registro antiguo: los eventos suman 22.35 h de un turno de 10.35 h</t>
  </si>
  <si>
    <t>Registro antiguo: los eventos suman 12.00 h de un turno de 10.35 h</t>
  </si>
  <si>
    <t>Registro antiguo: los eventos suman 8.00 h de un turno de 10.35 h</t>
  </si>
  <si>
    <t>Registro antiguo: los eventos suman 11.75 h de un turno de 8.00 h</t>
  </si>
  <si>
    <t>Registro antiguo: los eventos suman 34.60 h de un turno de 12.00 h</t>
  </si>
  <si>
    <t>Registro antiguo: los eventos suman 24.00 h de un turno de 12.00 h</t>
  </si>
  <si>
    <t>Registro antiguo: los eventos suman 36.00 h de un turno de 12.00 h</t>
  </si>
  <si>
    <t>Cuad. Grap. T.R. Caligráfico Layconsa Puppy M/R 80 H</t>
  </si>
  <si>
    <t>Registro antiguo: los eventos suman 3.33 h de un turno de 12.00 h</t>
  </si>
  <si>
    <t>Cuad. Grap. Cuadr. POP Star Layconsa 80 H</t>
  </si>
  <si>
    <t>Cuad. Grap. Cuadr. Gamer Layconsa 80 H</t>
  </si>
  <si>
    <t>Cuad. Grap. Ray. Gamer Layconsa 80 H</t>
  </si>
  <si>
    <t>Registro antiguo: los eventos suman 3.48 h de un turno de 12.00 h</t>
  </si>
  <si>
    <t>Cuad. Grap. Ray. POP Star Layconsa 80 H</t>
  </si>
  <si>
    <t>Cuad. Grap. T.R. Caligráfico POP Star Layconsa 80 H</t>
  </si>
  <si>
    <t>Cuad. Grap. T.R. Caligráfico Gamer Layconsa 80 H</t>
  </si>
  <si>
    <t>Lite 88</t>
  </si>
  <si>
    <t>Cuad. Grap. A-4 Cuadr. 88 H  Layconsa Lite</t>
  </si>
  <si>
    <t>Cuad. Grap. A-4 Ray. 88 H  Layconsa Lite</t>
  </si>
  <si>
    <t>Registro antiguo: los eventos suman 2.25 h de un turno de 12.00 h</t>
  </si>
  <si>
    <t>Cuad. Grap. T.R. Caligráfico  88 H. Layconsa Lite</t>
  </si>
  <si>
    <t>Registro antiguo: los eventos suman 1.67 h de un turno de 12.00 h</t>
  </si>
  <si>
    <t>Registro antiguo: los eventos suman 0.33 h de un turno de 12.00 h</t>
  </si>
  <si>
    <t>Cuad. Grap. A-4 Cuadr. Layconsa Lite 50 H</t>
  </si>
  <si>
    <t>Última fecha</t>
  </si>
  <si>
    <t>Una OT nueva se agrega sola al registrar desde Digitar.</t>
  </si>
  <si>
    <t>Estándar de FAMILIAS (velocidad de la línea)</t>
  </si>
  <si>
    <t>Grupo</t>
  </si>
  <si>
    <t>Vel. típica (cuad/h)</t>
  </si>
  <si>
    <t>Turnos muestra</t>
  </si>
  <si>
    <t>Fuente del estándar</t>
  </si>
  <si>
    <t>Cuadernos por turno estándar</t>
  </si>
  <si>
    <t>Horas produciendo por turno (típico)</t>
  </si>
  <si>
    <t>Anillado</t>
  </si>
  <si>
    <t>Pocos turnos propios (0): P90 general de la línea</t>
  </si>
  <si>
    <t>Mediana real de horas produciendo en turnos completos. Estándar del día = 2 turnos; semana = lunes a sábado.</t>
  </si>
  <si>
    <t>Demostrada: P90 de cuad/h produciendo (31 turnos de solo esta familia)</t>
  </si>
  <si>
    <t>Demostrada: P90 de cuad/h produciendo (36 turnos de solo esta familia)</t>
  </si>
  <si>
    <t>Art Books</t>
  </si>
  <si>
    <t>Block Cuadriculado</t>
  </si>
  <si>
    <t>Blocks</t>
  </si>
  <si>
    <t>Demostrada: P90 de cuad/h produciendo (21 turnos de solo esta familia)</t>
  </si>
  <si>
    <t>Cuadernillos</t>
  </si>
  <si>
    <t>Cuadernos</t>
  </si>
  <si>
    <t>Demostrada: P90 de cuad/h produciendo (55 turnos de solo esta familia)</t>
  </si>
  <si>
    <t>Demostrada: P90 de cuad/h produciendo (85 turnos de solo esta familia)</t>
  </si>
  <si>
    <t>Demostrada: P90 de cuad/h produciendo (10 turnos de solo esta familia)</t>
  </si>
  <si>
    <t>Demostrada: P90 de cuad/h produciendo (11 turnos de solo esta familia)</t>
  </si>
  <si>
    <t>Demostrada: P90 de cuad/h produciendo (5 turnos de solo esta familia)</t>
  </si>
  <si>
    <t>Demostrada: P90 de cuad/h produciendo (37 turnos de solo esta familia)</t>
  </si>
  <si>
    <t>Demostrada: P90 de cuad/h produciendo (35 turnos de solo esta familia)</t>
  </si>
  <si>
    <t>Demostrada: P90 de cuad/h produciendo (9 turnos de solo esta familia)</t>
  </si>
  <si>
    <t>Demostrada: P90 de cuad/h produciendo (93 turnos de solo esta familia)</t>
  </si>
  <si>
    <t>Sketch Book</t>
  </si>
  <si>
    <t>Demostrada: P90 de cuad/h produciendo (6 turnos de solo esta familia)</t>
  </si>
  <si>
    <t>Teens 88</t>
  </si>
  <si>
    <t>MOTIVOS DE PARADA</t>
  </si>
  <si>
    <t>Motivo</t>
  </si>
  <si>
    <t>Tipo</t>
  </si>
  <si>
    <t>Activo</t>
  </si>
  <si>
    <t>Horas registradas (ref.)</t>
  </si>
  <si>
    <t>cod</t>
  </si>
  <si>
    <t>No planificada</t>
  </si>
  <si>
    <t>Limpieza</t>
  </si>
  <si>
    <t>Cambio de formato</t>
  </si>
  <si>
    <t>Regulación</t>
  </si>
  <si>
    <t>Planificada</t>
  </si>
  <si>
    <t>Pruebas I+D</t>
  </si>
  <si>
    <t>Insumos defectuosos</t>
  </si>
  <si>
    <t>Falta de programa</t>
  </si>
  <si>
    <t>Personal</t>
  </si>
  <si>
    <t>Falla mecánica</t>
  </si>
  <si>
    <t>Falla eléctrica</t>
  </si>
  <si>
    <t>Mantenimiento</t>
  </si>
  <si>
    <t>Atoros</t>
  </si>
  <si>
    <t>Producto terminado</t>
  </si>
  <si>
    <t>Charlas</t>
  </si>
  <si>
    <t>LISTA MAESTRA</t>
  </si>
  <si>
    <t>Máquinas: una por fila desde la fila 5 (Completar no programados las usa).</t>
  </si>
  <si>
    <t>Máquinas</t>
  </si>
  <si>
    <t>Criticidad</t>
  </si>
  <si>
    <t>Turnos</t>
  </si>
  <si>
    <t>Supervisores</t>
  </si>
  <si>
    <t>Operadores</t>
  </si>
  <si>
    <t>Estados</t>
  </si>
  <si>
    <t>A</t>
  </si>
  <si>
    <t>ADOLFO ROJAS CASTILLO</t>
  </si>
  <si>
    <t>Producción</t>
  </si>
  <si>
    <t>Sin producción</t>
  </si>
  <si>
    <t>Parada total</t>
  </si>
  <si>
    <t>Familia asignada por</t>
  </si>
  <si>
    <t>N° hojas</t>
  </si>
  <si>
    <t>Gramaje</t>
  </si>
  <si>
    <t>Ancho</t>
  </si>
  <si>
    <t>Corte</t>
  </si>
  <si>
    <t>Peso teórico (kg/cuad)</t>
  </si>
  <si>
    <t>Refile (kg/cuad)</t>
  </si>
  <si>
    <t>Cuad. Grap. A-4 Cuadriculado Lucas - Markin 80 Hj</t>
  </si>
  <si>
    <t>No está en el maestro</t>
  </si>
  <si>
    <t>Cuad. Grap. A-4  T.R. Caligráfico Lucas - Markin 80 Hj</t>
  </si>
  <si>
    <t>Papelógrafo Cuadriculado 25 x 25 mm 57.0 x 80.0 cm Arcoíris</t>
  </si>
  <si>
    <t>Papelógrafo Blanco 64.0 x 86.0 cm Layconsa</t>
  </si>
  <si>
    <t>Papelógrafo Cuadriculado 25 x 25 mm 64.0 x 86.0 cm Layconsa</t>
  </si>
  <si>
    <t>Papelógrafo Blanco 57.0 x 86.0 cm Arcoiris</t>
  </si>
  <si>
    <t>Papelógrafo Cuadriculado 25 x 25 mm 57.0 x 86.0 cm Arcoíris</t>
  </si>
  <si>
    <t>Papelógrafo Rayado 25 mm 57.0 x 86.0 cm Arcoíris</t>
  </si>
  <si>
    <t>Papelógrafo Cuadriculado 25 x 25 mm 57.0 x 83.0 cm Arcoiris</t>
  </si>
  <si>
    <t>Papelógrafo Rayado 25 mm 57.0 x 83.0 cm Arcoiris</t>
  </si>
  <si>
    <t>Hojas Impresa  cuad. anillado Celeste A4 x 8</t>
  </si>
  <si>
    <t>Hojas Impresa  cuad. anillado Gris  A4 x 8</t>
  </si>
  <si>
    <t>Hojas Impresa  cuad. anillado Salmon A4 x 8</t>
  </si>
  <si>
    <t>Hojas Impresa  cuad. anillado Lila  A4 x 8</t>
  </si>
  <si>
    <t>Hojas Impresa  cuad. anillado Verde A4 x 8</t>
  </si>
  <si>
    <t>Hojas Impresa  cuad. anillado Celeste A5 x 16</t>
  </si>
  <si>
    <t>Hojas Impresa  cuad. anillado Gris   A5 x 16</t>
  </si>
  <si>
    <t>Hojas Impresa  cuad. anillado Salmon  A5 x 16</t>
  </si>
  <si>
    <t>Hojas Impresa  cuad. anillado Lila   A5 x 16</t>
  </si>
  <si>
    <t>Hojas Impresa  cuad. anillado Verde  A5 x 16</t>
  </si>
  <si>
    <t>Hojas Impresa cuad. anillado Azul acero A5 x 16 - Supesa</t>
  </si>
  <si>
    <t>Hojas Impresa cuad. anillado Morado A5 x 16 - Supesa</t>
  </si>
  <si>
    <t>Hojas Impresa cuad. anillado Turquesa A5 x 16 - Supesa</t>
  </si>
  <si>
    <t>Hojas Impresa cuad. anillado Gris A5 x 16 - Supesa</t>
  </si>
  <si>
    <t>Hojas Impresa cuad. anillado Verde A5 x 16 - Supesa</t>
  </si>
  <si>
    <t>Hojas Impresa  cuad. anillado Azul Acero A4 x 8 -Supesa</t>
  </si>
  <si>
    <t>Hojas Impresa cuad. anillado Morado A4 x 8 -Supesa</t>
  </si>
  <si>
    <t>Hojas Impresa cuad. anillado Turquesa A4 x 8 -Supesa</t>
  </si>
  <si>
    <t>Hojas Impresa cuad. anillado Gris A4 x 8 -Supesa</t>
  </si>
  <si>
    <t>Hojas Impresa cuad. anillado Verde A4 x 8 -Supesa</t>
  </si>
  <si>
    <t>Hojas Impresa  cuad. anillado Vino A4 x 8</t>
  </si>
  <si>
    <t>Hojas Impresa  cuad. anillado 100 Hojas Celeste A4 x 8</t>
  </si>
  <si>
    <t>Hojas Impresa  cuad. anillado Vino  A5 x 16</t>
  </si>
  <si>
    <t>Hojas Impresa  cuad. anillado Azul Acero A4 x 8</t>
  </si>
  <si>
    <t>Hojas Impresa  cuad. anillado Rosado A4 x 8</t>
  </si>
  <si>
    <t>Cuaderno A4 Anillado Cuadric. T/Dura CONA 120 H + Borrador Blanco LA-30 pequeño</t>
  </si>
  <si>
    <t>Maestro</t>
  </si>
  <si>
    <t>Cuaderno A4 Anillado Ray. T/Dura CONA 120 H + Lápiz verde Cedar Tecnico 2B c/Bor</t>
  </si>
  <si>
    <t>Cuaderno Anillado A4 dis. Mujer Arcoíris T/dura</t>
  </si>
  <si>
    <t>Cuaderno Anillado A4 dis. Hombre Arcoíris T/dura</t>
  </si>
  <si>
    <t>Cuaderno Anillado A4 básicos 160 H. Arcoíris T/dura</t>
  </si>
  <si>
    <t>Cuaderno Anillado A4 pastel 160 H. Arcoíris T/dura</t>
  </si>
  <si>
    <t>Cuaderno Anillado A4 100 H. básicos  Arcoíris T/dura</t>
  </si>
  <si>
    <t>Cuaderno Anillado A5 dis. Mujer Arcoíris T/dura</t>
  </si>
  <si>
    <t>Cuaderno Anillado A5 dis. Hombre Arcoíris T/dura</t>
  </si>
  <si>
    <t>Cuad.Grap. Cuad. 72H Arcoíris s/Sticker</t>
  </si>
  <si>
    <t>Cuad.Grap. Ray. 72H Arcoíris s/Sticker</t>
  </si>
  <si>
    <t>Cuad. Grap.T.Renglón 72H Arcoíris s/Sticker</t>
  </si>
  <si>
    <t>Cuad.Grap. Cuad. 72H Arcoíris Diseño s/Sticker</t>
  </si>
  <si>
    <t>Cuad.Grap. Ray. 72H Arcoíris Diseño s/Sticker</t>
  </si>
  <si>
    <t>Cuad. Grap.T.Renglón 72H Arcoíris Diseño s/Sticker</t>
  </si>
  <si>
    <t>Cuad.Grap. Cuad. 72H Arcoíris c/Sticker</t>
  </si>
  <si>
    <t>Cuad.Grap. Ray. 72H Arcoíris c/Sticker</t>
  </si>
  <si>
    <t>Cuad. Grap.T.Renglón 72H Arcoíris c/Sticker</t>
  </si>
  <si>
    <t>Cuad.Grap. Cuad. 72H Arcoíris Diseño c/Sticker</t>
  </si>
  <si>
    <t>Cuad.Grap. Ray. 72H Arcoíris Diseño c/Sticker</t>
  </si>
  <si>
    <t>Cuad. Grap.T.Renglón 72H Arcoíris Diseño c/Sticker</t>
  </si>
  <si>
    <t>Cuad.Grap. 1x1 Cuadrimax. 72 Hj Arcoíris s/Sticker</t>
  </si>
  <si>
    <t>Cuad.Grap. 1x1 Cuadrimax. 72 Hj Arcoíris s/Sticker Diseño</t>
  </si>
  <si>
    <t>Cuad.Grap. 1x1 Cuadrimax. 72H Arcoíris c/Sticker</t>
  </si>
  <si>
    <t>Cuad.Grap. 1x1 Cuadrimax. 72H Arcoíris Diseño c/Sticker</t>
  </si>
  <si>
    <t>Cuad. Grap. 1x1 c/mco rojo 72 Hj Arcoiris s/Sticker</t>
  </si>
  <si>
    <t>Cuad.Grap. Cuad. 72H Arcoíris femenino</t>
  </si>
  <si>
    <t>Cuad.Grap. Ray. 72H Arcoíris femenino</t>
  </si>
  <si>
    <t>Cuad.Grap. T. Renglón 72H Arcoíris femenino</t>
  </si>
  <si>
    <t>Cuad.Grap. Cuad. 72H Arcoíris masculino</t>
  </si>
  <si>
    <t>Cuad.Grap. Ray. 72H Arcoíris masculino</t>
  </si>
  <si>
    <t>Cuad.Grap. T. Renglón 72H Arcoíris masculino</t>
  </si>
  <si>
    <t>Cuad.Grap. 1x1 72H Arcoíris femenino</t>
  </si>
  <si>
    <t>Cuad.Grap. 1x1 72H Arcoíris masculino</t>
  </si>
  <si>
    <t>Cuad.Grap. 1x1 Cuadrimax. 70 H Arcoíris Femenino</t>
  </si>
  <si>
    <t>Cuad.Grap. 1x1 Cuadrimax. 70 H Arcoíris Masculino</t>
  </si>
  <si>
    <t>Cuad. Grap. A-4 Cuad. Layconsa Unicornios 88H</t>
  </si>
  <si>
    <t>Cuad. Grap. A-4 Cuad. 88H Layconsa Princess Club</t>
  </si>
  <si>
    <t>Cuad. Grap. A-4 Cuad. 88H Layconsa Sweet</t>
  </si>
  <si>
    <t>Cuad. Grap. A-4 Cuad. 88H Layconsa Mandalas</t>
  </si>
  <si>
    <t>Cuad. Grap. A-4 Cuad. 88H Layconsa Cute Pets</t>
  </si>
  <si>
    <t>Cuad. Grap. A-4 Cuad. 88H Layconsa Dino World</t>
  </si>
  <si>
    <t>Cuad. Grap. A-4 Cuad. 88H Layconsa Street Racer</t>
  </si>
  <si>
    <t>Cuad. Grap. A-4 Ray. Layconsa Street Racer 88h</t>
  </si>
  <si>
    <t>Cuad. Grap. A-4 Ray. Layconsa Potencia Extrema 88h</t>
  </si>
  <si>
    <t>Cuad. Grap. A-4 Cuad. 88H Layconsa Potencia Extrema</t>
  </si>
  <si>
    <t>Cuad. Grap. A-4 Ray. Layconsa Gamer 88h</t>
  </si>
  <si>
    <t>Cuad. Grap. A-4 Cuad. 88H Layconsa Gamer</t>
  </si>
  <si>
    <t>Cuad. Grap. A-4 T.R.Caligráfico Layconsa Unicornios 88h</t>
  </si>
  <si>
    <t>Cuad. Grap. A-4 T.R. Caligrafico Layconsa Princess Club 88h</t>
  </si>
  <si>
    <t>Cuad. Grap. A-4 Ray. Layconsa Mandalas 88h</t>
  </si>
  <si>
    <t>Cuad. Grap. A-4 Ray. Layconsa Cute Pets 88h</t>
  </si>
  <si>
    <t>Cuad. Grap. A-4 T.R. Caligráfico Layconsa Dino World 88h</t>
  </si>
  <si>
    <t>Cuad. Grap. Cuadr. Street Racer Layconsa 80 H</t>
  </si>
  <si>
    <t>Cuad. Grap. Cuadr. K-POP Layconsa 80 H</t>
  </si>
  <si>
    <t>Cuad. Grap. Ray. K-POP Layconsa 80 H</t>
  </si>
  <si>
    <t>Cuad. Grap. T.R. Caligráfico K-POP Layconsa 80 H</t>
  </si>
  <si>
    <t>Cuad. Grap. A-4 Cuadr. 88H Layconsa Estudiante</t>
  </si>
  <si>
    <t>Cuad. Grap. A-4 Ray. 88H  Layconsa Estudiante</t>
  </si>
  <si>
    <t>Cuad. Grap. A-4 Trip.Renglón 88H Layconsa Estudiante</t>
  </si>
  <si>
    <t>Cuad.Grap. Cuadr. 92 Hj Layconsa Estud. PN (termo) Pack x2</t>
  </si>
  <si>
    <t>Cuad.Grap. Ray. 92 Hj Layconsa Estud. PN (termo) Pack x2</t>
  </si>
  <si>
    <t>Cuad.Grap. Cuadr. 88 Hj Layconsa Estud. (termo) Pack x2</t>
  </si>
  <si>
    <t>Cuad.Grap. Ray. 88 Hj Layconsa Estud. (termo) Pack x2</t>
  </si>
  <si>
    <t>Cuad. Grap.Triple Reng. c/rojo 80H Layconsa Estudiante</t>
  </si>
  <si>
    <t>Cuad. Grap.Triple Reng. c/ amarillo 80H Layconsa Estudiante</t>
  </si>
  <si>
    <t>Cuad. Grap. Cuadric. marrón 80H Layconsa Estudiante</t>
  </si>
  <si>
    <t>Cuad. Grap. A-4 Rayado Layconsa Lite 50 H</t>
  </si>
  <si>
    <t>Cuad.Grap. 1X1 80 Hj Layconsa Puppy 75NC</t>
  </si>
  <si>
    <t>Cuad.Grap. 2X2 80 Hj Layconsa Puppy 75NC</t>
  </si>
  <si>
    <t>Cuad.Grap. Decroly 80 Hj Layconsa Puppy 75NC</t>
  </si>
  <si>
    <t>Cuad.Grap. Cuad. 80 Hj Layconsa Triple Puppy Max  75NC</t>
  </si>
  <si>
    <t>Cuad. Grap. Cuadr. 80 H. sin sticker c/marco rojo Layconsa Puppy</t>
  </si>
  <si>
    <t>Cuad. Grap. A-4 Trip. Renglón 80H  Layconsa Teens</t>
  </si>
  <si>
    <t>Cuad. Grap. A-4 Cuadr. 88H Layconsa Teens</t>
  </si>
  <si>
    <t>Cuad. Grap. A-4 Ray. 88H  Layconsa Teens</t>
  </si>
  <si>
    <t>Cuad. Grap. A-4 Cuadriculado Markin 80 Hj</t>
  </si>
  <si>
    <t>Cuad. Grap. A-4 Rayado Markin 80 Hj</t>
  </si>
  <si>
    <t>Cuad. Grap. A-4  T.R. Caligráfico Markin 80 Hj</t>
  </si>
  <si>
    <t>Cuad. Grap. A-4  1x1 Cuadrimax Markin 80 Hj</t>
  </si>
  <si>
    <t>Cuad. Grap. A4 T. R. Caligrafico Lucas Markin 80 Hj</t>
  </si>
  <si>
    <t>Cuad. Grap. A4 T. Raya sur Lucas Markin 80 Hj</t>
  </si>
  <si>
    <t>Cuad. Grap. 1x1 Markin 80 H. c/mco rojo</t>
  </si>
  <si>
    <t>Cuad.Grap. 1x1 80H Markin masc. c/sticker</t>
  </si>
  <si>
    <t>Cuad.Grap. 1x1 80H Lucas Markin fem c/sticker</t>
  </si>
  <si>
    <t>Cuad.Grap. Decroly 80H Lucas Markin masc. c/sticker</t>
  </si>
  <si>
    <t>Cuad.Grap. Triple Max 80H Lucas Markin masc. c/sticker</t>
  </si>
  <si>
    <t>B. Sketch Book 20 Hj. Layconsa Ang. Ballerina</t>
  </si>
  <si>
    <t>B. Sketch Book 20 Hj. Layconsa Puppy</t>
  </si>
  <si>
    <t>B. Sketch Book 20 Hj. Layconsa La Era de Hielo</t>
  </si>
  <si>
    <t>B. Sketch Book 20 Hj. Layconsa Looney Tunes</t>
  </si>
  <si>
    <t>B. Sketch Book 20 Hj. Layconsa Doki</t>
  </si>
  <si>
    <t>B.Sketch Book 20 Hj. Layconsa Alvin y las Ardillas</t>
  </si>
  <si>
    <t>B.Sketch Book 20 Hj. Layconsa Victorious</t>
  </si>
  <si>
    <t>B.Sketch Book 20 Hj. Layconsa Dakar</t>
  </si>
  <si>
    <t>Art Book Papel de colores (32 h/8 colores)</t>
  </si>
  <si>
    <t>Art Book Layconsa Papel Arcoiris 40 HJ.</t>
  </si>
  <si>
    <t>Block A4 Cuadriculado Layconsa 50 H.</t>
  </si>
  <si>
    <t>Block Enc. Cuadriculado. 50 hj. Layconsa A4</t>
  </si>
  <si>
    <t>Block Enc. Rayado 50 hj. Layconsa A4</t>
  </si>
  <si>
    <t>Block A4 Rayado Layconsa 50 H.</t>
  </si>
  <si>
    <t>Block A4 Triple Renglón Layconsa 50 H.</t>
  </si>
  <si>
    <t>Cuad. Grap. cuadriculado 100 hj. A4 Layconsa  PC</t>
  </si>
  <si>
    <t>Cuad. Grap. Rayado 100 hj. A4 Layconsa PC</t>
  </si>
  <si>
    <t>Cuad. Grap. Triple Renglón 100 hj. A4 Layconsa PC</t>
  </si>
  <si>
    <t>Cuadernillo A4 rayado RM/400</t>
  </si>
  <si>
    <t>Cuadernillo A4 cuadriculado RM/400</t>
  </si>
  <si>
    <t>Cuadernillo Oficio rayado RM/400</t>
  </si>
  <si>
    <t>Cuadernillo Oficio cuadriculado RM/400</t>
  </si>
  <si>
    <t>Cuadernillo A4 rayado RM/400 56g</t>
  </si>
  <si>
    <t>Cuadernillo A4 cuadriculado RM/400 56g</t>
  </si>
  <si>
    <t>Cuaderno Grapado Rayado 80 Hojas Layconsa</t>
  </si>
  <si>
    <t>Cuaderno Grapado Triple Raya 80 Hojas Layconsa</t>
  </si>
  <si>
    <t>Cuaderno Grapado Triple Reglón 80 Hojas Layconsa</t>
  </si>
  <si>
    <t>Cuaderno Grapado Triple Reglón Sombreado 80 Hojas Layconsa</t>
  </si>
  <si>
    <t>Cuaderno Grapado Decroly 80 Hojas Layconsa Puppy</t>
  </si>
  <si>
    <t>Cuaderno Grapado Cuadrimax 1x1 90 Hojas Layconsa Puppy</t>
  </si>
  <si>
    <t>Cuaderno Grapado Cuadriculado 90 Hojas Layconsa Puppy</t>
  </si>
  <si>
    <t>Cuaderno Grapado Cuadriculado 90 Hojas Layconsa Estudiante</t>
  </si>
  <si>
    <t>Cuaderno Grapado Rayado 90 Hojas Layconsa Estudiante</t>
  </si>
  <si>
    <t>Cuaderno Grapado Rayado 90 Hojas Layconsa Teens</t>
  </si>
  <si>
    <t>Cuaderno Grapado Triple Reglón Caligráfico 90 Hojas Layconsa Puupy</t>
  </si>
  <si>
    <t>Cuaderno Grapado Triple Reglón Caligráfico 90 Hojas Layconsa Estudiante</t>
  </si>
  <si>
    <t>Cuaderno Grapado Triple Reglón 90 Hojas Layconsa Estudiante</t>
  </si>
  <si>
    <t>Cuaderno Grapado Triple Raya Sur 90 Hojas Layconsa Estudiante</t>
  </si>
  <si>
    <t>Cuaderno Grapado Triple Raya 90 Hojas Layconsa Estudiante</t>
  </si>
  <si>
    <t>Cuaderno Grapado Triple Renglón Caligráfico 90 Hojas Doky</t>
  </si>
  <si>
    <t>Cuaderno Grapado Cuadriculado 90 Hojas Cool Robots</t>
  </si>
  <si>
    <t>Cuaderno Grapado Cuadriculado 90 Hojas Diseño Urbano</t>
  </si>
  <si>
    <t>Cuaderno Grapado Rayado 90 Hojas Diseño Urbano</t>
  </si>
  <si>
    <t>Cuaderno Grapado Cuadriculado 90 Hojas Happy House 1</t>
  </si>
  <si>
    <t>Cuaderno Grapado Rayado 90 Hojas Happy House 1</t>
  </si>
  <si>
    <t>Cuaderno Grapado Triple Renglón Caligráfico 90 Hojas Happy House 1</t>
  </si>
  <si>
    <t>Cuaderno Grapado Cuadriculado 90 Hojas Happy House 2</t>
  </si>
  <si>
    <t>Cuad Grap 1X1 80 Hj Layconsa Puppy</t>
  </si>
  <si>
    <t>Cuad Grap 1X1 80 Hj Layconsa Puppy Termo</t>
  </si>
  <si>
    <t>Cuad Grap 2X2 80 Hj Layconsa Puppy</t>
  </si>
  <si>
    <t>Cuad Grap 2X2 80 Hj Layconsa Puppy Termo</t>
  </si>
  <si>
    <t>Cuad Grap Cuadr 92 Hj Big Time Rush</t>
  </si>
  <si>
    <t>Cuad Grap Cuadr 92 Hj Bob Esponja</t>
  </si>
  <si>
    <t>Cuad Grap Cuadr 92 Hj Bob Esponja Termo</t>
  </si>
  <si>
    <t>Cuad Grap Cuadr 92 Hj Layconsa Doki</t>
  </si>
  <si>
    <t>Cuad Grap Cuadr 92 Hj Layconsa Doky Termo</t>
  </si>
  <si>
    <t>Cuad Grap Cuadr 92 Hj Layconsa Estud</t>
  </si>
  <si>
    <t>Cuad Grap Cuadr 92 Hj Layconsa Estud Termo</t>
  </si>
  <si>
    <t>Cuad Grap Cuadr 92 Hj Layconsa Teens</t>
  </si>
  <si>
    <t>Cuad Grap Cuadr 92 Hj Layconsa Teens Termo</t>
  </si>
  <si>
    <t>Cuad Grap Cuadr 92 Hj Victorious</t>
  </si>
  <si>
    <t>Cuad Grap Cuadr 92 Hj Victorious Termo</t>
  </si>
  <si>
    <t>Cuad Grap Decroly 80 Hj Layconsa Puppy</t>
  </si>
  <si>
    <t>Cuad Grap Decroly 80 Hj Layconsa Puppy Termo</t>
  </si>
  <si>
    <t>Cuad Grap Rayado 92 Hj Big Time Rush</t>
  </si>
  <si>
    <t>Cuad Grap Rayado 92 Hj Big Time Rush Termo</t>
  </si>
  <si>
    <t>Cuad Grap Rayado 92 Hj Bob Esponja</t>
  </si>
  <si>
    <t>Cuad Grap Rayado 92 Hj Layconsa Estud</t>
  </si>
  <si>
    <t>Cuad Grap Rayado 92 Hj Layconsa Estud Termo</t>
  </si>
  <si>
    <t>Cuad Grap Rayado 92 Hj Layconsa Teens</t>
  </si>
  <si>
    <t>Cuad Grap Rayado 92 Hj Layconsa Teens Termo</t>
  </si>
  <si>
    <t>Cuad Grap Rayado 92 Hj Victorious</t>
  </si>
  <si>
    <t>Cuad Grap T. Raya 92 Hj Layconsa Estud</t>
  </si>
  <si>
    <t>Cuad Grap T. Raya 92 Hj Layconsa Estud Termo</t>
  </si>
  <si>
    <t>Cuad Grap T. Raya Sur 92 Hj Layconsa Estud</t>
  </si>
  <si>
    <t>Cuad Grap T. Raya Sur 92 Hj Layconsa Estud Termo</t>
  </si>
  <si>
    <t>Cuad Grap T. Renglón 92 Hj Layconsa Estud</t>
  </si>
  <si>
    <t>Cuad Grap T. Renglón 92 Hj Layconsa Estud Termo</t>
  </si>
  <si>
    <t>Cuad Grap T. R. Calig 80 Hj Layconsa Puppy Termo</t>
  </si>
  <si>
    <t>Cuad Grap T. R. Calig 92 Hj Doky</t>
  </si>
  <si>
    <t>Cuad Grap T. R. Calig 92 Hj Doky Termo</t>
  </si>
  <si>
    <t>Cuad Grap T. R. Calig 92 Hj Layconsa Estud</t>
  </si>
  <si>
    <t>Cuad Grap T. R. Calig 92 Hj Layconsa Estud Termo</t>
  </si>
  <si>
    <t>Cuad Grap T. R. Calig 92 Hj Victorious</t>
  </si>
  <si>
    <t>Cuad Grap Cuadr 80 Hj Layconsa Puppy</t>
  </si>
  <si>
    <t>Cuad Grap Cuadr 80 Hj Layconsa Puppy Termo</t>
  </si>
  <si>
    <t>Cuad. Grap. Cuadr. 92 Hj Layconsa Dakar</t>
  </si>
  <si>
    <t>Cuad. Grap. Ray. 92 Hj Layconsa Dakar</t>
  </si>
  <si>
    <t>Cuad.Grap. Cuadriculado 80 Hj Arcoiris</t>
  </si>
  <si>
    <t>Cuad.Grap. Rayado 80 Hj Arcoiris</t>
  </si>
  <si>
    <t>Cuad.Grap. 1x1 80 Hj Arcoiris</t>
  </si>
  <si>
    <t>Cuad.Grap. Triple Raya 80 Hj Arcoiris</t>
  </si>
  <si>
    <t>Cuad.Grap.Triple Renglón Caligráfico 80 Hj Arcoiris</t>
  </si>
  <si>
    <t>Cuad.Grap. Triple Raya Sur 80 Hj Arcoiris</t>
  </si>
  <si>
    <t>Refile Papel Bond en Lonjas</t>
  </si>
  <si>
    <t>Refile de Cuadernos Pre-Consumo</t>
  </si>
  <si>
    <t>Tucos de Bobina</t>
  </si>
  <si>
    <t>Cuad.Grap. Cuadriculado 80 Hj Arcoiris Termo</t>
  </si>
  <si>
    <t>Cuad.Grap. Rayado 80 Hj Arcoiris Termo</t>
  </si>
  <si>
    <t>Cuad. Esp. Cuad. T. Delg. 180 Hj. Diseño Femenino Layconsa A4</t>
  </si>
  <si>
    <t>Cuad. Esp. Cuad. T. Delg. 180 Hj. Diseño Masculino Layconsa A4</t>
  </si>
  <si>
    <t>Cuad. Grap. Cuadr. Cartográfico 92 Hj Layconsa Teens</t>
  </si>
  <si>
    <t>Cuad. Grap. Cuadr. 92 Hj Layconsa Ang. Ballerina</t>
  </si>
  <si>
    <t>Cuad. Grap. T. R. Calig. 92 Hj Layconsa Ang. Ballerina</t>
  </si>
  <si>
    <t>Cuad. Grap. Cuadr. 92 Hj Layconsa Alvin y las Ardillas</t>
  </si>
  <si>
    <t>Cuad. Grap. T. R. Calig. 92 Hj Layconsa Alvin y las Ardillas</t>
  </si>
  <si>
    <t>Cuad. Grap. Cuadr. 92 Hj Layconsa Era de Hielo</t>
  </si>
  <si>
    <t>Cuad. Grap. Trip. Reglón Calig. 92 Hj Layconsa Era de Hielo</t>
  </si>
  <si>
    <t>Cuad. Grap. Cuadr. 92 Hj. Layconsa Animal Planet</t>
  </si>
  <si>
    <t>Cuad. Grap. Rayado 92 Hj. Layconsa Animal Planet</t>
  </si>
  <si>
    <t>Cuad. Grap. Cuadr. Cartográfico 92 Hj Layconsa Teens Termo</t>
  </si>
  <si>
    <t>Cuad. Grap. T. R. Calig. 92 Hj Layconsa Alvin y las Ardillas Termo</t>
  </si>
  <si>
    <t>Cuad. Grap. Cuadr. 92 Hj Layconsa Ang. Ballerina Termo</t>
  </si>
  <si>
    <t>Cuad. Grap. Cuadr. 92 Hj Layconsa Looney Tunes</t>
  </si>
  <si>
    <t>Cuad. Grap. Rayado 92 Hj Layconsa Looney Tunes</t>
  </si>
  <si>
    <t>Cuad. Grap. T. R. Calig. 92 Hj Layconsa Looney Tunes</t>
  </si>
  <si>
    <t>Cuad. Grap. 2 X 2 80 Hj. Arcoiris</t>
  </si>
  <si>
    <t>Cuad. Esp. Cuad. T. Delg.180 Hj. Diseño Masculino Layconsa A4+Reg</t>
  </si>
  <si>
    <t>Cuad. Esp. Cuad. T. Delg.180 Hj. Diseño Femenino Layconsa A4+Reg</t>
  </si>
  <si>
    <t>Cuad. Esp. Cuad. T. Delg.180 Hj. Dakar Layconsa A4+Reg</t>
  </si>
  <si>
    <t>Cuad.Grap. Cuad. 92 Hj Layconsa Rápidos y Furiosos</t>
  </si>
  <si>
    <t>Cuad.Grap. Ray.  92 Hj Layconsa Rápidos y Furiosos</t>
  </si>
  <si>
    <t>Cuad.Grap. Cuadr. 92 Hj Layconsa MTV</t>
  </si>
  <si>
    <t>Cuad.Grap. Rayado  92 Hj Layconsa MTV</t>
  </si>
  <si>
    <t>Cuad.Grap. Cuad. 92 Hj Layconsa Triple Puppy Max Termo.</t>
  </si>
  <si>
    <t>Cuad.Grap. Cuad. 80 Hj Layconsa Triple Puppy Max</t>
  </si>
  <si>
    <t>Cuad.Grap. Cuadr. 50 Hj Layconsa Teens</t>
  </si>
  <si>
    <t>Cuad. Anill. Cuad. T. Delg. Looney Tunes Layconsa A4</t>
  </si>
  <si>
    <t>Cuad. Anill. Cuad. T. Delg. Rápidos y Furiosos Layconsa A4</t>
  </si>
  <si>
    <t>Cuad. Anill. Cuad. T. Delg. MTV Layconsa A4</t>
  </si>
  <si>
    <t>Cuad. Anill. Cuad. T. Delg. Color Entero Layconsa A4</t>
  </si>
  <si>
    <t>Cuad. Anill. Cuad. T. Delg. Dakar Layconsa A4</t>
  </si>
  <si>
    <t>Cuad. Grap. Cuad. 80 Hj Arcoiris c/diseño</t>
  </si>
  <si>
    <t>Cuad. Grap. Ray. 80 Hj Arcoiris c/diseño</t>
  </si>
  <si>
    <t>Cuad. Grap. T.R.C. 80 Hj Arcoiris c/diseño</t>
  </si>
  <si>
    <t>Cuad. Grap. 1x1 80 Hj Arcoiris c/diseño</t>
  </si>
  <si>
    <t>Cuad. Grap. 2 X 2 80 Hj. Arcoiris c/diseño</t>
  </si>
  <si>
    <t>Cuad. Grap. Cuad. 80 Hj Arcoiris c/diseño Termo.</t>
  </si>
  <si>
    <t>Cuad. Grap. Ray. 80 Hj Arcoiris c/diseño Termo.</t>
  </si>
  <si>
    <t>Cuad. Grap. Cuad. 92 Hj Layconsa Universitario de Deportes</t>
  </si>
  <si>
    <t>Cuad. Grap. Cuad. 92 Hj Layconsa Alianza Lima</t>
  </si>
  <si>
    <t>Cuad. Grap. Ray. 92 Hj Layconsa Alianza Lima</t>
  </si>
  <si>
    <t>Cuad. Grap. Cuad. 92 Hj Layconsa Sporting Cristal</t>
  </si>
  <si>
    <t>Cuad. Grap. Cuad. 92 Hj Layconsa El Melgar</t>
  </si>
  <si>
    <t>Cuad. Grap. Cuad. 92 Hj Layconsa Princesas</t>
  </si>
  <si>
    <t>Cuad. Grap. Ray. 92 Hj Layconsa Princesas</t>
  </si>
  <si>
    <t>Cuad. Grap. T. Reglón Calig. 92 Hj Layconsa Princesas</t>
  </si>
  <si>
    <t>Cuad. Grap. Cuad. 92 Hj Layconsa Sweet</t>
  </si>
  <si>
    <t>Cuad. Grap. Ray. 92 Hj Layconsa Sweet</t>
  </si>
  <si>
    <t>Cuad. Grap. Cuad. 92 Hj Layconsa Street Style</t>
  </si>
  <si>
    <t>Cuad. Grap. Ray. 92 Hj Layconsa Street Style</t>
  </si>
  <si>
    <t>Cuad. Grap. T. R. Calig.  92 Hj Layconsa Alianza Lima</t>
  </si>
  <si>
    <t>Cuad. Grap. T. R. Calig.  92 Hj Layconsa Universitario</t>
  </si>
  <si>
    <t>Cuad. Grap. T. R. Calig.  92 Hj Layconsa Sporting Cristal</t>
  </si>
  <si>
    <t>Cuad. Grap. T. R. Calig. 92 Hj Eq. Futbol Surt. (U/A/S) Layconsa</t>
  </si>
  <si>
    <t>Cuad. Grap. T. R. Calig. 92 Hj Layconsa Sweet</t>
  </si>
  <si>
    <t>Cuad. Grap. T. R. Calig. 92 Hj Layconsa Street Style</t>
  </si>
  <si>
    <t>Cuad. Grap. Cuad. 92 Hj Layconsa Princesas Termo.</t>
  </si>
  <si>
    <t>Cuad. Grap. T. R. Calig. 92 Hj Layconsa Princesas Termo.</t>
  </si>
  <si>
    <t>Cuad. Grap. Cuad. 92 Hj Layconsa Alianza Lima Termo.</t>
  </si>
  <si>
    <t>Cuad. Grap. T. R. Calig.  92 Hj Layconsa Alianza Lima Termo.</t>
  </si>
  <si>
    <t>Cuad. Grap. Cuad. 92 Hj Layconsa Univ.de Dep. Termo.</t>
  </si>
  <si>
    <t>Cuad. Grap. T. R. Calig.  92 Hj Layconsa Univ. de Dep. Termo.</t>
  </si>
  <si>
    <t>Cuad. Grap. Cuad. 92 Hj Layconsa Sporting Cristal Termo.</t>
  </si>
  <si>
    <t>Cuad. Grap. T. R. Calig.  92 Hj Layconsa Sporting Cristal Termo.</t>
  </si>
  <si>
    <t>Cuad. Grap. Cuad. 92 Hj Layconsa Princesas Zombie NP</t>
  </si>
  <si>
    <t>Cuad. Grap. T. Reglón Calig. 92 Hj Layconsa Princesas Zombie NP</t>
  </si>
  <si>
    <t>Cuad. Grap. Cuad. 92 Hj Layconsa Street Racer  NP</t>
  </si>
  <si>
    <t>Cuad. Grap. Ray. 92 Hj Layconsa Street Racer NP</t>
  </si>
  <si>
    <t>Cuad. Grap. T. R. Calig. 92 Hj Layconsa Street Racer  NP</t>
  </si>
  <si>
    <t>Cuad. Grap. Ray. 92 Hj Layconsa Princesas Zombie NP</t>
  </si>
  <si>
    <t>Cuad.Grap.Cuadr. 80 Hj Layconsa Puppy 75NP</t>
  </si>
  <si>
    <t>Cuad.Grap. Cuad. 80 Hj Layconsa Triple Puppy Max  75NP</t>
  </si>
  <si>
    <t>Cuad.Grap. 1X1 80 Hj Layconsa Puppy 75NP</t>
  </si>
  <si>
    <t>Cuad.Grap. 2X2 80 Hj Layconsa Puppy 75NP</t>
  </si>
  <si>
    <t>Cuad.Grap. Decroly 80 Hj Layconsa Puppy 75NP</t>
  </si>
  <si>
    <t>Cuad.Grap. Cuadr. 92 Hj Layconsa Estud. NP</t>
  </si>
  <si>
    <t>Cuad.Grap. Rayado 92 Hj Layconsa Estud. NP</t>
  </si>
  <si>
    <t>Cuad.Grap. T. R. Calig.  92 Hj Layconsa Estud. NP</t>
  </si>
  <si>
    <t>Cuad.Grap. T. Renglón 92 Hj Layconsa Estud. NP</t>
  </si>
  <si>
    <t>Cuad.Grap. T. Raya Sur 92 Hj Layconsa Estud. NP</t>
  </si>
  <si>
    <t>Cuad.Grap. T. Raya 92 Hj Layconsa Estud. NP</t>
  </si>
  <si>
    <t>Cuad.Grap. Cuadr. 92 Hj Layconsa Teens NP</t>
  </si>
  <si>
    <t>Cuad.Grap. Rayado 92 Hj Layconsa Teens NP</t>
  </si>
  <si>
    <t>Cuad. Grap. Cuad. 92 Hj Layconsa Princesas NP</t>
  </si>
  <si>
    <t>Cuad. Grap. Ray. 92 Hj Layconsa Princesas NP</t>
  </si>
  <si>
    <t>Cuad. Grap. T. Reglón Calig. 92 Hj Layconsa Princesas NP</t>
  </si>
  <si>
    <t>Cuad. Grap. Cuad. 92 Hj Layconsa Alianza Lima NP</t>
  </si>
  <si>
    <t>Cuad. Grap. Ray. 92 Hj Layconsa Alianza Lima NP</t>
  </si>
  <si>
    <t>Cuad. Grap. T. R. Calig.  92 Hj Layconsa Alianza Lima NP</t>
  </si>
  <si>
    <t>Cuad. Grap. Cuad. 92 Hj Layconsa Universitario de Deportes NP</t>
  </si>
  <si>
    <t>Cuad. Grap. Ray. 92 Hj Layconsa Universitario de Deportes NP</t>
  </si>
  <si>
    <t>Cuad. Grap. T. R. Calig.  92 Hj Layconsa Universitario NP</t>
  </si>
  <si>
    <t>Cuad. Grap. Cuad. 92 Hj Layconsa Sweet NP</t>
  </si>
  <si>
    <t>Cuad. Grap. Ray. 92 Hj Layconsa Sweet NP</t>
  </si>
  <si>
    <t>Cuad. Grap. T. R. Calig. 92 Hj Layconsa Sweet NP</t>
  </si>
  <si>
    <t>Cuad.Grap. Cuadriculado 80 Hj  Arcoiris NP</t>
  </si>
  <si>
    <t>Cuad.Grap. Rayado 80 Hj  Arcoiris NP</t>
  </si>
  <si>
    <t>Cuad.Grap. 1 x 1 80 Hj  Arcoiris NP</t>
  </si>
  <si>
    <t>Cuad.Grap. 2 X 2 80 Hj  Arcoiris NP</t>
  </si>
  <si>
    <t>Cuad.Grap. Triple Raya 80 Hj  Arcoiris NP</t>
  </si>
  <si>
    <t>Cuad.Grap. Triple Reglón Caligráfico 80 Hj  Arcoiris NP</t>
  </si>
  <si>
    <t>Cuad. Grap. Cuad. 80 Hj Arcoiris c/diseño NP</t>
  </si>
  <si>
    <t>Cuad. Grap. Ray. 80 Hj Arcoiris c/diseño NP</t>
  </si>
  <si>
    <t>Cuad. Grap. T.R.C. 80 Hj Arcoiris c/diseño NP</t>
  </si>
  <si>
    <t>Cuad.Grap.Cuadr. 80 Hj Layconsa Puppy 75NP (Termo)</t>
  </si>
  <si>
    <t>Cuad.Grap. Cuad. 80 Hj Layconsa Triple Puppy Max  75NP (Termo)</t>
  </si>
  <si>
    <t>Cuad.Grap. 1X1 80 Hj Layconsa Puppy 75NP (Termo)</t>
  </si>
  <si>
    <t>Cuad.Grap. 2X2 80 Hj Layconsa Puppy 75NP (Termo)</t>
  </si>
  <si>
    <t>Cuad.Grap. Decroly 80 Hj Layconsa Puppy 75NP (Termo)</t>
  </si>
  <si>
    <t>Cuad.Grap. Cuadr. 92 Hj Layconsa Estud. NP (Termo)</t>
  </si>
  <si>
    <t>Cuad.Grap. Rayado 92 Hj Layconsa Estud. NP (Termo)</t>
  </si>
  <si>
    <t>Cuad.Grap. T. R. Calig.  92 Hj Layconsa Estud. NP (Termo)</t>
  </si>
  <si>
    <t>Cuad.Grap. T. Renglón 92 Hj Layconsa Estud. NP (Termo)</t>
  </si>
  <si>
    <t>Cuad.Grap. Cuadr. 92 Hj Layconsa Teens (Termo)</t>
  </si>
  <si>
    <t>Cuad.Grap. Rayado 92 Hj Layconsa Teens (Termo)</t>
  </si>
  <si>
    <t>Cuad. Grap. Cuad. 92 Hj Layconsa Princesas NP (Termo)</t>
  </si>
  <si>
    <t>Cuad. Grap. Ray. 92 Hj Layconsa Princesas NP (Termo)</t>
  </si>
  <si>
    <t>Cuad. Grap. T. Reglón Calig. 92 Hj Layconsa Princesas NP (Termo)</t>
  </si>
  <si>
    <t>Cuad. Grap. Cuad. 92 Hj Layconsa Princesas Zombie NP (Termo)</t>
  </si>
  <si>
    <t>Cuad. Grap. T. Reglón Calig. 92 Hj Layconsa Princesas Zombie NP (Termo)</t>
  </si>
  <si>
    <t>Cuad. Grap. Cuad. 92 Hj Layconsa Alianza Lima NP (Termo)</t>
  </si>
  <si>
    <t>Cuad. Grap. Ray. 92 Hj Layconsa Alianza Lima NP (Termo)</t>
  </si>
  <si>
    <t>Cuad. Grap. T. R. Calig.  92 Hj Layconsa Alianza Lima NP (Termo)</t>
  </si>
  <si>
    <t>Cuad. Grap. Cuad. 92 Hj Layconsa Universitario de Deportes NP (Termo)</t>
  </si>
  <si>
    <t>Cuad. Grap. Ray. 92 Hj Layconsa Universitario de Deportes NP (Termo)</t>
  </si>
  <si>
    <t>Cuad. Grap. T. R. Calig.  92 Hj Layconsa Universitario NP (Termo)</t>
  </si>
  <si>
    <t>Cuad. Grap. Cuad. 92 Hj Layconsa Sweet NP (Termo)</t>
  </si>
  <si>
    <t>Cuad. Grap. T. R. Calig. 92 Hj Layconsa Sweet NP (Termo)</t>
  </si>
  <si>
    <t>Cuad. Grap. Cuad. 92 Hj Layconsa Street Racer NP (Termo)</t>
  </si>
  <si>
    <t>Cuad. Grap. Ray. 92 Hj Layconsa Street Racer NP (Termo)</t>
  </si>
  <si>
    <t>Cuad.Grap. Cuadriculado 80 Hj  Arcoiris NP (Termo)</t>
  </si>
  <si>
    <t>Cuad.Grap. Rayado 80 Hj  Arcoiris NP (Termo)</t>
  </si>
  <si>
    <t>Cuad. Grap. Cuad. 80 Hj Arcoiris c/diseño (Termo)</t>
  </si>
  <si>
    <t>Cuad. Grap. Ray. 80 Hj Arcoiris c/diseño (Termo)</t>
  </si>
  <si>
    <t>Cuad.Grap. Cuadr. 40 Hj Layconsa Puppy</t>
  </si>
  <si>
    <t>Cuad. Grap. Cuad. 92 Hj Layconsa Princess Club NP</t>
  </si>
  <si>
    <t>Cuad. Grap. T. R. Calig.  92 Hj Layconsa Princess Club  NP</t>
  </si>
  <si>
    <t>Cuad. Grap. Cuad. 92 Hj Layconsa Art Ink NP</t>
  </si>
  <si>
    <t>Cuad. Grap. Cuad. 92 Hj Layconsa Princess Club NP Termo</t>
  </si>
  <si>
    <t>Cuad. Grap.  T. Reglón Calig. 92 Hj Layconsa Princess Club NP Termo</t>
  </si>
  <si>
    <t>Cuad. Grap. Cuad. 92 Hj Layconsa Art Ink  NP Termo</t>
  </si>
  <si>
    <t>Cuad. Grap. T. Raya Sur 92 Hj Layconsa Estud. NP (Termo)</t>
  </si>
  <si>
    <t>Cuad. Grap. Varios 92 Hj Layconsa</t>
  </si>
  <si>
    <t>Cuad. Grap. Cuad. 92 Hj Layconsa Cute Puppy NP</t>
  </si>
  <si>
    <t>Cuad. Grap. Cuad. 92 Hj Layconsa Dino Attack NP</t>
  </si>
  <si>
    <t>Cuad. Grap. Cuad. 92 Hj Layconsa Unicorns NP</t>
  </si>
  <si>
    <t>Cuad. Grap. Cuad. 92 Hj Layconsa Perú Campeón NP</t>
  </si>
  <si>
    <t>Cuad. Grap. Cuad. 92 Hj Layconsa Sweet Surprise NP</t>
  </si>
  <si>
    <t>Cuad. Grap. Cuad. 92 Hj Layconsa Smile NP</t>
  </si>
  <si>
    <t>Cuad. Grap. Cuad. 92 Hj Layconsa Jean Line NP</t>
  </si>
  <si>
    <t>Cuad. Grap. Cuad. 92 Hj Layconsa Cars Zone NP</t>
  </si>
  <si>
    <t>Cuad.Grap. Cuadriculado 70 Hj  Arcoiris c/ diseño</t>
  </si>
  <si>
    <t>Cuad.Grap. Rayado 70 Hj  Arcoiris c/ diseño</t>
  </si>
  <si>
    <t>Cuad.Grap. Triple Reglón Caligráfico 70 Hj  Arcoiris c/ diseño</t>
  </si>
  <si>
    <t>Cuad.Grap. Cuadr. 50 Hj Layconsa Teens (Termo)</t>
  </si>
  <si>
    <t>Cuad. Grap. Cuad. 92 Hj Layconsa Sweet Surprice NP (Termo)</t>
  </si>
  <si>
    <t>Cuad. Grap. Cuad. 92 Hj Layconsa Smile NP (Termo)</t>
  </si>
  <si>
    <t>Cuad. Grap. Cuad. 92 Hj Layconsa Cute Puppy NP (Termo)</t>
  </si>
  <si>
    <t>Cuad. Grap. Cuad. 92 Hj Layconsa Jean Line NP (Termo)</t>
  </si>
  <si>
    <t>Cuad. Grap. Cuad. 92 Hj Layconsa Cars Zone NP (Termo)</t>
  </si>
  <si>
    <t>Cuad. Grap. Cuad. 92 Hj Layconsa Perú Campeón NP (Termo)</t>
  </si>
  <si>
    <t>Cuad. Grap. Cuad. 92 Hj Layconsa Dino Attack NP (Termo)</t>
  </si>
  <si>
    <t>Cuad.Grap. Cuadr. 92 Hj Layconsa Estud. c/margen</t>
  </si>
  <si>
    <t>Cuad.Grap. Ray. 92 Hj Layconsa Estud. NC</t>
  </si>
  <si>
    <t>Cuad.Grap. T. R. Calig. 92 Hj Layconsa Estud PN.</t>
  </si>
  <si>
    <t>Cuad.Grap. T. Raya Sur 92 Hj Layconsa Estud. PN</t>
  </si>
  <si>
    <t>Cuad.Grap. Cuadr. 92 Hj Layconsa Teens. PN</t>
  </si>
  <si>
    <t>Cuad.Grap. Ray. 92 Hj Layconsa Teens. PN</t>
  </si>
  <si>
    <t>Cuad.Grap. Cuadr. 50 Hj Layconsa Teens. PN</t>
  </si>
  <si>
    <t>Cuad.Grap.Cuadr. 80 Hj Layconsa Puppy 75NC</t>
  </si>
  <si>
    <t>Cuad.Grap. Cuad. 72 Hj  Arcoiris con Sticker c/ margen</t>
  </si>
  <si>
    <t>Cuad.Grap. Cuad. 72 Hj  Arcoiris sin Sticker c/ margen</t>
  </si>
  <si>
    <t>Cuad.Grap. Triple Reglón S 72 Hj  Arcoiris con Sticker</t>
  </si>
  <si>
    <t>Cuad.Grap. Triple Reglón S 72 Hj  Arcoiris sin Sticker</t>
  </si>
  <si>
    <t>Cuad.Grap. Ray. 72 Hj  Arcoiris con Sticker NC</t>
  </si>
  <si>
    <t>Cuad.Grap. Ray. 72 Hj  Arcoiris sin Sticker NC</t>
  </si>
  <si>
    <t>Cuad. Grap. Cuad. 72 Hj Arcoiris c/diseño. sin Sticker PN Hombre y Mujer</t>
  </si>
  <si>
    <t>Cuad. Grap. Ray. 72 Hj Arcoiris c/diseño. sin Sticker PN Hombre y Mujer</t>
  </si>
  <si>
    <t>Cuad. Grap. Triple Reglon 72 Hj Arcoiris c/diseño.sin Sticker PN Hombre y Mujer</t>
  </si>
  <si>
    <t>Cuad. Grap. Cuad. 72 Hj Arcoiris c/diseño.con Sticker PN Hombre y Mujer</t>
  </si>
  <si>
    <t>Cuad. Grap. Ray. 72 Hj Arcoiris c/diseño. con Sticker PN Hombre y Mujer</t>
  </si>
  <si>
    <t>Cuad. Grap. Triple Reglon 72 Hj Arcoiris c/diseño. con Sticker PN Hombre y Mujer</t>
  </si>
  <si>
    <t>Cuad. Grap. Cuad. 80 Hj Arcoiris c/diseño.con Sticker PN Hombre y Mujer</t>
  </si>
  <si>
    <t>Cuad. Grap. Ray. 80 Hj Arcoiris c/diseño. con Sticker PN Hombre y Mujer</t>
  </si>
  <si>
    <t>Cuad. Grap. Triple Reglon 80 Hj Arcoiris c/diseño. con Sticker PN Hombre y Mujer</t>
  </si>
  <si>
    <t>Cuad.Grap. Cuad. 80 Hj  Arcoiris con Sticker c/ margen</t>
  </si>
  <si>
    <t>Cuad.Grap. Triple Reglón S 80 Hj  Arcoiris con Sticker</t>
  </si>
  <si>
    <t>Cuad.Grap. Ray. 80 Hj Arcoiris con Sticker NC</t>
  </si>
  <si>
    <t>Cuad. Grap. Cuad. 92H Layconsa c/ diseño Primaria + Secundaria Hombre</t>
  </si>
  <si>
    <t>Cuad. Grap. Ray. 92H Layconsa c/ diseño Primaria + Secundaria Hombre</t>
  </si>
  <si>
    <t>Cuad.Grap.Triple Reglón Calig. 92H Layconsa c/ diseño Prim+Secun Hombre</t>
  </si>
  <si>
    <t>Cuad. Grap. Cuad. 92H Layconsa c/ diseño Primaria + Secundaria Mujer</t>
  </si>
  <si>
    <t>Cuad. Grap. Ray. 92H Layconsa c/ diseño Primaria + Secundaria Mujer</t>
  </si>
  <si>
    <t>Cuad. Grap. Cuad. 92H Layconsa c/ diseño Unicornios</t>
  </si>
  <si>
    <t>Cuad.Grap. Triple Reglón Caligráfico c/ diseño Princess Club</t>
  </si>
  <si>
    <t>Cuad. Grap. Cuad. 92H Layconsa c/ diseño Princess Club</t>
  </si>
  <si>
    <t>Cuad. Grap. Cuad. 92H Layconsa c/ diseño Dino Attack</t>
  </si>
  <si>
    <t>Cuad. Grap. Cuad. 92H Layconsa c/ diseño Mandalas + Sweet Surprise</t>
  </si>
  <si>
    <t>Cuad. Grap.Cuadr. 92 Hj Layconsa Sweet Surprise N</t>
  </si>
  <si>
    <t>Cuad. A-4 Cuadriculado Class &amp; Work color sólido</t>
  </si>
  <si>
    <t>Cuad. A-4 Rayado Class &amp; Work color sólido</t>
  </si>
  <si>
    <t>Cuad. A-4 T. Reglón Sombra num Class &amp; Work color sólido</t>
  </si>
  <si>
    <t>Cuad. A-4 Cuadriculado Class &amp; Work diseño</t>
  </si>
  <si>
    <t>Cuad. A-4 Rayado Class &amp; Work diseño</t>
  </si>
  <si>
    <t>Cuad. A-4 T. Reglón Sombra num Class &amp; Work diseño</t>
  </si>
  <si>
    <t>Refile Papel Bond Impreso</t>
  </si>
  <si>
    <t>Refile Cartulina Duplex</t>
  </si>
  <si>
    <t>Refile Papel Couche</t>
  </si>
  <si>
    <t>Cuad.Grap. Rayado c/ diseño Princess Club</t>
  </si>
  <si>
    <t>Cuad.Grap. 2x2 c/ diseño Car Zone</t>
  </si>
  <si>
    <t>Cuad.Grap. 2x2 c/ diseño Princess Club</t>
  </si>
  <si>
    <t>Cuad.Grap. Rayado c/ diseño Cute Pets</t>
  </si>
  <si>
    <t>Cuad.Grap. Cuadr. 50 Hj Papelito</t>
  </si>
  <si>
    <t>Cuaderno Anillado A4 cuadric.  CONA 120 H diseño 1  T/Dura</t>
  </si>
  <si>
    <t>Cuaderno Anillado A4 cuadric.  CONA 120 H diseño 2  T/Dura</t>
  </si>
  <si>
    <t>Cuad. Gra. Cuad. Exclusivo</t>
  </si>
  <si>
    <t>Cuad. Gra. Ray. Exclusivo</t>
  </si>
  <si>
    <t>Papel sobrante en tuco</t>
  </si>
  <si>
    <t>Cuad. Grap. Rayado 80H Layconsa Femenino</t>
  </si>
  <si>
    <t>Cuad. Grap. Rayado 80H Layconsa Masculino</t>
  </si>
  <si>
    <t>Cuad. Grap. T. Renglón  80H Layconsa Femenino</t>
  </si>
  <si>
    <t>Cuad. Grap. T. Renglón  80H Layconsa Masculino</t>
  </si>
  <si>
    <t>motivo2</t>
  </si>
  <si>
    <t>Digitar · parte</t>
  </si>
  <si>
    <t>M. GARCIA</t>
  </si>
  <si>
    <t>Digitar · parte con 2 OT</t>
  </si>
  <si>
    <t>J. ZAMBRANO</t>
  </si>
  <si>
    <t>Peso bruto (kg)</t>
  </si>
  <si>
    <t>Papel consumido (kg)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</si>
</sst>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000"/>
    <numFmt numFmtId="167" formatCode="dd/mm/yyyy"/>
    <numFmt numFmtId="168" formatCode="0.0%"/>
    <numFmt numFmtId="169" formatCode="#,##0.0"/>
    <numFmt numFmtId="170" formatCode="hh:mm"/>
  </numFmts>
  <fonts count="16" x14ac:knownFonts="1">
    <font>
      <sz val="11"/>
      <color theme="1"/>
      <name val="Calibri"/>
      <family val="2"/>
      <scheme val="minor"/>
    </font>
    <font>
      <b/>
      <sz val="14"/>
      <color rgb="FF1F3864"/>
      <name val="Arial"/>
    </font>
    <font>
      <i/>
      <sz val="9"/>
      <color rgb="FF595959"/>
      <name val="Arial"/>
    </font>
    <font>
      <b/>
      <sz val="10"/>
      <color rgb="FFFFFFFF"/>
      <name val="Arial"/>
    </font>
    <font>
      <sz val="10"/>
      <name val="Arial"/>
    </font>
    <font>
      <sz val="9"/>
      <color rgb="FF404040"/>
      <name val="Arial"/>
    </font>
    <font>
      <b/>
      <sz val="10"/>
      <color rgb="FF404040"/>
      <name val="Arial"/>
    </font>
    <font>
      <sz val="9"/>
      <color rgb="FF595959"/>
      <name val="Arial"/>
    </font>
    <font>
      <b/>
      <sz val="9"/>
      <color rgb="FFFFFFFF"/>
      <name val="Arial"/>
    </font>
    <font>
      <b/>
      <sz val="8"/>
      <name val="Arial"/>
    </font>
    <font>
      <b/>
      <sz val="9"/>
      <name val="Arial"/>
    </font>
    <font>
      <b/>
      <sz val="16"/>
      <color rgb="FFFFFFFF"/>
      <name val="Arial"/>
    </font>
    <font>
      <b/>
      <sz val="10"/>
      <name val="Arial"/>
    </font>
    <font>
      <b/>
      <sz val="10"/>
      <color rgb="FF1F3864"/>
      <name val="Arial"/>
    </font>
    <font>
      <sz val="10"/>
      <color rgb="FF969696"/>
      <name val="Arial"/>
    </font>
    <font>
      <sz val="10"/>
      <color rgb="FF404040"/>
      <name val="Arial"/>
    </font>
  </fonts>
  <fills count="10">
    <fill>
      <patternFill patternType="none"/>
    </fill>
    <fill>
      <patternFill patternType="gray125"/>
    </fill>
    <fill>
      <patternFill patternType="solid">
        <fgColor rgb="FF2F5597"/>
      </patternFill>
    </fill>
    <fill>
      <patternFill patternType="solid">
        <fgColor rgb="FFFFF2CC"/>
      </patternFill>
    </fill>
    <fill>
      <patternFill patternType="solid">
        <fgColor rgb="FFDDEBF7"/>
      </patternFill>
    </fill>
    <fill>
      <patternFill patternType="solid">
        <fgColor rgb="FFF2F2F2"/>
      </patternFill>
    </fill>
    <fill>
      <patternFill patternType="solid">
        <fgColor rgb="FFDAEEF3"/>
      </patternFill>
    </fill>
    <fill>
      <patternFill patternType="solid">
        <fgColor rgb="FFFFFF00"/>
      </patternFill>
    </fill>
    <fill>
      <patternFill patternType="solid">
        <fgColor rgb="FF1F3864"/>
      </patternFill>
    </fill>
    <fill>
      <patternFill patternType="solid">
        <fgColor rgb="FFFFFFCC"/>
      </patternFill>
    </fill>
  </fills>
  <borders count="2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2" fillId="0" borderId="0" xfId="0" applyFont="1"/>
    <xf numFmtId="0" fontId="6" fillId="5" borderId="0" xfId="0" applyFont="1" applyFill="1" applyAlignment="1">
      <alignment horizontal="left" vertical="center"/>
    </xf>
    <xf numFmtId="167" fontId="4" fillId="3" borderId="1" xfId="0" applyNumberFormat="1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center" vertical="center"/>
    </xf>
    <xf numFmtId="2" fontId="13" fillId="4" borderId="0" xfId="0" applyNumberFormat="1" applyFont="1" applyFill="1" applyAlignment="1">
      <alignment horizontal="center"/>
    </xf>
    <xf numFmtId="20" fontId="4" fillId="3" borderId="1" xfId="0" applyNumberFormat="1" applyFont="1" applyFill="1" applyBorder="1" applyAlignment="1">
      <alignment horizontal="center" vertical="center"/>
    </xf>
    <xf numFmtId="20" fontId="4" fillId="3" borderId="1" xfId="0" applyNumberFormat="1" applyFont="1" applyFill="1" applyBorder="1" applyAlignment="1">
      <alignment horizontal="left" vertical="center"/>
    </xf>
    <xf numFmtId="2" fontId="4" fillId="4" borderId="1" xfId="0" applyNumberFormat="1" applyFont="1" applyFill="1" applyBorder="1" applyAlignment="1">
      <alignment horizontal="center" vertical="center"/>
    </xf>
    <xf numFmtId="3" fontId="13" fillId="4" borderId="0" xfId="0" applyNumberFormat="1" applyFont="1" applyFill="1" applyAlignment="1">
      <alignment horizontal="center"/>
    </xf>
    <xf numFmtId="168" fontId="13" fillId="4" borderId="0" xfId="0" applyNumberFormat="1" applyFont="1" applyFill="1" applyAlignment="1">
      <alignment horizontal="center"/>
    </xf>
    <xf numFmtId="0" fontId="6" fillId="5" borderId="0" xfId="0" applyFont="1" applyFill="1" applyAlignment="1">
      <alignment horizontal="center" vertical="center" wrapText="1"/>
    </xf>
    <xf numFmtId="10" fontId="13" fillId="4" borderId="0" xfId="0" applyNumberFormat="1" applyFont="1" applyFill="1" applyAlignment="1">
      <alignment horizontal="center"/>
    </xf>
    <xf numFmtId="1" fontId="4" fillId="3" borderId="1" xfId="0" applyNumberFormat="1" applyFont="1" applyFill="1" applyBorder="1" applyAlignment="1">
      <alignment horizontal="center" vertical="center"/>
    </xf>
    <xf numFmtId="1" fontId="4" fillId="9" borderId="1" xfId="0" applyNumberFormat="1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left" vertical="center"/>
    </xf>
    <xf numFmtId="3" fontId="4" fillId="3" borderId="1" xfId="0" applyNumberFormat="1" applyFont="1" applyFill="1" applyBorder="1" applyAlignment="1">
      <alignment horizontal="center" vertical="center"/>
    </xf>
    <xf numFmtId="3" fontId="4" fillId="4" borderId="1" xfId="0" applyNumberFormat="1" applyFont="1" applyFill="1" applyBorder="1" applyAlignment="1">
      <alignment horizontal="center" vertical="center"/>
    </xf>
    <xf numFmtId="3" fontId="12" fillId="4" borderId="1" xfId="0" applyNumberFormat="1" applyFont="1" applyFill="1" applyBorder="1" applyAlignment="1">
      <alignment horizontal="center" vertical="center"/>
    </xf>
    <xf numFmtId="2" fontId="12" fillId="4" borderId="1" xfId="0" applyNumberFormat="1" applyFont="1" applyFill="1" applyBorder="1" applyAlignment="1">
      <alignment horizontal="center" vertical="center"/>
    </xf>
    <xf numFmtId="164" fontId="4" fillId="9" borderId="1" xfId="0" applyNumberFormat="1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left" vertical="center"/>
    </xf>
    <xf numFmtId="1" fontId="4" fillId="4" borderId="1" xfId="0" applyNumberFormat="1" applyFont="1" applyFill="1" applyBorder="1" applyAlignment="1">
      <alignment horizontal="center" vertical="center"/>
    </xf>
    <xf numFmtId="169" fontId="4" fillId="3" borderId="1" xfId="0" applyNumberFormat="1" applyFont="1" applyFill="1" applyBorder="1" applyAlignment="1">
      <alignment horizontal="center" vertical="center"/>
    </xf>
    <xf numFmtId="169" fontId="4" fillId="4" borderId="1" xfId="0" applyNumberFormat="1" applyFont="1" applyFill="1" applyBorder="1" applyAlignment="1">
      <alignment horizontal="center" vertical="center"/>
    </xf>
    <xf numFmtId="0" fontId="14" fillId="0" borderId="0" xfId="0" applyFont="1" applyAlignment="1">
      <alignment horizontal="center"/>
    </xf>
    <xf numFmtId="167" fontId="15" fillId="0" borderId="0" xfId="0" applyNumberFormat="1" applyFont="1" applyAlignment="1">
      <alignment horizontal="center" shrinkToFit="1"/>
    </xf>
    <xf numFmtId="0" fontId="15" fillId="0" borderId="0" xfId="0" applyFont="1" applyAlignment="1">
      <alignment horizontal="center" shrinkToFit="1"/>
    </xf>
    <xf numFmtId="3" fontId="15" fillId="0" borderId="0" xfId="0" applyNumberFormat="1" applyFont="1" applyAlignment="1">
      <alignment horizontal="center" shrinkToFit="1"/>
    </xf>
    <xf numFmtId="2" fontId="15" fillId="0" borderId="0" xfId="0" applyNumberFormat="1" applyFont="1" applyAlignment="1">
      <alignment horizontal="center" shrinkToFit="1"/>
    </xf>
    <xf numFmtId="0" fontId="8" fillId="2" borderId="0" xfId="0" applyFont="1" applyFill="1" applyAlignment="1">
      <alignment horizontal="center" vertical="center" wrapText="1"/>
    </xf>
    <xf numFmtId="0" fontId="9" fillId="6" borderId="0" xfId="0" applyFont="1" applyFill="1" applyAlignment="1">
      <alignment horizontal="center" vertical="center" wrapText="1"/>
    </xf>
    <xf numFmtId="0" fontId="10" fillId="7" borderId="0" xfId="0" applyFont="1" applyFill="1" applyAlignment="1">
      <alignment horizontal="center" vertical="center" wrapText="1"/>
    </xf>
    <xf numFmtId="0" fontId="8" fillId="8" borderId="0" xfId="0" applyFont="1" applyFill="1" applyAlignment="1">
      <alignment horizontal="center" vertical="center" wrapText="1"/>
    </xf>
    <xf numFmtId="167" fontId="0" fillId="0" borderId="0" xfId="0" applyNumberFormat="1"/>
    <xf numFmtId="2" fontId="0" fillId="0" borderId="0" xfId="0" applyNumberFormat="1"/>
    <xf numFmtId="3" fontId="0" fillId="0" borderId="0" xfId="0" applyNumberFormat="1"/>
    <xf numFmtId="20" fontId="0" fillId="0" borderId="0" xfId="0" applyNumberFormat="1"/>
    <xf numFmtId="168" fontId="0" fillId="0" borderId="0" xfId="0" applyNumberFormat="1"/>
    <xf numFmtId="10" fontId="0" fillId="0" borderId="0" xfId="0" applyNumberFormat="1"/>
    <xf numFmtId="0" fontId="3" fillId="2" borderId="0" xfId="0" applyFont="1" applyFill="1" applyAlignment="1">
      <alignment horizontal="center" vertical="center" wrapText="1"/>
    </xf>
    <xf numFmtId="0" fontId="1" fillId="0" borderId="0" xfId="0" applyFont="1"/>
    <xf numFmtId="0" fontId="6" fillId="5" borderId="0" xfId="0" applyFont="1" applyFill="1"/>
    <xf numFmtId="2" fontId="0" fillId="3" borderId="1" xfId="0" applyNumberFormat="1" applyFill="1" applyBorder="1"/>
    <xf numFmtId="0" fontId="4" fillId="0" borderId="1" xfId="0" applyFont="1" applyBorder="1"/>
    <xf numFmtId="3" fontId="4" fillId="3" borderId="1" xfId="0" applyNumberFormat="1" applyFont="1" applyFill="1" applyBorder="1"/>
    <xf numFmtId="3" fontId="4" fillId="0" borderId="1" xfId="0" applyNumberFormat="1" applyFont="1" applyBorder="1"/>
    <xf numFmtId="3" fontId="0" fillId="4" borderId="1" xfId="0" applyNumberFormat="1" applyFill="1" applyBorder="1"/>
    <xf numFmtId="0" fontId="7" fillId="0" borderId="0" xfId="0" applyFont="1"/>
    <xf numFmtId="0" fontId="5" fillId="0" borderId="0" xfId="0" applyFont="1"/>
    <xf numFmtId="2" fontId="4" fillId="0" borderId="1" xfId="0" applyNumberFormat="1" applyFont="1" applyBorder="1"/>
    <xf numFmtId="164" fontId="4" fillId="0" borderId="1" xfId="0" applyNumberFormat="1" applyFont="1" applyBorder="1" applyAlignment="1">
      <alignment horizontal="center"/>
    </xf>
    <xf numFmtId="0" fontId="4" fillId="0" borderId="0" xfId="0" applyFont="1"/>
    <xf numFmtId="165" fontId="0" fillId="0" borderId="0" xfId="0" applyNumberFormat="1"/>
    <xf numFmtId="0" fontId="6" fillId="5" borderId="0" xfId="0" applyFont="1" applyFill="1" applyAlignment="1">
      <alignment horizontal="left" vertical="center"/>
    </xf>
    <xf numFmtId="0" fontId="0" fillId="5" borderId="0" xfId="0" applyFill="1"/>
    <xf numFmtId="0" fontId="4" fillId="3" borderId="1" xfId="0" applyFont="1" applyFill="1" applyBorder="1" applyAlignment="1">
      <alignment horizontal="left" vertical="center"/>
    </xf>
    <xf numFmtId="0" fontId="0" fillId="3" borderId="1" xfId="0" applyFill="1" applyBorder="1"/>
    <xf numFmtId="0" fontId="3" fillId="2" borderId="0" xfId="0" applyFont="1" applyFill="1" applyAlignment="1">
      <alignment horizontal="left" vertical="center"/>
    </xf>
    <xf numFmtId="0" fontId="0" fillId="2" borderId="0" xfId="0" applyFill="1"/>
    <xf numFmtId="0" fontId="6" fillId="5" borderId="0" xfId="0" applyFont="1" applyFill="1" applyAlignment="1">
      <alignment horizontal="center" vertical="center" wrapText="1"/>
    </xf>
    <xf numFmtId="0" fontId="0" fillId="0" borderId="0" xfId="0"/>
    <xf numFmtId="0" fontId="3" fillId="2" borderId="0" xfId="0" applyFont="1" applyFill="1"/>
    <xf numFmtId="0" fontId="2" fillId="0" borderId="0" xfId="0" applyFont="1"/>
    <xf numFmtId="0" fontId="11" fillId="8" borderId="0" xfId="0" applyFont="1" applyFill="1" applyAlignment="1">
      <alignment horizontal="left" vertical="center"/>
    </xf>
    <xf numFmtId="0" fontId="0" fillId="8" borderId="0" xfId="0" applyFill="1"/>
    <xf numFmtId="170" fontId="0" fillId="0" borderId="0" xfId="0" applyNumberFormat="1"/>
  </cellXfs>
  <cellStyles count="1">
    <cellStyle name="Normal" xfId="0" builtinId="0"/>
  </cellStyles>
  <dxfs count="5">
    <dxf>
      <font>
        <color rgb="FFB45309"/>
      </font>
      <fill>
        <patternFill patternType="solid">
          <fgColor rgb="FFFEF4E2"/>
        </patternFill>
      </fill>
    </dxf>
    <dxf>
      <font>
        <color rgb="FFB91C1C"/>
      </font>
      <fill>
        <patternFill patternType="solid">
          <fgColor rgb="FFFDECEA"/>
        </patternFill>
      </fill>
    </dxf>
    <dxf>
      <font>
        <b/>
        <color rgb="FFB91C1C"/>
      </font>
    </dxf>
    <dxf>
      <font>
        <b/>
        <color rgb="FFB91C1C"/>
      </font>
    </dxf>
    <dxf>
      <font>
        <b/>
        <color rgb="FFB91C1C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0</xdr:colOff>
      <xdr:row>11</xdr:row>
      <xdr:rowOff>45720</xdr:rowOff>
    </xdr:from>
    <xdr:to>
      <xdr:col>14</xdr:col>
      <xdr:colOff>0</xdr:colOff>
      <xdr:row>15</xdr:row>
      <xdr:rowOff>0</xdr:rowOff>
    </xdr:to>
    <xdr:sp macro="[0]!Registrar" textlink="">
      <xdr:nvSpPr>
        <xdr:cNvPr id="2" name="btnRegistrar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prstGeom prst="roundRect">
          <a:avLst/>
        </a:prstGeom>
        <a:solidFill>
          <a:srgbClr val="008060"/>
        </a:solidFill>
        <a:ln w="12700">
          <a:solidFill>
            <a:srgbClr val="FFFFFF"/>
          </a:solidFill>
        </a:ln>
      </xdr:spPr>
      <xdr:txBody>
        <a:bodyPr vertOverflow="clip" horzOverflow="clip" rtlCol="0" anchor="ctr"/>
        <a:lstStyle/>
        <a:p>
          <a:pPr algn="ctr"/>
          <a:r>
            <a:rPr lang="es-PE" sz="1100" b="1">
              <a:solidFill>
                <a:srgbClr val="FFFFFF"/>
              </a:solidFill>
            </a:rPr>
            <a:t>REGISTRAR PARTE EN BD</a:t>
          </a:r>
        </a:p>
      </xdr:txBody>
    </xdr:sp>
    <xdr:clientData fPrintsWithSheet="0"/>
  </xdr:twoCellAnchor>
  <xdr:twoCellAnchor editAs="absolute">
    <xdr:from>
      <xdr:col>12</xdr:col>
      <xdr:colOff>0</xdr:colOff>
      <xdr:row>15</xdr:row>
      <xdr:rowOff>45720</xdr:rowOff>
    </xdr:from>
    <xdr:to>
      <xdr:col>14</xdr:col>
      <xdr:colOff>0</xdr:colOff>
      <xdr:row>17</xdr:row>
      <xdr:rowOff>0</xdr:rowOff>
    </xdr:to>
    <xdr:sp macro="[0]!LimpiarParte" textlink="">
      <xdr:nvSpPr>
        <xdr:cNvPr id="3" name="btnLimpiar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prstGeom prst="roundRect">
          <a:avLst/>
        </a:prstGeom>
        <a:solidFill>
          <a:srgbClr val="2F5597"/>
        </a:solidFill>
        <a:ln w="12700">
          <a:solidFill>
            <a:srgbClr val="FFFFFF"/>
          </a:solidFill>
        </a:ln>
      </xdr:spPr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FFFF"/>
              </a:solidFill>
            </a:rPr>
            <a:t>Limpiar parte</a:t>
          </a:r>
        </a:p>
      </xdr:txBody>
    </xdr:sp>
    <xdr:clientData fPrintsWithSheet="0"/>
  </xdr:twoCellAnchor>
  <xdr:twoCellAnchor editAs="absolute">
    <xdr:from>
      <xdr:col>12</xdr:col>
      <xdr:colOff>0</xdr:colOff>
      <xdr:row>17</xdr:row>
      <xdr:rowOff>45720</xdr:rowOff>
    </xdr:from>
    <xdr:to>
      <xdr:col>14</xdr:col>
      <xdr:colOff>0</xdr:colOff>
      <xdr:row>19</xdr:row>
      <xdr:rowOff>0</xdr:rowOff>
    </xdr:to>
    <xdr:sp macro="[0]!CompletarNoProgramados" textlink="">
      <xdr:nvSpPr>
        <xdr:cNvPr id="4" name="btnNoProgramado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prstGeom prst="roundRect">
          <a:avLst/>
        </a:prstGeom>
        <a:solidFill>
          <a:srgbClr val="7F6000"/>
        </a:solidFill>
        <a:ln w="12700">
          <a:solidFill>
            <a:srgbClr val="FFFFFF"/>
          </a:solidFill>
        </a:ln>
      </xdr:spPr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FFFF"/>
              </a:solidFill>
            </a:rPr>
            <a:t>Turno sin programa = No programado</a:t>
          </a:r>
        </a:p>
      </xdr:txBody>
    </xdr:sp>
    <xdr:clientData fPrintsWithSheet="0"/>
  </xdr:twoCellAnchor>
  <xdr:twoCellAnchor editAs="absolute">
    <xdr:from>
      <xdr:col>12</xdr:col>
      <xdr:colOff>0</xdr:colOff>
      <xdr:row>19</xdr:row>
      <xdr:rowOff>45720</xdr:rowOff>
    </xdr:from>
    <xdr:to>
      <xdr:col>14</xdr:col>
      <xdr:colOff>0</xdr:colOff>
      <xdr:row>21</xdr:row>
      <xdr:rowOff>0</xdr:rowOff>
    </xdr:to>
    <xdr:sp macro="[0]!DeshacerUltimo" textlink="">
      <xdr:nvSpPr>
        <xdr:cNvPr id="5" name="btnDeshacer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prstGeom prst="roundRect">
          <a:avLst/>
        </a:prstGeom>
        <a:solidFill>
          <a:srgbClr val="B91C1C"/>
        </a:solidFill>
        <a:ln w="12700">
          <a:solidFill>
            <a:srgbClr val="FFFFFF"/>
          </a:solidFill>
        </a:ln>
      </xdr:spPr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FFFF"/>
              </a:solidFill>
            </a:rPr>
            <a:t>Deshacer último parte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D" displayName="tBD" ref="A1:CB848">
  <autoFilter ref="A1:CB848" xr:uid="{00000000-0009-0000-0100-000001000000}"/>
  <tableColumns count="80">
    <tableColumn id="1" xr3:uid="{00000000-0010-0000-0000-000001000000}" name="Fecha"/>
    <tableColumn id="2" xr3:uid="{00000000-0010-0000-0000-000002000000}" name="Hrs máquina (fracción)"/>
    <tableColumn id="3" xr3:uid="{00000000-0010-0000-0000-000003000000}" name="Turno"/>
    <tableColumn id="4" xr3:uid="{00000000-0010-0000-0000-000004000000}" name="Máquina"/>
    <tableColumn id="5" xr3:uid="{00000000-0010-0000-0000-000005000000}" name="Familia comercial"/>
    <tableColumn id="6" xr3:uid="{00000000-0010-0000-0000-000006000000}" name="Familia"/>
    <tableColumn id="7" xr3:uid="{00000000-0010-0000-0000-000007000000}" name="OT"/>
    <tableColumn id="8" xr3:uid="{00000000-0010-0000-0000-000008000000}" name="Código artículo"/>
    <tableColumn id="9" xr3:uid="{00000000-0010-0000-0000-000009000000}" name="Producto"/>
    <tableColumn id="10" xr3:uid="{00000000-0010-0000-0000-00000A000000}" name="Prod. A (cuadernos)"/>
    <tableColumn id="11" xr3:uid="{00000000-0010-0000-0000-00000B000000}" name="Prod. B (cuadernos)"/>
    <tableColumn id="12" xr3:uid="{00000000-0010-0000-0000-00000C000000}" name="N° bobinas"/>
    <tableColumn id="13" xr3:uid="{00000000-0010-0000-0000-00000D000000}" name="Peso bruto (kg)"/>
    <tableColumn id="14" xr3:uid="{00000000-0010-0000-0000-00000E000000}" name="Refile (kg)"/>
    <tableColumn id="15" xr3:uid="{00000000-0010-0000-0000-00000F000000}" name="Merma operativa (kg)"/>
    <tableColumn id="16" xr3:uid="{00000000-0010-0000-0000-000010000000}" name="Lonja operativa (kg)"/>
    <tableColumn id="17" xr3:uid="{00000000-0010-0000-0000-000011000000}" name="Lonja x defecto (kg)"/>
    <tableColumn id="18" xr3:uid="{00000000-0010-0000-0000-000012000000}" name="Merma x arranque (kg)"/>
    <tableColumn id="19" xr3:uid="{00000000-0010-0000-0000-000013000000}" name="Tucos (kg)"/>
    <tableColumn id="20" xr3:uid="{00000000-0010-0000-0000-000014000000}" name="Forro (kg)"/>
    <tableColumn id="21" xr3:uid="{00000000-0010-0000-0000-000015000000}" name="Encargado"/>
    <tableColumn id="22" xr3:uid="{00000000-0010-0000-0000-000016000000}" name="Operador"/>
    <tableColumn id="23" xr3:uid="{00000000-0010-0000-0000-000017000000}" name="Ayudante"/>
    <tableColumn id="24" xr3:uid="{00000000-0010-0000-0000-000018000000}" name="Control calidad"/>
    <tableColumn id="25" xr3:uid="{00000000-0010-0000-0000-000019000000}" name="Hora inicio"/>
    <tableColumn id="26" xr3:uid="{00000000-0010-0000-0000-00001A000000}" name="Hora fin"/>
    <tableColumn id="27" xr3:uid="{00000000-0010-0000-0000-00001B000000}" name="Paradas digitadas"/>
    <tableColumn id="28" xr3:uid="{00000000-0010-0000-0000-00001C000000}" name="Observaciones"/>
    <tableColumn id="29" xr3:uid="{00000000-0010-0000-0000-00001D000000}" name="Origen"/>
    <tableColumn id="30" xr3:uid="{00000000-0010-0000-0000-00001E000000}" name="Limpieza de máquina por inicio de turno"/>
    <tableColumn id="31" xr3:uid="{00000000-0010-0000-0000-00001F000000}" name="Arreglo - cambio de programa"/>
    <tableColumn id="32" xr3:uid="{00000000-0010-0000-0000-000020000000}" name="Arreglo - registro de impresión"/>
    <tableColumn id="33" xr3:uid="{00000000-0010-0000-0000-000021000000}" name="Arreglo - cambio de clisse"/>
    <tableColumn id="34" xr3:uid="{00000000-0010-0000-0000-000022000000}" name="Arreglo - cuadre de topes"/>
    <tableColumn id="35" xr3:uid="{00000000-0010-0000-0000-000023000000}" name="Arreglo - cambio de piñón"/>
    <tableColumn id="36" xr3:uid="{00000000-0010-0000-0000-000024000000}" name="Arreglo - cuadre de engrapadora"/>
    <tableColumn id="37" xr3:uid="{00000000-0010-0000-0000-000025000000}" name="Arreglo - cuadre de formador de lomo"/>
    <tableColumn id="38" xr3:uid="{00000000-0010-0000-0000-000026000000}" name="Arreglo - cuadre de boleadora"/>
    <tableColumn id="39" xr3:uid="{00000000-0010-0000-0000-000027000000}" name="Arreglo - regulación de cuchillas"/>
    <tableColumn id="40" xr3:uid="{00000000-0010-0000-0000-000028000000}" name="Arreglo - cambio de rodillos de impresión"/>
    <tableColumn id="41" xr3:uid="{00000000-0010-0000-0000-000029000000}" name="Arreglo - cambio de cuchillas"/>
    <tableColumn id="42" xr3:uid="{00000000-0010-0000-0000-00002A000000}" name="Arreglo - Magbe"/>
    <tableColumn id="43" xr3:uid="{00000000-0010-0000-0000-00002B000000}" name="Limpieza de máquina por fin de turno"/>
    <tableColumn id="44" xr3:uid="{00000000-0010-0000-0000-00002C000000}" name="Refrigerio"/>
    <tableColumn id="45" xr3:uid="{00000000-0010-0000-0000-00002D000000}" name="Arreglo - acumulador de hojas"/>
    <tableColumn id="46" xr3:uid="{00000000-0010-0000-0000-00002E000000}" name="Pruebas de producción / implementaciones"/>
    <tableColumn id="47" xr3:uid="{00000000-0010-0000-0000-00002F000000}" name="Desabastecimiento de material - Logística"/>
    <tableColumn id="48" xr3:uid="{00000000-0010-0000-0000-000030000000}" name="Mal estado tinta - carátula - sticker - guarda"/>
    <tableColumn id="49" xr3:uid="{00000000-0010-0000-0000-000031000000}" name="Falta de material"/>
    <tableColumn id="50" xr3:uid="{00000000-0010-0000-0000-000032000000}" name="No programado"/>
    <tableColumn id="51" xr3:uid="{00000000-0010-0000-0000-000033000000}" name="Falta de personal"/>
    <tableColumn id="52" xr3:uid="{00000000-0010-0000-0000-000034000000}" name="Mantenimiento programado"/>
    <tableColumn id="53" xr3:uid="{00000000-0010-0000-0000-000035000000}" name="Fallas mecánicas"/>
    <tableColumn id="54" xr3:uid="{00000000-0010-0000-0000-000036000000}" name="Fallas eléctricas"/>
    <tableColumn id="55" xr3:uid="{00000000-0010-0000-0000-000037000000}" name="Limpieza de bandejas / tinas"/>
    <tableColumn id="56" xr3:uid="{00000000-0010-0000-0000-000038000000}" name="Cambio de filtros"/>
    <tableColumn id="57" xr3:uid="{00000000-0010-0000-0000-000039000000}" name="Atoro de refile"/>
    <tableColumn id="58" xr3:uid="{00000000-0010-0000-0000-00003A000000}" name="Acumulación de producto terminado"/>
    <tableColumn id="59" xr3:uid="{00000000-0010-0000-0000-00003B000000}" name="Muestras - pruebas"/>
    <tableColumn id="60" xr3:uid="{00000000-0010-0000-0000-00003C000000}" name="Charlas / reuniones / capacitaciones"/>
    <tableColumn id="61" xr3:uid="{00000000-0010-0000-0000-00003D000000}" name="Limpieza de clisses"/>
    <tableColumn id="62" xr3:uid="{00000000-0010-0000-0000-00003E000000}" name="Otras operaciones"/>
    <tableColumn id="63" xr3:uid="{00000000-0010-0000-0000-00003F000000}" name="MATRICERIA"/>
    <tableColumn id="64" xr3:uid="{00000000-0010-0000-0000-000040000000}" name="PRODUCCION"/>
    <tableColumn id="65" xr3:uid="{00000000-0010-0000-0000-000041000000}" name="MANTENIMIENTO"/>
    <tableColumn id="66" xr3:uid="{00000000-0010-0000-0000-000042000000}" name="CDC"/>
    <tableColumn id="67" xr3:uid="{00000000-0010-0000-0000-000043000000}" name="Día hábil"/>
    <tableColumn id="68" xr3:uid="{00000000-0010-0000-0000-000044000000}" name="Vel. estándar (cuad/h)"/>
    <tableColumn id="69" xr3:uid="{00000000-0010-0000-0000-000045000000}" name="Total cuadernos"/>
    <tableColumn id="70" xr3:uid="{00000000-0010-0000-0000-000046000000}" name="Horas registradas (h)"/>
    <tableColumn id="71" xr3:uid="{00000000-0010-0000-0000-000047000000}" name="Paradas (h)"/>
    <tableColumn id="72" xr3:uid="{00000000-0010-0000-0000-000048000000}" name="Horas produciendo (h)"/>
    <tableColumn id="73" xr3:uid="{00000000-0010-0000-0000-000049000000}" name="Horas efectivas (h)"/>
    <tableColumn id="74" xr3:uid="{00000000-0010-0000-0000-00004A000000}" name="Rendimiento"/>
    <tableColumn id="75" xr3:uid="{00000000-0010-0000-0000-00004B000000}" name="Calidad"/>
    <tableColumn id="76" xr3:uid="{00000000-0010-0000-0000-00004C000000}" name="% merma controlable"/>
    <tableColumn id="77" xr3:uid="{00000000-0010-0000-0000-00004D000000}" name="% merma origen"/>
    <tableColumn id="78" xr3:uid="{00000000-0010-0000-0000-00004E000000}" name="Estado"/>
    <tableColumn id="79" xr3:uid="{00000000-0010-0000-0000-00004F000000}" name="Entra al OEE"/>
    <tableColumn id="80" xr3:uid="{00000000-0010-0000-0000-000050000000}" name="Papel consumido (kg)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OT" displayName="tOT" ref="A1:E277">
  <autoFilter ref="A1:E277" xr:uid="{00000000-0009-0000-0100-000002000000}"/>
  <tableColumns count="5">
    <tableColumn id="1" xr3:uid="{00000000-0010-0000-0100-000001000000}" name="OT"/>
    <tableColumn id="2" xr3:uid="{00000000-0010-0000-0100-000002000000}" name="Código artículo"/>
    <tableColumn id="3" xr3:uid="{00000000-0010-0000-0100-000003000000}" name="Producto"/>
    <tableColumn id="4" xr3:uid="{00000000-0010-0000-0100-000004000000}" name="Familia"/>
    <tableColumn id="5" xr3:uid="{00000000-0010-0000-0100-000005000000}" name="Última fech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Familias" displayName="tFamilias" ref="A4:G25">
  <autoFilter ref="A4:G25" xr:uid="{00000000-0009-0000-0100-000003000000}"/>
  <tableColumns count="7">
    <tableColumn id="1" xr3:uid="{00000000-0010-0000-0200-000001000000}" name="Familia"/>
    <tableColumn id="2" xr3:uid="{00000000-0010-0000-0200-000002000000}" name="Grupo"/>
    <tableColumn id="3" xr3:uid="{00000000-0010-0000-0200-000003000000}" name="Vel. estándar (cuad/h)"/>
    <tableColumn id="4" xr3:uid="{00000000-0010-0000-0200-000004000000}" name="Vel. típica (cuad/h)"/>
    <tableColumn id="5" xr3:uid="{00000000-0010-0000-0200-000005000000}" name="Turnos muestra"/>
    <tableColumn id="6" xr3:uid="{00000000-0010-0000-0200-000006000000}" name="Fuente del estándar"/>
    <tableColumn id="7" xr3:uid="{00000000-0010-0000-0200-000007000000}" name="Cuadernos por turno estándar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Motivos" displayName="tMotivos" ref="A4:H37">
  <autoFilter ref="A4:H37" xr:uid="{00000000-0009-0000-0100-000004000000}"/>
  <tableColumns count="8">
    <tableColumn id="1" xr3:uid="{00000000-0010-0000-0300-000001000000}" name="Motivo"/>
    <tableColumn id="2" xr3:uid="{00000000-0010-0000-0300-000002000000}" name="Área responsable"/>
    <tableColumn id="3" xr3:uid="{00000000-0010-0000-0300-000003000000}" name="Tipo"/>
    <tableColumn id="4" xr3:uid="{00000000-0010-0000-0300-000004000000}" name="Activo"/>
    <tableColumn id="5" xr3:uid="{00000000-0010-0000-0300-000005000000}" name="Horas registradas (ref.)"/>
    <tableColumn id="6" xr3:uid="{00000000-0010-0000-0300-000006000000}" name="cod"/>
    <tableColumn id="7" xr3:uid="{00000000-0010-0000-0300-000007000000}" name="motivo2"/>
    <tableColumn id="8" xr3:uid="{00000000-0010-0000-0300-000008000000}" name="Grupo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Productos" displayName="tProductos" ref="A1:K551">
  <autoFilter ref="A1:K551" xr:uid="{00000000-0009-0000-0100-000005000000}"/>
  <tableColumns count="11">
    <tableColumn id="1" xr3:uid="{00000000-0010-0000-0400-000001000000}" name="Código artículo"/>
    <tableColumn id="2" xr3:uid="{00000000-0010-0000-0400-000002000000}" name="Descripción"/>
    <tableColumn id="3" xr3:uid="{00000000-0010-0000-0400-000003000000}" name="Familia comercial"/>
    <tableColumn id="4" xr3:uid="{00000000-0010-0000-0400-000004000000}" name="Familia"/>
    <tableColumn id="5" xr3:uid="{00000000-0010-0000-0400-000005000000}" name="Familia asignada por"/>
    <tableColumn id="6" xr3:uid="{00000000-0010-0000-0400-000006000000}" name="N° hojas"/>
    <tableColumn id="7" xr3:uid="{00000000-0010-0000-0400-000007000000}" name="Gramaje"/>
    <tableColumn id="8" xr3:uid="{00000000-0010-0000-0400-000008000000}" name="Ancho"/>
    <tableColumn id="9" xr3:uid="{00000000-0010-0000-0400-000009000000}" name="Corte"/>
    <tableColumn id="10" xr3:uid="{00000000-0010-0000-0400-00000A000000}" name="Peso teórico (kg/cuad)"/>
    <tableColumn id="11" xr3:uid="{00000000-0010-0000-0400-00000B000000}" name="Refile (kg/cuad)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Digitar"/>
  <dimension ref="B1:N55"/>
  <sheetViews>
    <sheetView showGridLines="0" tabSelected="1" zoomScale="85" workbookViewId="0">
      <pane ySplit="2" topLeftCell="A3" activePane="bottomLeft" state="frozen"/>
      <selection pane="bottomLeft" activeCell="I8" sqref="I8"/>
    </sheetView>
  </sheetViews>
  <sheetFormatPr baseColWidth="10" defaultColWidth="9.140625" defaultRowHeight="15" x14ac:dyDescent="0.25"/>
  <cols>
    <col min="1" max="1" width="2.7109375" customWidth="1"/>
    <col min="2" max="2" width="11" customWidth="1"/>
    <col min="3" max="3" width="13" customWidth="1"/>
    <col min="4" max="4" width="11" customWidth="1"/>
    <col min="5" max="5" width="46" customWidth="1"/>
    <col min="6" max="6" width="17" customWidth="1"/>
    <col min="7" max="7" width="16" customWidth="1"/>
    <col min="8" max="10" width="11" customWidth="1"/>
    <col min="11" max="11" width="10" customWidth="1"/>
    <col min="12" max="12" width="3" customWidth="1"/>
    <col min="13" max="13" width="26" customWidth="1"/>
    <col min="14" max="14" width="14" customWidth="1"/>
  </cols>
  <sheetData>
    <row r="1" spans="2:14" ht="33.950000000000003" customHeight="1" x14ac:dyDescent="0.25">
      <c r="B1" s="65" t="s">
        <v>0</v>
      </c>
      <c r="C1" s="66"/>
      <c r="D1" s="66"/>
      <c r="E1" s="66"/>
      <c r="F1" s="66"/>
      <c r="G1" s="66"/>
      <c r="H1" s="66"/>
      <c r="I1" s="66"/>
      <c r="J1" s="66"/>
      <c r="K1" s="66"/>
    </row>
    <row r="2" spans="2:14" ht="20.100000000000001" customHeight="1" x14ac:dyDescent="0.25">
      <c r="B2" s="64"/>
      <c r="C2" s="62"/>
      <c r="D2" s="62"/>
      <c r="E2" s="62"/>
      <c r="F2" s="62"/>
      <c r="G2" s="62"/>
      <c r="H2" s="62"/>
      <c r="I2" s="62"/>
      <c r="J2" s="62"/>
      <c r="K2" s="62"/>
    </row>
    <row r="3" spans="2:14" ht="21.95" customHeight="1" x14ac:dyDescent="0.25">
      <c r="B3" s="59" t="s">
        <v>1</v>
      </c>
      <c r="C3" s="60"/>
      <c r="D3" s="60"/>
      <c r="E3" s="60"/>
      <c r="F3" s="60"/>
      <c r="G3" s="60"/>
      <c r="H3" s="60"/>
      <c r="I3" s="60"/>
      <c r="J3" s="60"/>
      <c r="K3" s="60"/>
      <c r="M3" s="63" t="s">
        <v>2</v>
      </c>
      <c r="N3" s="60"/>
    </row>
    <row r="4" spans="2:14" ht="21.95" customHeight="1" x14ac:dyDescent="0.25">
      <c r="B4" s="2" t="s">
        <v>3</v>
      </c>
      <c r="C4" s="3">
        <v>46301</v>
      </c>
      <c r="D4" s="2" t="s">
        <v>4</v>
      </c>
      <c r="E4" s="4" t="s">
        <v>113</v>
      </c>
      <c r="F4" s="2" t="s">
        <v>5</v>
      </c>
      <c r="G4" s="5" t="s">
        <v>6</v>
      </c>
      <c r="M4" s="2" t="s">
        <v>7</v>
      </c>
      <c r="N4" s="6">
        <f>G5</f>
        <v>12</v>
      </c>
    </row>
    <row r="5" spans="2:14" ht="21.95" customHeight="1" x14ac:dyDescent="0.25">
      <c r="B5" s="2" t="s">
        <v>8</v>
      </c>
      <c r="C5" s="7">
        <v>0.29166666666666669</v>
      </c>
      <c r="D5" s="2" t="s">
        <v>9</v>
      </c>
      <c r="E5" s="8">
        <v>0.79166666666666663</v>
      </c>
      <c r="F5" s="2" t="s">
        <v>7</v>
      </c>
      <c r="G5" s="9">
        <f>IF(OR(C5="",E5=""),"",ROUND(MOD(E5-C5,1)*24,2))</f>
        <v>12</v>
      </c>
      <c r="M5" s="2" t="s">
        <v>10</v>
      </c>
      <c r="N5" s="6">
        <f>H34</f>
        <v>0</v>
      </c>
    </row>
    <row r="6" spans="2:14" ht="21.95" customHeight="1" x14ac:dyDescent="0.25">
      <c r="B6" s="55" t="s">
        <v>11</v>
      </c>
      <c r="C6" s="56"/>
      <c r="D6" s="57"/>
      <c r="E6" s="58"/>
      <c r="F6" s="2" t="s">
        <v>12</v>
      </c>
      <c r="G6" s="57"/>
      <c r="H6" s="58"/>
      <c r="I6" s="58"/>
      <c r="J6" s="58"/>
      <c r="K6" s="58"/>
      <c r="M6" s="2" t="s">
        <v>13</v>
      </c>
      <c r="N6" s="6">
        <f>IF(G5="","",MAX(0,G5-H34))</f>
        <v>12</v>
      </c>
    </row>
    <row r="7" spans="2:14" ht="21.95" customHeight="1" x14ac:dyDescent="0.25">
      <c r="B7" s="55" t="s">
        <v>14</v>
      </c>
      <c r="C7" s="56"/>
      <c r="D7" s="57"/>
      <c r="E7" s="58"/>
      <c r="F7" s="2" t="s">
        <v>15</v>
      </c>
      <c r="G7" s="57"/>
      <c r="H7" s="58"/>
      <c r="I7" s="58"/>
      <c r="J7" s="58"/>
      <c r="K7" s="58"/>
      <c r="M7" s="2" t="s">
        <v>16</v>
      </c>
      <c r="N7" s="6" t="str">
        <f>IF(K15=0,"",K15)</f>
        <v/>
      </c>
    </row>
    <row r="8" spans="2:14" x14ac:dyDescent="0.25">
      <c r="M8" s="2" t="s">
        <v>17</v>
      </c>
      <c r="N8" s="10" t="str">
        <f>IF(J15=0,"",J15)</f>
        <v/>
      </c>
    </row>
    <row r="9" spans="2:14" ht="21.95" customHeight="1" x14ac:dyDescent="0.25">
      <c r="B9" s="59" t="s">
        <v>18</v>
      </c>
      <c r="C9" s="60"/>
      <c r="D9" s="60"/>
      <c r="E9" s="60"/>
      <c r="F9" s="60"/>
      <c r="G9" s="60"/>
      <c r="H9" s="60"/>
      <c r="I9" s="60"/>
      <c r="J9" s="60"/>
      <c r="K9" s="60"/>
      <c r="M9" s="2" t="s">
        <v>19</v>
      </c>
      <c r="N9" s="11" t="str">
        <f>IF(N(J15)=0,"",H15/J15)</f>
        <v/>
      </c>
    </row>
    <row r="10" spans="2:14" ht="30" customHeight="1" x14ac:dyDescent="0.25">
      <c r="B10" s="12" t="s">
        <v>20</v>
      </c>
      <c r="C10" s="12" t="s">
        <v>21</v>
      </c>
      <c r="D10" s="12" t="s">
        <v>22</v>
      </c>
      <c r="E10" s="12" t="s">
        <v>23</v>
      </c>
      <c r="F10" s="12" t="s">
        <v>24</v>
      </c>
      <c r="G10" s="12" t="s">
        <v>25</v>
      </c>
      <c r="H10" s="12" t="s">
        <v>26</v>
      </c>
      <c r="I10" s="12" t="s">
        <v>27</v>
      </c>
      <c r="J10" s="12" t="s">
        <v>28</v>
      </c>
      <c r="K10" s="12" t="s">
        <v>29</v>
      </c>
      <c r="M10" s="2" t="s">
        <v>30</v>
      </c>
      <c r="N10" s="13" t="str">
        <f>IF(N(J46)=0,"",(N(J41)+N(J40)+N(J43))/J46)</f>
        <v/>
      </c>
    </row>
    <row r="11" spans="2:14" ht="20.100000000000001" customHeight="1" x14ac:dyDescent="0.25">
      <c r="B11" s="14"/>
      <c r="C11" s="15" t="str">
        <f>IF(B11="","",IFERROR(""&amp;INDEX(OT!$B:$B,MATCH(B11,OT!$A:$A,0)),""))</f>
        <v/>
      </c>
      <c r="D11" s="7" t="str">
        <f>IF(B11&amp;C11="","",$C$5)</f>
        <v/>
      </c>
      <c r="E11" s="16" t="str">
        <f>IF(C11="","",IFERROR(INDEX(Productos!$B:$B,MATCH(--C11,Productos!$A:$A,0)),"Código no existe"))</f>
        <v/>
      </c>
      <c r="F11" s="16" t="str">
        <f>IF(OR(E11="",E11="Código no existe"),"",IFERROR(""&amp;INDEX(Productos!$C:$C,MATCH(--C11,Productos!$A:$A,0)),""))</f>
        <v/>
      </c>
      <c r="G11" s="16" t="str">
        <f>IF(OR(E11="",E11="Código no existe"),"",IFERROR(""&amp;INDEX(Productos!$D:$D,MATCH(--C11,Productos!$A:$A,0)),""))</f>
        <v/>
      </c>
      <c r="H11" s="17"/>
      <c r="I11" s="17"/>
      <c r="J11" s="18" t="str">
        <f>IF(AND(H11="",I11=""),"",N(H11)+N(I11))</f>
        <v/>
      </c>
      <c r="K11" s="9" t="str">
        <f>IF(OR(B11&amp;C11="",NOT(ISNUMBER(D11))),"",ROUND(MOD(IF(AND(B12&lt;&gt;"",ISNUMBER(D12)),D12,$E$5)-D11,1)*24,2))</f>
        <v/>
      </c>
      <c r="M11" s="1"/>
    </row>
    <row r="12" spans="2:14" ht="20.100000000000001" customHeight="1" x14ac:dyDescent="0.25">
      <c r="B12" s="14"/>
      <c r="C12" s="15" t="str">
        <f>IF(B12="","",IFERROR(""&amp;INDEX(OT!$B:$B,MATCH(B12,OT!$A:$A,0)),""))</f>
        <v/>
      </c>
      <c r="D12" s="7"/>
      <c r="E12" s="16" t="str">
        <f>IF(C12="","",IFERROR(INDEX(Productos!$B:$B,MATCH(--C12,Productos!$A:$A,0)),"Código no existe"))</f>
        <v/>
      </c>
      <c r="F12" s="16" t="str">
        <f>IF(OR(E12="",E12="Código no existe"),"",IFERROR(""&amp;INDEX(Productos!$C:$C,MATCH(--C12,Productos!$A:$A,0)),""))</f>
        <v/>
      </c>
      <c r="G12" s="16" t="str">
        <f>IF(OR(E12="",E12="Código no existe"),"",IFERROR(""&amp;INDEX(Productos!$D:$D,MATCH(--C12,Productos!$A:$A,0)),""))</f>
        <v/>
      </c>
      <c r="H12" s="17"/>
      <c r="I12" s="17"/>
      <c r="J12" s="18" t="str">
        <f>IF(AND(H12="",I12=""),"",N(H12)+N(I12))</f>
        <v/>
      </c>
      <c r="K12" s="9" t="str">
        <f>IF(OR(B12&amp;C12="",NOT(ISNUMBER(D12))),"",ROUND(MOD(IF(AND(B13&lt;&gt;"",ISNUMBER(D13)),D13,$E$5)-D12,1)*24,2))</f>
        <v/>
      </c>
    </row>
    <row r="13" spans="2:14" ht="20.100000000000001" customHeight="1" x14ac:dyDescent="0.25">
      <c r="B13" s="14"/>
      <c r="C13" s="15" t="str">
        <f>IF(B13="","",IFERROR(""&amp;INDEX(OT!$B:$B,MATCH(B13,OT!$A:$A,0)),""))</f>
        <v/>
      </c>
      <c r="D13" s="7"/>
      <c r="E13" s="16" t="str">
        <f>IF(C13="","",IFERROR(INDEX(Productos!$B:$B,MATCH(--C13,Productos!$A:$A,0)),"Código no existe"))</f>
        <v/>
      </c>
      <c r="F13" s="16" t="str">
        <f>IF(OR(E13="",E13="Código no existe"),"",IFERROR(""&amp;INDEX(Productos!$C:$C,MATCH(--C13,Productos!$A:$A,0)),""))</f>
        <v/>
      </c>
      <c r="G13" s="16" t="str">
        <f>IF(OR(E13="",E13="Código no existe"),"",IFERROR(""&amp;INDEX(Productos!$D:$D,MATCH(--C13,Productos!$A:$A,0)),""))</f>
        <v/>
      </c>
      <c r="H13" s="17"/>
      <c r="I13" s="17"/>
      <c r="J13" s="18" t="str">
        <f>IF(AND(H13="",I13=""),"",N(H13)+N(I13))</f>
        <v/>
      </c>
      <c r="K13" s="9" t="str">
        <f>IF(OR(B13&amp;C13="",NOT(ISNUMBER(D13))),"",ROUND(MOD(IF(AND(B14&lt;&gt;"",ISNUMBER(D14)),D14,$E$5)-D13,1)*24,2))</f>
        <v/>
      </c>
    </row>
    <row r="14" spans="2:14" ht="20.100000000000001" customHeight="1" x14ac:dyDescent="0.25">
      <c r="B14" s="14"/>
      <c r="C14" s="15" t="str">
        <f>IF(B14="","",IFERROR(""&amp;INDEX(OT!$B:$B,MATCH(B14,OT!$A:$A,0)),""))</f>
        <v/>
      </c>
      <c r="D14" s="7"/>
      <c r="E14" s="16" t="str">
        <f>IF(C14="","",IFERROR(INDEX(Productos!$B:$B,MATCH(--C14,Productos!$A:$A,0)),"Código no existe"))</f>
        <v/>
      </c>
      <c r="F14" s="16" t="str">
        <f>IF(OR(E14="",E14="Código no existe"),"",IFERROR(""&amp;INDEX(Productos!$C:$C,MATCH(--C14,Productos!$A:$A,0)),""))</f>
        <v/>
      </c>
      <c r="G14" s="16" t="str">
        <f>IF(OR(E14="",E14="Código no existe"),"",IFERROR(""&amp;INDEX(Productos!$D:$D,MATCH(--C14,Productos!$A:$A,0)),""))</f>
        <v/>
      </c>
      <c r="H14" s="17"/>
      <c r="I14" s="17"/>
      <c r="J14" s="18" t="str">
        <f>IF(AND(H14="",I14=""),"",N(H14)+N(I14))</f>
        <v/>
      </c>
      <c r="K14" s="9" t="str">
        <f>IF(OR(B14&amp;C14="",NOT(ISNUMBER(D14))),"",ROUND(MOD($E$5-D14,1)*24,2))</f>
        <v/>
      </c>
    </row>
    <row r="15" spans="2:14" x14ac:dyDescent="0.25">
      <c r="G15" s="2" t="s">
        <v>28</v>
      </c>
      <c r="H15" s="19">
        <f>SUM(H11:H14)</f>
        <v>0</v>
      </c>
      <c r="I15" s="19">
        <f>SUM(I11:I14)</f>
        <v>0</v>
      </c>
      <c r="J15" s="19">
        <f>SUM(J11:J14)</f>
        <v>0</v>
      </c>
      <c r="K15" s="20">
        <f>SUM(K11:K14)</f>
        <v>0</v>
      </c>
    </row>
    <row r="17" spans="2:11" ht="21.95" customHeight="1" x14ac:dyDescent="0.25">
      <c r="B17" s="59" t="s">
        <v>31</v>
      </c>
      <c r="C17" s="60"/>
      <c r="D17" s="60"/>
      <c r="E17" s="60"/>
      <c r="F17" s="60"/>
      <c r="G17" s="60"/>
      <c r="H17" s="60"/>
      <c r="I17" s="60"/>
      <c r="J17" s="60"/>
      <c r="K17" s="60"/>
    </row>
    <row r="18" spans="2:11" ht="30" customHeight="1" x14ac:dyDescent="0.25">
      <c r="B18" s="12" t="s">
        <v>8</v>
      </c>
      <c r="C18" s="12" t="s">
        <v>9</v>
      </c>
      <c r="D18" s="12" t="s">
        <v>32</v>
      </c>
      <c r="E18" s="12" t="s">
        <v>33</v>
      </c>
      <c r="F18" s="12" t="s">
        <v>34</v>
      </c>
      <c r="G18" s="12" t="s">
        <v>35</v>
      </c>
      <c r="H18" s="12" t="s">
        <v>36</v>
      </c>
      <c r="I18" s="61" t="s">
        <v>15</v>
      </c>
      <c r="J18" s="62"/>
      <c r="K18" s="62"/>
    </row>
    <row r="19" spans="2:11" ht="18.95" customHeight="1" x14ac:dyDescent="0.25">
      <c r="B19" s="7"/>
      <c r="C19" s="7"/>
      <c r="D19" s="21"/>
      <c r="E19" s="22" t="str">
        <f>IF(D19="","",IFERROR(INDEX(Motivos!$G$5:$G$200,MATCH(D19,Motivos!$F$5:$F$200,0)),"Código no existe"))</f>
        <v/>
      </c>
      <c r="F19" s="16" t="str">
        <f>IF(OR(E19="",E19="Código no existe"),"",IFERROR(INDEX(Motivos!$B$5:$B$200,MATCH(E19,Motivos!$A$5:$A$200,0)),""))</f>
        <v/>
      </c>
      <c r="G19" s="14"/>
      <c r="H19" s="23" t="str">
        <f>IF(OR(B19="",C19=""),"",ROUND(MOD(C19-B19,1)*1440,0))</f>
        <v/>
      </c>
      <c r="I19" s="57"/>
      <c r="J19" s="58"/>
      <c r="K19" s="58"/>
    </row>
    <row r="20" spans="2:11" ht="18.95" customHeight="1" x14ac:dyDescent="0.25">
      <c r="B20" s="7"/>
      <c r="C20" s="7"/>
      <c r="D20" s="21"/>
      <c r="E20" s="22" t="str">
        <f>IF(D20="","",IFERROR(INDEX(Motivos!$G$5:$G$200,MATCH(D20,Motivos!$F$5:$F$200,0)),"Código no existe"))</f>
        <v/>
      </c>
      <c r="F20" s="16" t="str">
        <f>IF(OR(E20="",E20="Código no existe"),"",IFERROR(INDEX(Motivos!$B$5:$B$200,MATCH(E20,Motivos!$A$5:$A$200,0)),""))</f>
        <v/>
      </c>
      <c r="G20" s="14"/>
      <c r="H20" s="23" t="str">
        <f>IF(OR(B20="",C20=""),"",ROUND(MOD(C20-B20,1)*1440,0))</f>
        <v/>
      </c>
      <c r="I20" s="57"/>
      <c r="J20" s="58"/>
      <c r="K20" s="58"/>
    </row>
    <row r="21" spans="2:11" ht="18.95" customHeight="1" x14ac:dyDescent="0.25">
      <c r="B21" s="7"/>
      <c r="C21" s="7"/>
      <c r="D21" s="21"/>
      <c r="E21" s="22" t="str">
        <f>IF(D21="","",IFERROR(INDEX(Motivos!$G$5:$G$200,MATCH(D21,Motivos!$F$5:$F$200,0)),"Código no existe"))</f>
        <v/>
      </c>
      <c r="F21" s="16" t="str">
        <f>IF(OR(E21="",E21="Código no existe"),"",IFERROR(INDEX(Motivos!$B$5:$B$200,MATCH(E21,Motivos!$A$5:$A$200,0)),""))</f>
        <v/>
      </c>
      <c r="G21" s="14"/>
      <c r="H21" s="23" t="str">
        <f>IF(OR(B21="",C21=""),"",ROUND(MOD(C21-B21,1)*1440,0))</f>
        <v/>
      </c>
      <c r="I21" s="57"/>
      <c r="J21" s="58"/>
      <c r="K21" s="58"/>
    </row>
    <row r="22" spans="2:11" ht="18.95" customHeight="1" x14ac:dyDescent="0.25">
      <c r="B22" s="7"/>
      <c r="C22" s="7"/>
      <c r="D22" s="21"/>
      <c r="E22" s="22" t="str">
        <f>IF(D22="","",IFERROR(INDEX(Motivos!$G$5:$G$200,MATCH(D22,Motivos!$F$5:$F$200,0)),"Código no existe"))</f>
        <v/>
      </c>
      <c r="F22" s="16" t="str">
        <f>IF(OR(E22="",E22="Código no existe"),"",IFERROR(INDEX(Motivos!$B$5:$B$200,MATCH(E22,Motivos!$A$5:$A$200,0)),""))</f>
        <v/>
      </c>
      <c r="G22" s="14"/>
      <c r="H22" s="23" t="str">
        <f>IF(OR(B22="",C22=""),"",ROUND(MOD(C22-B22,1)*1440,0))</f>
        <v/>
      </c>
      <c r="I22" s="57"/>
      <c r="J22" s="58"/>
      <c r="K22" s="58"/>
    </row>
    <row r="23" spans="2:11" ht="18.95" customHeight="1" x14ac:dyDescent="0.25">
      <c r="B23" s="7"/>
      <c r="C23" s="7"/>
      <c r="D23" s="21"/>
      <c r="E23" s="22" t="str">
        <f>IF(D23="","",IFERROR(INDEX(Motivos!$G$5:$G$200,MATCH(D23,Motivos!$F$5:$F$200,0)),"Código no existe"))</f>
        <v/>
      </c>
      <c r="F23" s="16" t="str">
        <f>IF(OR(E23="",E23="Código no existe"),"",IFERROR(INDEX(Motivos!$B$5:$B$200,MATCH(E23,Motivos!$A$5:$A$200,0)),""))</f>
        <v/>
      </c>
      <c r="G23" s="14"/>
      <c r="H23" s="23" t="str">
        <f>IF(OR(B23="",C23=""),"",ROUND(MOD(C23-B23,1)*1440,0))</f>
        <v/>
      </c>
      <c r="I23" s="57"/>
      <c r="J23" s="58"/>
      <c r="K23" s="58"/>
    </row>
    <row r="24" spans="2:11" ht="18.95" customHeight="1" x14ac:dyDescent="0.25">
      <c r="B24" s="7"/>
      <c r="C24" s="7"/>
      <c r="D24" s="21"/>
      <c r="E24" s="22" t="str">
        <f>IF(D24="","",IFERROR(INDEX(Motivos!$G$5:$G$200,MATCH(D24,Motivos!$F$5:$F$200,0)),"Código no existe"))</f>
        <v/>
      </c>
      <c r="F24" s="16" t="str">
        <f>IF(OR(E24="",E24="Código no existe"),"",IFERROR(INDEX(Motivos!$B$5:$B$200,MATCH(E24,Motivos!$A$5:$A$200,0)),""))</f>
        <v/>
      </c>
      <c r="G24" s="14"/>
      <c r="H24" s="23" t="str">
        <f>IF(OR(B24="",C24=""),"",ROUND(MOD(C24-B24,1)*1440,0))</f>
        <v/>
      </c>
      <c r="I24" s="57"/>
      <c r="J24" s="58"/>
      <c r="K24" s="58"/>
    </row>
    <row r="25" spans="2:11" ht="18.95" customHeight="1" x14ac:dyDescent="0.25">
      <c r="B25" s="7"/>
      <c r="C25" s="7"/>
      <c r="D25" s="21"/>
      <c r="E25" s="22" t="str">
        <f>IF(D25="","",IFERROR(INDEX(Motivos!$G$5:$G$200,MATCH(D25,Motivos!$F$5:$F$200,0)),"Código no existe"))</f>
        <v/>
      </c>
      <c r="F25" s="16" t="str">
        <f>IF(OR(E25="",E25="Código no existe"),"",IFERROR(INDEX(Motivos!$B$5:$B$200,MATCH(E25,Motivos!$A$5:$A$200,0)),""))</f>
        <v/>
      </c>
      <c r="G25" s="14"/>
      <c r="H25" s="23" t="str">
        <f>IF(OR(B25="",C25=""),"",ROUND(MOD(C25-B25,1)*1440,0))</f>
        <v/>
      </c>
      <c r="I25" s="57"/>
      <c r="J25" s="58"/>
      <c r="K25" s="58"/>
    </row>
    <row r="26" spans="2:11" ht="18.95" customHeight="1" x14ac:dyDescent="0.25">
      <c r="B26" s="7"/>
      <c r="C26" s="7"/>
      <c r="D26" s="21"/>
      <c r="E26" s="22" t="str">
        <f>IF(D26="","",IFERROR(INDEX(Motivos!$G$5:$G$200,MATCH(D26,Motivos!$F$5:$F$200,0)),"Código no existe"))</f>
        <v/>
      </c>
      <c r="F26" s="16" t="str">
        <f>IF(OR(E26="",E26="Código no existe"),"",IFERROR(INDEX(Motivos!$B$5:$B$200,MATCH(E26,Motivos!$A$5:$A$200,0)),""))</f>
        <v/>
      </c>
      <c r="G26" s="14"/>
      <c r="H26" s="23" t="str">
        <f>IF(OR(B26="",C26=""),"",ROUND(MOD(C26-B26,1)*1440,0))</f>
        <v/>
      </c>
      <c r="I26" s="57"/>
      <c r="J26" s="58"/>
      <c r="K26" s="58"/>
    </row>
    <row r="27" spans="2:11" ht="18.95" customHeight="1" x14ac:dyDescent="0.25">
      <c r="B27" s="7"/>
      <c r="C27" s="7"/>
      <c r="D27" s="21"/>
      <c r="E27" s="22" t="str">
        <f>IF(D27="","",IFERROR(INDEX(Motivos!$G$5:$G$200,MATCH(D27,Motivos!$F$5:$F$200,0)),"Código no existe"))</f>
        <v/>
      </c>
      <c r="F27" s="16" t="str">
        <f>IF(OR(E27="",E27="Código no existe"),"",IFERROR(INDEX(Motivos!$B$5:$B$200,MATCH(E27,Motivos!$A$5:$A$200,0)),""))</f>
        <v/>
      </c>
      <c r="G27" s="14"/>
      <c r="H27" s="23" t="str">
        <f>IF(OR(B27="",C27=""),"",ROUND(MOD(C27-B27,1)*1440,0))</f>
        <v/>
      </c>
      <c r="I27" s="57"/>
      <c r="J27" s="58"/>
      <c r="K27" s="58"/>
    </row>
    <row r="28" spans="2:11" ht="18.95" customHeight="1" x14ac:dyDescent="0.25">
      <c r="B28" s="7"/>
      <c r="C28" s="7"/>
      <c r="D28" s="21"/>
      <c r="E28" s="22" t="str">
        <f>IF(D28="","",IFERROR(INDEX(Motivos!$G$5:$G$200,MATCH(D28,Motivos!$F$5:$F$200,0)),"Código no existe"))</f>
        <v/>
      </c>
      <c r="F28" s="16" t="str">
        <f>IF(OR(E28="",E28="Código no existe"),"",IFERROR(INDEX(Motivos!$B$5:$B$200,MATCH(E28,Motivos!$A$5:$A$200,0)),""))</f>
        <v/>
      </c>
      <c r="G28" s="14"/>
      <c r="H28" s="23" t="str">
        <f>IF(OR(B28="",C28=""),"",ROUND(MOD(C28-B28,1)*1440,0))</f>
        <v/>
      </c>
      <c r="I28" s="57"/>
      <c r="J28" s="58"/>
      <c r="K28" s="58"/>
    </row>
    <row r="29" spans="2:11" ht="18.95" customHeight="1" x14ac:dyDescent="0.25">
      <c r="B29" s="7"/>
      <c r="C29" s="7"/>
      <c r="D29" s="21"/>
      <c r="E29" s="22" t="str">
        <f>IF(D29="","",IFERROR(INDEX(Motivos!$G$5:$G$200,MATCH(D29,Motivos!$F$5:$F$200,0)),"Código no existe"))</f>
        <v/>
      </c>
      <c r="F29" s="16" t="str">
        <f>IF(OR(E29="",E29="Código no existe"),"",IFERROR(INDEX(Motivos!$B$5:$B$200,MATCH(E29,Motivos!$A$5:$A$200,0)),""))</f>
        <v/>
      </c>
      <c r="G29" s="14"/>
      <c r="H29" s="23" t="str">
        <f>IF(OR(B29="",C29=""),"",ROUND(MOD(C29-B29,1)*1440,0))</f>
        <v/>
      </c>
      <c r="I29" s="57"/>
      <c r="J29" s="58"/>
      <c r="K29" s="58"/>
    </row>
    <row r="30" spans="2:11" ht="18.95" customHeight="1" x14ac:dyDescent="0.25">
      <c r="B30" s="7"/>
      <c r="C30" s="7"/>
      <c r="D30" s="21"/>
      <c r="E30" s="22" t="str">
        <f>IF(D30="","",IFERROR(INDEX(Motivos!$G$5:$G$200,MATCH(D30,Motivos!$F$5:$F$200,0)),"Código no existe"))</f>
        <v/>
      </c>
      <c r="F30" s="16" t="str">
        <f>IF(OR(E30="",E30="Código no existe"),"",IFERROR(INDEX(Motivos!$B$5:$B$200,MATCH(E30,Motivos!$A$5:$A$200,0)),""))</f>
        <v/>
      </c>
      <c r="G30" s="14"/>
      <c r="H30" s="23" t="str">
        <f>IF(OR(B30="",C30=""),"",ROUND(MOD(C30-B30,1)*1440,0))</f>
        <v/>
      </c>
      <c r="I30" s="57"/>
      <c r="J30" s="58"/>
      <c r="K30" s="58"/>
    </row>
    <row r="31" spans="2:11" ht="18.95" customHeight="1" x14ac:dyDescent="0.25">
      <c r="B31" s="7"/>
      <c r="C31" s="7"/>
      <c r="D31" s="21"/>
      <c r="E31" s="22" t="str">
        <f>IF(D31="","",IFERROR(INDEX(Motivos!$G$5:$G$200,MATCH(D31,Motivos!$F$5:$F$200,0)),"Código no existe"))</f>
        <v/>
      </c>
      <c r="F31" s="16" t="str">
        <f>IF(OR(E31="",E31="Código no existe"),"",IFERROR(INDEX(Motivos!$B$5:$B$200,MATCH(E31,Motivos!$A$5:$A$200,0)),""))</f>
        <v/>
      </c>
      <c r="G31" s="14"/>
      <c r="H31" s="23" t="str">
        <f>IF(OR(B31="",C31=""),"",ROUND(MOD(C31-B31,1)*1440,0))</f>
        <v/>
      </c>
      <c r="I31" s="57"/>
      <c r="J31" s="58"/>
      <c r="K31" s="58"/>
    </row>
    <row r="32" spans="2:11" ht="18.95" customHeight="1" x14ac:dyDescent="0.25">
      <c r="B32" s="7"/>
      <c r="C32" s="7"/>
      <c r="D32" s="21"/>
      <c r="E32" s="22" t="str">
        <f>IF(D32="","",IFERROR(INDEX(Motivos!$G$5:$G$200,MATCH(D32,Motivos!$F$5:$F$200,0)),"Código no existe"))</f>
        <v/>
      </c>
      <c r="F32" s="16" t="str">
        <f>IF(OR(E32="",E32="Código no existe"),"",IFERROR(INDEX(Motivos!$B$5:$B$200,MATCH(E32,Motivos!$A$5:$A$200,0)),""))</f>
        <v/>
      </c>
      <c r="G32" s="14"/>
      <c r="H32" s="23" t="str">
        <f>IF(OR(B32="",C32=""),"",ROUND(MOD(C32-B32,1)*1440,0))</f>
        <v/>
      </c>
      <c r="I32" s="57"/>
      <c r="J32" s="58"/>
      <c r="K32" s="58"/>
    </row>
    <row r="33" spans="2:11" ht="18.95" customHeight="1" x14ac:dyDescent="0.25">
      <c r="B33" s="7"/>
      <c r="C33" s="7"/>
      <c r="D33" s="21"/>
      <c r="E33" s="22" t="str">
        <f>IF(D33="","",IFERROR(INDEX(Motivos!$G$5:$G$200,MATCH(D33,Motivos!$F$5:$F$200,0)),"Código no existe"))</f>
        <v/>
      </c>
      <c r="F33" s="16" t="str">
        <f>IF(OR(E33="",E33="Código no existe"),"",IFERROR(INDEX(Motivos!$B$5:$B$200,MATCH(E33,Motivos!$A$5:$A$200,0)),""))</f>
        <v/>
      </c>
      <c r="G33" s="14"/>
      <c r="H33" s="23" t="str">
        <f>IF(OR(B33="",C33=""),"",ROUND(MOD(C33-B33,1)*1440,0))</f>
        <v/>
      </c>
      <c r="I33" s="57"/>
      <c r="J33" s="58"/>
      <c r="K33" s="58"/>
    </row>
    <row r="34" spans="2:11" x14ac:dyDescent="0.25">
      <c r="G34" s="2" t="s">
        <v>37</v>
      </c>
      <c r="H34" s="20">
        <f>SUM(H19:H33)/60</f>
        <v>0</v>
      </c>
    </row>
    <row r="36" spans="2:11" ht="21.95" customHeight="1" x14ac:dyDescent="0.25">
      <c r="B36" s="59" t="s">
        <v>38</v>
      </c>
      <c r="C36" s="60"/>
      <c r="D36" s="60"/>
      <c r="E36" s="60"/>
      <c r="F36" s="60"/>
      <c r="G36" s="60"/>
      <c r="H36" s="60"/>
      <c r="I36" s="60"/>
      <c r="J36" s="60"/>
      <c r="K36" s="60"/>
    </row>
    <row r="37" spans="2:11" x14ac:dyDescent="0.25">
      <c r="B37" s="55" t="s">
        <v>39</v>
      </c>
      <c r="C37" s="56"/>
      <c r="D37" s="56"/>
      <c r="E37" s="56"/>
      <c r="F37" s="12" t="str">
        <f>IF(B11&amp;C11="","OT línea 1","OT "&amp;IF(B11="",C11,B11))</f>
        <v>OT línea 1</v>
      </c>
      <c r="G37" s="12" t="str">
        <f>IF(B12&amp;C12="","OT línea 2","OT "&amp;IF(B12="",C12,B12))</f>
        <v>OT línea 2</v>
      </c>
      <c r="H37" s="12" t="str">
        <f>IF(B13&amp;C13="","OT línea 3","OT "&amp;IF(B13="",C13,B13))</f>
        <v>OT línea 3</v>
      </c>
      <c r="I37" s="12" t="str">
        <f>IF(B14&amp;C14="","OT línea 4","OT "&amp;IF(B14="",C14,B14))</f>
        <v>OT línea 4</v>
      </c>
      <c r="J37" s="12" t="s">
        <v>28</v>
      </c>
    </row>
    <row r="38" spans="2:11" x14ac:dyDescent="0.25">
      <c r="B38" s="55" t="s">
        <v>40</v>
      </c>
      <c r="C38" s="56"/>
      <c r="D38" s="56"/>
      <c r="E38" s="56"/>
      <c r="F38" s="14"/>
      <c r="G38" s="14"/>
      <c r="H38" s="14"/>
      <c r="I38" s="14"/>
      <c r="J38" s="23" t="str">
        <f>IF(COUNT(F38:I38)=0,"",SUM(F38:I38))</f>
        <v/>
      </c>
    </row>
    <row r="39" spans="2:11" x14ac:dyDescent="0.25">
      <c r="B39" s="55" t="s">
        <v>41</v>
      </c>
      <c r="C39" s="56"/>
      <c r="D39" s="56"/>
      <c r="E39" s="56"/>
      <c r="F39" s="24"/>
      <c r="G39" s="24"/>
      <c r="H39" s="24"/>
      <c r="I39" s="24"/>
      <c r="J39" s="25" t="str">
        <f>IF(COUNT(F39:I39)=0,"",SUM(F39:I39))</f>
        <v/>
      </c>
    </row>
    <row r="40" spans="2:11" x14ac:dyDescent="0.25">
      <c r="B40" s="55" t="s">
        <v>42</v>
      </c>
      <c r="C40" s="56"/>
      <c r="D40" s="56"/>
      <c r="E40" s="56"/>
      <c r="F40" s="24"/>
      <c r="G40" s="24"/>
      <c r="H40" s="24"/>
      <c r="I40" s="24"/>
      <c r="J40" s="25" t="str">
        <f>IF(COUNT(F40:I40)=0,"",SUM(F40:I40))</f>
        <v/>
      </c>
    </row>
    <row r="41" spans="2:11" x14ac:dyDescent="0.25">
      <c r="B41" s="55" t="s">
        <v>43</v>
      </c>
      <c r="C41" s="56"/>
      <c r="D41" s="56"/>
      <c r="E41" s="56"/>
      <c r="F41" s="24"/>
      <c r="G41" s="24"/>
      <c r="H41" s="24"/>
      <c r="I41" s="24"/>
      <c r="J41" s="25" t="str">
        <f>IF(COUNT(F41:I41)=0,"",SUM(F41:I41))</f>
        <v/>
      </c>
    </row>
    <row r="42" spans="2:11" x14ac:dyDescent="0.25">
      <c r="B42" s="55" t="s">
        <v>44</v>
      </c>
      <c r="C42" s="56"/>
      <c r="D42" s="56"/>
      <c r="E42" s="56"/>
      <c r="F42" s="24"/>
      <c r="G42" s="24"/>
      <c r="H42" s="24"/>
      <c r="I42" s="24"/>
      <c r="J42" s="25" t="str">
        <f>IF(COUNT(F42:I42)=0,"",SUM(F42:I42))</f>
        <v/>
      </c>
    </row>
    <row r="43" spans="2:11" x14ac:dyDescent="0.25">
      <c r="B43" s="55" t="s">
        <v>45</v>
      </c>
      <c r="C43" s="56"/>
      <c r="D43" s="56"/>
      <c r="E43" s="56"/>
      <c r="F43" s="24"/>
      <c r="G43" s="24"/>
      <c r="H43" s="24"/>
      <c r="I43" s="24"/>
      <c r="J43" s="25" t="str">
        <f>IF(COUNT(F43:I43)=0,"",SUM(F43:I43))</f>
        <v/>
      </c>
    </row>
    <row r="44" spans="2:11" x14ac:dyDescent="0.25">
      <c r="B44" s="55" t="s">
        <v>46</v>
      </c>
      <c r="C44" s="56"/>
      <c r="D44" s="56"/>
      <c r="E44" s="56"/>
      <c r="F44" s="24"/>
      <c r="G44" s="24"/>
      <c r="H44" s="24"/>
      <c r="I44" s="24"/>
      <c r="J44" s="25" t="str">
        <f>IF(COUNT(F44:I44)=0,"",SUM(F44:I44))</f>
        <v/>
      </c>
    </row>
    <row r="45" spans="2:11" x14ac:dyDescent="0.25">
      <c r="B45" s="55" t="s">
        <v>47</v>
      </c>
      <c r="C45" s="56"/>
      <c r="D45" s="56"/>
      <c r="E45" s="56"/>
      <c r="F45" s="24"/>
      <c r="G45" s="24"/>
      <c r="H45" s="24"/>
      <c r="I45" s="24"/>
      <c r="J45" s="25" t="str">
        <f>IF(COUNT(F45:I45)=0,"",SUM(F45:I45))</f>
        <v/>
      </c>
    </row>
    <row r="46" spans="2:11" x14ac:dyDescent="0.25">
      <c r="B46" s="55" t="s">
        <v>48</v>
      </c>
      <c r="C46" s="56"/>
      <c r="D46" s="56"/>
      <c r="E46" s="56"/>
      <c r="F46" s="24"/>
      <c r="G46" s="24"/>
      <c r="H46" s="24"/>
      <c r="I46" s="24"/>
      <c r="J46" s="25" t="str">
        <f>IF(COUNT(F46:I46)=0,"",SUM(F46:I46))</f>
        <v/>
      </c>
    </row>
    <row r="47" spans="2:11" x14ac:dyDescent="0.25">
      <c r="B47" s="55" t="s">
        <v>793</v>
      </c>
      <c r="C47" s="56"/>
      <c r="D47" s="56"/>
      <c r="E47" s="56"/>
      <c r="F47" s="24"/>
      <c r="G47" s="24"/>
      <c r="H47" s="24"/>
      <c r="I47" s="24"/>
      <c r="J47" s="25" t="str">
        <f>IF(COUNT(F47:I47)=0,"",SUM(F47:I47))</f>
        <v/>
      </c>
    </row>
    <row r="48" spans="2:11" ht="20.100000000000001" customHeight="1" x14ac:dyDescent="0.25">
      <c r="B48" s="59" t="s">
        <v>49</v>
      </c>
      <c r="C48" s="60"/>
      <c r="D48" s="60"/>
      <c r="E48" s="60"/>
      <c r="F48" s="60"/>
      <c r="G48" s="60"/>
      <c r="H48" s="60"/>
      <c r="I48" s="60"/>
      <c r="J48" s="60"/>
      <c r="K48" s="60"/>
    </row>
    <row r="49" spans="2:11" ht="25.5" x14ac:dyDescent="0.25">
      <c r="B49" s="12" t="s">
        <v>50</v>
      </c>
      <c r="C49" s="12" t="s">
        <v>3</v>
      </c>
      <c r="D49" s="12" t="s">
        <v>4</v>
      </c>
      <c r="E49" s="12" t="s">
        <v>51</v>
      </c>
      <c r="F49" s="12" t="s">
        <v>24</v>
      </c>
      <c r="G49" s="12" t="s">
        <v>25</v>
      </c>
      <c r="H49" s="12" t="s">
        <v>20</v>
      </c>
      <c r="I49" s="12" t="s">
        <v>52</v>
      </c>
      <c r="J49" s="12" t="s">
        <v>10</v>
      </c>
      <c r="K49" s="12" t="s">
        <v>53</v>
      </c>
    </row>
    <row r="50" spans="2:11" x14ac:dyDescent="0.25">
      <c r="B50" s="26">
        <f>IF(COUNTA(BD!$A:$A)-0&lt;2,"",COUNTA(BD!$A:$A)-0)</f>
        <v>838</v>
      </c>
      <c r="C50" s="27">
        <f>IF($B50="","",INDEX(BD!$A:$A,$B50))</f>
        <v>46305</v>
      </c>
      <c r="D50" s="28" t="str">
        <f>IF($B50="","",INDEX(BD!$C:$C,$B50)&amp;"")</f>
        <v>Noche</v>
      </c>
      <c r="E50" s="28" t="str">
        <f>IF($B50="","",INDEX(BD!$I:$I,$B50)&amp;"")</f>
        <v>Cuad.Grap. T. Renglón 80H Lucas Markin masc. c/sticker</v>
      </c>
      <c r="F50" s="28" t="str">
        <f>IF($B50="","",INDEX(BD!$E:$E,$B50)&amp;"")</f>
        <v>Markin</v>
      </c>
      <c r="G50" s="28" t="str">
        <f>IF($B50="","",INDEX(BD!$F:$F,$B50)&amp;"")</f>
        <v>Markin Diseño</v>
      </c>
      <c r="H50" s="28" t="str">
        <f>IF($B50="","",INDEX(BD!$G:$G,$B50)&amp;"")</f>
        <v>6897</v>
      </c>
      <c r="I50" s="29">
        <f>IF($B50="","",INDEX(BD!$J:$J,$B50))</f>
        <v>15300</v>
      </c>
      <c r="J50" s="30">
        <f>IF($B50="","",INDEX(BD!$BS:$BS,$B50))</f>
        <v>3</v>
      </c>
      <c r="K50" s="28" t="str">
        <f>IF($B50="","",INDEX(BD!$BZ:$BZ,$B50)&amp;"")</f>
        <v>OK</v>
      </c>
    </row>
    <row r="51" spans="2:11" x14ac:dyDescent="0.25">
      <c r="B51" s="26">
        <f>IF(COUNTA(BD!$A:$A)-1&lt;2,"",COUNTA(BD!$A:$A)-1)</f>
        <v>837</v>
      </c>
      <c r="C51" s="27">
        <f>IF($B51="","",INDEX(BD!$A:$A,$B51))</f>
        <v>46305</v>
      </c>
      <c r="D51" s="28" t="str">
        <f>IF($B51="","",INDEX(BD!$C:$C,$B51)&amp;"")</f>
        <v>Dia</v>
      </c>
      <c r="E51" s="28" t="str">
        <f>IF($B51="","",INDEX(BD!$I:$I,$B51)&amp;"")</f>
        <v>Cuad.Grap. T. Renglón 80H Lucas Markin masc. c/sticker</v>
      </c>
      <c r="F51" s="28" t="str">
        <f>IF($B51="","",INDEX(BD!$E:$E,$B51)&amp;"")</f>
        <v>Markin</v>
      </c>
      <c r="G51" s="28" t="str">
        <f>IF($B51="","",INDEX(BD!$F:$F,$B51)&amp;"")</f>
        <v>Markin Diseño</v>
      </c>
      <c r="H51" s="28" t="str">
        <f>IF($B51="","",INDEX(BD!$G:$G,$B51)&amp;"")</f>
        <v>6897</v>
      </c>
      <c r="I51" s="29">
        <f>IF($B51="","",INDEX(BD!$J:$J,$B51))</f>
        <v>19325</v>
      </c>
      <c r="J51" s="30">
        <f>IF($B51="","",INDEX(BD!$BS:$BS,$B51))</f>
        <v>2.3332999999999999</v>
      </c>
      <c r="K51" s="28" t="str">
        <f>IF($B51="","",INDEX(BD!$BZ:$BZ,$B51)&amp;"")</f>
        <v>OK</v>
      </c>
    </row>
    <row r="52" spans="2:11" x14ac:dyDescent="0.25">
      <c r="B52" s="26">
        <f>IF(COUNTA(BD!$A:$A)-2&lt;2,"",COUNTA(BD!$A:$A)-2)</f>
        <v>836</v>
      </c>
      <c r="C52" s="27">
        <f>IF($B52="","",INDEX(BD!$A:$A,$B52))</f>
        <v>46304</v>
      </c>
      <c r="D52" s="28" t="str">
        <f>IF($B52="","",INDEX(BD!$C:$C,$B52)&amp;"")</f>
        <v>Noche</v>
      </c>
      <c r="E52" s="28" t="str">
        <f>IF($B52="","",INDEX(BD!$I:$I,$B52)&amp;"")</f>
        <v>Cuad.Grap. T. Renglón 80H Lucas Markin masc. c/sticker</v>
      </c>
      <c r="F52" s="28" t="str">
        <f>IF($B52="","",INDEX(BD!$E:$E,$B52)&amp;"")</f>
        <v>Markin</v>
      </c>
      <c r="G52" s="28" t="str">
        <f>IF($B52="","",INDEX(BD!$F:$F,$B52)&amp;"")</f>
        <v>Markin Diseño</v>
      </c>
      <c r="H52" s="28" t="str">
        <f>IF($B52="","",INDEX(BD!$G:$G,$B52)&amp;"")</f>
        <v>6897</v>
      </c>
      <c r="I52" s="29">
        <f>IF($B52="","",INDEX(BD!$J:$J,$B52))</f>
        <v>17400</v>
      </c>
      <c r="J52" s="30">
        <f>IF($B52="","",INDEX(BD!$BS:$BS,$B52))</f>
        <v>0.41670000000000001</v>
      </c>
      <c r="K52" s="28" t="str">
        <f>IF($B52="","",INDEX(BD!$BZ:$BZ,$B52)&amp;"")</f>
        <v>OK</v>
      </c>
    </row>
    <row r="53" spans="2:11" x14ac:dyDescent="0.25">
      <c r="B53" s="26">
        <f>IF(COUNTA(BD!$A:$A)-3&lt;2,"",COUNTA(BD!$A:$A)-3)</f>
        <v>835</v>
      </c>
      <c r="C53" s="27">
        <f>IF($B53="","",INDEX(BD!$A:$A,$B53))</f>
        <v>46304</v>
      </c>
      <c r="D53" s="28" t="str">
        <f>IF($B53="","",INDEX(BD!$C:$C,$B53)&amp;"")</f>
        <v>Noche</v>
      </c>
      <c r="E53" s="28" t="str">
        <f>IF($B53="","",INDEX(BD!$I:$I,$B53)&amp;"")</f>
        <v>Cuad.Grap. T. Renglón 80H Lucas Markin fem c/sticker</v>
      </c>
      <c r="F53" s="28" t="str">
        <f>IF($B53="","",INDEX(BD!$E:$E,$B53)&amp;"")</f>
        <v>Markin</v>
      </c>
      <c r="G53" s="28" t="str">
        <f>IF($B53="","",INDEX(BD!$F:$F,$B53)&amp;"")</f>
        <v>Markin Diseño</v>
      </c>
      <c r="H53" s="28" t="str">
        <f>IF($B53="","",INDEX(BD!$G:$G,$B53)&amp;"")</f>
        <v>6856</v>
      </c>
      <c r="I53" s="29">
        <f>IF($B53="","",INDEX(BD!$J:$J,$B53))</f>
        <v>4650</v>
      </c>
      <c r="J53" s="30">
        <f>IF($B53="","",INDEX(BD!$BS:$BS,$B53))</f>
        <v>0.16669999999999999</v>
      </c>
      <c r="K53" s="28" t="str">
        <f>IF($B53="","",INDEX(BD!$BZ:$BZ,$B53)&amp;"")</f>
        <v>OK</v>
      </c>
    </row>
    <row r="54" spans="2:11" x14ac:dyDescent="0.25">
      <c r="B54" s="26">
        <f>IF(COUNTA(BD!$A:$A)-4&lt;2,"",COUNTA(BD!$A:$A)-4)</f>
        <v>834</v>
      </c>
      <c r="C54" s="27">
        <f>IF($B54="","",INDEX(BD!$A:$A,$B54))</f>
        <v>46304</v>
      </c>
      <c r="D54" s="28" t="str">
        <f>IF($B54="","",INDEX(BD!$C:$C,$B54)&amp;"")</f>
        <v>Dia</v>
      </c>
      <c r="E54" s="28" t="str">
        <f>IF($B54="","",INDEX(BD!$I:$I,$B54)&amp;"")</f>
        <v>Cuad.Grap. T. Renglón 80H Lucas Markin fem c/sticker</v>
      </c>
      <c r="F54" s="28" t="str">
        <f>IF($B54="","",INDEX(BD!$E:$E,$B54)&amp;"")</f>
        <v>Markin</v>
      </c>
      <c r="G54" s="28" t="str">
        <f>IF($B54="","",INDEX(BD!$F:$F,$B54)&amp;"")</f>
        <v>Markin Diseño</v>
      </c>
      <c r="H54" s="28" t="str">
        <f>IF($B54="","",INDEX(BD!$G:$G,$B54)&amp;"")</f>
        <v>6856</v>
      </c>
      <c r="I54" s="29">
        <f>IF($B54="","",INDEX(BD!$J:$J,$B54))</f>
        <v>21700</v>
      </c>
      <c r="J54" s="30">
        <f>IF($B54="","",INDEX(BD!$BS:$BS,$B54))</f>
        <v>0.83340000000000003</v>
      </c>
      <c r="K54" s="28" t="str">
        <f>IF($B54="","",INDEX(BD!$BZ:$BZ,$B54)&amp;"")</f>
        <v>OK</v>
      </c>
    </row>
    <row r="55" spans="2:11" x14ac:dyDescent="0.25">
      <c r="B55" s="26">
        <f>IF(COUNTA(BD!$A:$A)-5&lt;2,"",COUNTA(BD!$A:$A)-5)</f>
        <v>833</v>
      </c>
      <c r="C55" s="27">
        <f>IF($B55="","",INDEX(BD!$A:$A,$B55))</f>
        <v>46302</v>
      </c>
      <c r="D55" s="28" t="str">
        <f>IF($B55="","",INDEX(BD!$C:$C,$B55)&amp;"")</f>
        <v>Noche</v>
      </c>
      <c r="E55" s="28" t="str">
        <f>IF($B55="","",INDEX(BD!$I:$I,$B55)&amp;"")</f>
        <v>Cuad.Grap. T. Renglón 80H Lucas Markin fem c/sticker</v>
      </c>
      <c r="F55" s="28" t="str">
        <f>IF($B55="","",INDEX(BD!$E:$E,$B55)&amp;"")</f>
        <v>Markin</v>
      </c>
      <c r="G55" s="28" t="str">
        <f>IF($B55="","",INDEX(BD!$F:$F,$B55)&amp;"")</f>
        <v>Markin Diseño</v>
      </c>
      <c r="H55" s="28" t="str">
        <f>IF($B55="","",INDEX(BD!$G:$G,$B55)&amp;"")</f>
        <v>6856</v>
      </c>
      <c r="I55" s="29">
        <f>IF($B55="","",INDEX(BD!$J:$J,$B55))</f>
        <v>3650</v>
      </c>
      <c r="J55" s="30">
        <f>IF($B55="","",INDEX(BD!$BS:$BS,$B55))</f>
        <v>1.5</v>
      </c>
      <c r="K55" s="28" t="str">
        <f>IF($B55="","",INDEX(BD!$BZ:$BZ,$B55)&amp;"")</f>
        <v>OK</v>
      </c>
    </row>
  </sheetData>
  <mergeCells count="41">
    <mergeCell ref="B47:E47"/>
    <mergeCell ref="B1:K1"/>
    <mergeCell ref="B17:K17"/>
    <mergeCell ref="I27:K27"/>
    <mergeCell ref="B38:E38"/>
    <mergeCell ref="B44:E44"/>
    <mergeCell ref="I26:K26"/>
    <mergeCell ref="B37:E37"/>
    <mergeCell ref="I25:K25"/>
    <mergeCell ref="M3:N3"/>
    <mergeCell ref="B2:K2"/>
    <mergeCell ref="B48:K48"/>
    <mergeCell ref="I30:K30"/>
    <mergeCell ref="B42:E42"/>
    <mergeCell ref="B6:C6"/>
    <mergeCell ref="B3:K3"/>
    <mergeCell ref="I19:K19"/>
    <mergeCell ref="D7:E7"/>
    <mergeCell ref="B43:E43"/>
    <mergeCell ref="I31:K31"/>
    <mergeCell ref="B39:E39"/>
    <mergeCell ref="B45:E45"/>
    <mergeCell ref="I23:K23"/>
    <mergeCell ref="I20:K20"/>
    <mergeCell ref="G6:K6"/>
    <mergeCell ref="B46:E46"/>
    <mergeCell ref="I29:K29"/>
    <mergeCell ref="D6:E6"/>
    <mergeCell ref="I33:K33"/>
    <mergeCell ref="B41:E41"/>
    <mergeCell ref="I24:K24"/>
    <mergeCell ref="G7:K7"/>
    <mergeCell ref="B40:E40"/>
    <mergeCell ref="I32:K32"/>
    <mergeCell ref="B7:C7"/>
    <mergeCell ref="I22:K22"/>
    <mergeCell ref="I28:K28"/>
    <mergeCell ref="B9:K9"/>
    <mergeCell ref="I18:K18"/>
    <mergeCell ref="I21:K21"/>
    <mergeCell ref="B36:K36"/>
  </mergeCells>
  <conditionalFormatting sqref="E19:E33">
    <cfRule type="cellIs" dxfId="4" priority="1" operator="equal">
      <formula>"Código no existe"</formula>
    </cfRule>
  </conditionalFormatting>
  <conditionalFormatting sqref="E11:E14">
    <cfRule type="cellIs" dxfId="3" priority="2" operator="equal">
      <formula>"Código no existe"</formula>
    </cfRule>
  </conditionalFormatting>
  <conditionalFormatting sqref="N7">
    <cfRule type="expression" dxfId="2" priority="3">
      <formula>AND(N7&lt;&gt;"",N4&lt;&gt;"",ABS(N7-N4)&gt;0.01)</formula>
    </cfRule>
  </conditionalFormatting>
  <dataValidations count="4">
    <dataValidation type="list" allowBlank="1" sqref="E4" xr:uid="{00000000-0002-0000-0000-000000000000}">
      <formula1>"Dia,Noche"</formula1>
    </dataValidation>
    <dataValidation type="whole" allowBlank="1" errorTitle="Código" error="Código de parada: número de la hoja Motivos (columna cod)" sqref="D19:D33" xr:uid="{00000000-0002-0000-0000-000003000000}">
      <formula1>1</formula1>
      <formula2>999</formula2>
    </dataValidation>
    <dataValidation type="time" allowBlank="1" errorTitle="Hora" error="Escribe la hora así: 19:00" sqref="E5 C5 D11:D14 B19:C33" xr:uid="{00000000-0002-0000-0000-000004000000}">
      <formula1>0</formula1>
      <formula2>0.999988</formula2>
    </dataValidation>
    <dataValidation type="date" operator="greaterThan" allowBlank="1" error="Escribe una fecha" sqref="C4" xr:uid="{00000000-0002-0000-0000-000005000000}">
      <formula1>44000</formula1>
    </dataValidation>
  </dataValidations>
  <pageMargins left="0.75" right="0.75" top="1" bottom="1" header="0.5" footer="0.5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xr:uid="{00000000-0002-0000-0000-000001000000}">
          <x14:formula1>
            <xm:f>OFFSET(Maestros!$A$5,0,0,MAX(1,COUNTA(Maestros!$A$5:$A$100)),1)</xm:f>
          </x14:formula1>
          <xm:sqref>G4</xm:sqref>
        </x14:dataValidation>
        <x14:dataValidation type="list" allowBlank="1" xr:uid="{00000000-0002-0000-0000-000002000000}">
          <x14:formula1>
            <xm:f>OFFSET(Maestros!$H$5,0,0,MAX(1,COUNTA(Maestros!$H$5:$H$300)),1)</xm:f>
          </x14:formula1>
          <xm:sqref>D6:D7</xm:sqref>
        </x14:dataValidation>
        <x14:dataValidation type="list" allowBlank="1" xr:uid="{DA8F8916-E564-426A-B4CA-BB41388FC193}">
          <x14:formula1>
            <xm:f>OFFSET(Maestros!$H$5,0,0,MAX(1,COUNTA(Maestros!$H$5:$H$300)),1)</xm:f>
          </x14:formula1>
          <xm:sqref>G6:K6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BD"/>
  <dimension ref="A1:CB848"/>
  <sheetViews>
    <sheetView workbookViewId="0">
      <pane xSplit="4" ySplit="1" topLeftCell="E827" activePane="bottomRight" state="frozen"/>
      <selection pane="topRight"/>
      <selection pane="bottomLeft"/>
      <selection pane="bottomRight" activeCell="A820" sqref="A820"/>
    </sheetView>
  </sheetViews>
  <sheetFormatPr baseColWidth="10" defaultColWidth="9.140625" defaultRowHeight="15" x14ac:dyDescent="0.25"/>
  <cols>
    <col min="1" max="2" width="11" customWidth="1"/>
    <col min="3" max="3" width="8" customWidth="1"/>
    <col min="4" max="4" width="9" customWidth="1"/>
    <col min="5" max="6" width="15" customWidth="1"/>
    <col min="7" max="8" width="11" customWidth="1"/>
    <col min="9" max="9" width="40" customWidth="1"/>
    <col min="10" max="20" width="11" customWidth="1"/>
    <col min="21" max="21" width="20" customWidth="1"/>
    <col min="22" max="22" width="26" customWidth="1"/>
    <col min="23" max="27" width="11" customWidth="1"/>
    <col min="28" max="29" width="30" customWidth="1"/>
    <col min="30" max="62" width="10" customWidth="1"/>
    <col min="63" max="77" width="11" customWidth="1"/>
    <col min="78" max="78" width="22" customWidth="1"/>
    <col min="79" max="79" width="11" customWidth="1"/>
    <col min="80" max="80" width="14" customWidth="1"/>
  </cols>
  <sheetData>
    <row r="1" spans="1:80" ht="62.1" customHeight="1" x14ac:dyDescent="0.25">
      <c r="A1" s="31" t="s">
        <v>3</v>
      </c>
      <c r="B1" s="31" t="s">
        <v>54</v>
      </c>
      <c r="C1" s="31" t="s">
        <v>4</v>
      </c>
      <c r="D1" s="31" t="s">
        <v>5</v>
      </c>
      <c r="E1" s="31" t="s">
        <v>24</v>
      </c>
      <c r="F1" s="31" t="s">
        <v>25</v>
      </c>
      <c r="G1" s="31" t="s">
        <v>20</v>
      </c>
      <c r="H1" s="31" t="s">
        <v>21</v>
      </c>
      <c r="I1" s="31" t="s">
        <v>51</v>
      </c>
      <c r="J1" s="31" t="s">
        <v>55</v>
      </c>
      <c r="K1" s="31" t="s">
        <v>56</v>
      </c>
      <c r="L1" s="31" t="s">
        <v>40</v>
      </c>
      <c r="M1" s="31" t="s">
        <v>57</v>
      </c>
      <c r="N1" s="31" t="s">
        <v>41</v>
      </c>
      <c r="O1" s="31" t="s">
        <v>42</v>
      </c>
      <c r="P1" s="31" t="s">
        <v>43</v>
      </c>
      <c r="Q1" s="31" t="s">
        <v>58</v>
      </c>
      <c r="R1" s="31" t="s">
        <v>59</v>
      </c>
      <c r="S1" s="31" t="s">
        <v>46</v>
      </c>
      <c r="T1" s="31" t="s">
        <v>60</v>
      </c>
      <c r="U1" s="31" t="s">
        <v>61</v>
      </c>
      <c r="V1" s="31" t="s">
        <v>62</v>
      </c>
      <c r="W1" s="31" t="s">
        <v>12</v>
      </c>
      <c r="X1" s="31" t="s">
        <v>14</v>
      </c>
      <c r="Y1" s="31" t="s">
        <v>8</v>
      </c>
      <c r="Z1" s="31" t="s">
        <v>9</v>
      </c>
      <c r="AA1" s="31" t="s">
        <v>63</v>
      </c>
      <c r="AB1" s="31" t="s">
        <v>15</v>
      </c>
      <c r="AC1" s="31" t="s">
        <v>64</v>
      </c>
      <c r="AD1" s="32" t="s">
        <v>65</v>
      </c>
      <c r="AE1" s="32" t="s">
        <v>66</v>
      </c>
      <c r="AF1" s="32" t="s">
        <v>67</v>
      </c>
      <c r="AG1" s="32" t="s">
        <v>68</v>
      </c>
      <c r="AH1" s="32" t="s">
        <v>69</v>
      </c>
      <c r="AI1" s="32" t="s">
        <v>70</v>
      </c>
      <c r="AJ1" s="32" t="s">
        <v>71</v>
      </c>
      <c r="AK1" s="32" t="s">
        <v>72</v>
      </c>
      <c r="AL1" s="32" t="s">
        <v>73</v>
      </c>
      <c r="AM1" s="32" t="s">
        <v>74</v>
      </c>
      <c r="AN1" s="32" t="s">
        <v>75</v>
      </c>
      <c r="AO1" s="32" t="s">
        <v>76</v>
      </c>
      <c r="AP1" s="32" t="s">
        <v>77</v>
      </c>
      <c r="AQ1" s="32" t="s">
        <v>78</v>
      </c>
      <c r="AR1" s="32" t="s">
        <v>79</v>
      </c>
      <c r="AS1" s="32" t="s">
        <v>80</v>
      </c>
      <c r="AT1" s="32" t="s">
        <v>81</v>
      </c>
      <c r="AU1" s="32" t="s">
        <v>82</v>
      </c>
      <c r="AV1" s="32" t="s">
        <v>83</v>
      </c>
      <c r="AW1" s="32" t="s">
        <v>84</v>
      </c>
      <c r="AX1" s="32" t="s">
        <v>85</v>
      </c>
      <c r="AY1" s="32" t="s">
        <v>86</v>
      </c>
      <c r="AZ1" s="32" t="s">
        <v>87</v>
      </c>
      <c r="BA1" s="32" t="s">
        <v>88</v>
      </c>
      <c r="BB1" s="32" t="s">
        <v>89</v>
      </c>
      <c r="BC1" s="32" t="s">
        <v>90</v>
      </c>
      <c r="BD1" s="32" t="s">
        <v>91</v>
      </c>
      <c r="BE1" s="32" t="s">
        <v>92</v>
      </c>
      <c r="BF1" s="32" t="s">
        <v>93</v>
      </c>
      <c r="BG1" s="32" t="s">
        <v>94</v>
      </c>
      <c r="BH1" s="32" t="s">
        <v>95</v>
      </c>
      <c r="BI1" s="32" t="s">
        <v>96</v>
      </c>
      <c r="BJ1" s="32" t="s">
        <v>97</v>
      </c>
      <c r="BK1" s="33" t="s">
        <v>98</v>
      </c>
      <c r="BL1" s="33" t="s">
        <v>99</v>
      </c>
      <c r="BM1" s="33" t="s">
        <v>100</v>
      </c>
      <c r="BN1" s="33" t="s">
        <v>101</v>
      </c>
      <c r="BO1" s="34" t="s">
        <v>102</v>
      </c>
      <c r="BP1" s="34" t="s">
        <v>103</v>
      </c>
      <c r="BQ1" s="34" t="s">
        <v>104</v>
      </c>
      <c r="BR1" s="34" t="s">
        <v>105</v>
      </c>
      <c r="BS1" s="34" t="s">
        <v>10</v>
      </c>
      <c r="BT1" s="34" t="s">
        <v>106</v>
      </c>
      <c r="BU1" s="34" t="s">
        <v>107</v>
      </c>
      <c r="BV1" s="34" t="s">
        <v>108</v>
      </c>
      <c r="BW1" s="34" t="s">
        <v>109</v>
      </c>
      <c r="BX1" s="34" t="s">
        <v>110</v>
      </c>
      <c r="BY1" s="34" t="s">
        <v>111</v>
      </c>
      <c r="BZ1" s="34" t="s">
        <v>53</v>
      </c>
      <c r="CA1" s="34" t="s">
        <v>112</v>
      </c>
      <c r="CB1" s="34" t="s">
        <v>794</v>
      </c>
    </row>
    <row r="2" spans="1:80" x14ac:dyDescent="0.25">
      <c r="A2" s="35">
        <v>45786</v>
      </c>
      <c r="B2" s="36">
        <v>12</v>
      </c>
      <c r="C2" t="s">
        <v>113</v>
      </c>
      <c r="D2" t="s">
        <v>6</v>
      </c>
      <c r="E2" t="s">
        <v>114</v>
      </c>
      <c r="F2" t="s">
        <v>114</v>
      </c>
      <c r="G2">
        <v>24464</v>
      </c>
      <c r="H2">
        <v>2140110699</v>
      </c>
      <c r="I2" t="s">
        <v>115</v>
      </c>
      <c r="J2" s="37">
        <v>14200</v>
      </c>
      <c r="K2" s="37">
        <v>220</v>
      </c>
      <c r="M2">
        <v>3610</v>
      </c>
      <c r="N2">
        <v>117.19134</v>
      </c>
      <c r="O2">
        <v>173</v>
      </c>
      <c r="P2">
        <v>36</v>
      </c>
      <c r="R2">
        <v>180</v>
      </c>
      <c r="T2">
        <v>6</v>
      </c>
      <c r="V2" t="s">
        <v>116</v>
      </c>
      <c r="Y2" s="38">
        <v>0.29166666666666669</v>
      </c>
      <c r="Z2" s="38">
        <v>0.79166666666666663</v>
      </c>
      <c r="AA2" t="s">
        <v>117</v>
      </c>
      <c r="AC2" t="s">
        <v>118</v>
      </c>
      <c r="AM2">
        <v>4.1666999999999996</v>
      </c>
      <c r="AR2">
        <v>0.75</v>
      </c>
      <c r="BC2">
        <v>0.66669999999999996</v>
      </c>
      <c r="BK2">
        <f>0</f>
        <v>0</v>
      </c>
      <c r="BL2">
        <f t="shared" ref="BL2:BL65" si="0">N(AD2)+N(AE2)+N(AF2)+N(AG2)+N(AH2)+N(AI2)+N(AJ2)+N(AK2)+N(AL2)+N(AM2)+N(AN2)+N(AO2)+N(AP2)+N(AQ2)+N(AR2)+N(AS2)+N(AT2)+N(AU2)+N(AW2)+N(AX2)+N(AY2)+N(BC2)+N(BE2)+N(BF2)+N(BH2)+N(BI2)+N(BJ2)</f>
        <v>5.5833999999999993</v>
      </c>
      <c r="BM2">
        <f t="shared" ref="BM2:BM65" si="1">N(AZ2)+N(BA2)+N(BB2)+N(BD2)</f>
        <v>0</v>
      </c>
      <c r="BN2">
        <f t="shared" ref="BN2:BN65" si="2">N(AV2)+N(BG2)</f>
        <v>0</v>
      </c>
      <c r="BO2">
        <f t="shared" ref="BO2:BO65" si="3">IF($A2="","",IF(WEEKDAY($A2,2)=7,0,1))</f>
        <v>1</v>
      </c>
      <c r="BP2" s="37">
        <f>IF($F2="","",IFERROR(INDEX(Familias!$C$5:$C$300,MATCH($F2,Familias!$A$5:$A$300,0)),""))</f>
        <v>2990</v>
      </c>
      <c r="BQ2" s="37">
        <f t="shared" ref="BQ2:BQ65" si="4">IF(AND($J2="",$K2=""),"",N($J2)+N($K2))</f>
        <v>14420</v>
      </c>
      <c r="BR2" s="36">
        <f t="shared" ref="BR2:BR65" si="5">IF($A2="","",ROUND(N($B2),4))</f>
        <v>12</v>
      </c>
      <c r="BS2" s="36">
        <f t="shared" ref="BS2:BS65" si="6">IF($A2="","",ROUND(SUM($AD2:$BJ2),4))</f>
        <v>5.5834000000000001</v>
      </c>
      <c r="BT2" s="36">
        <f t="shared" ref="BT2:BT65" si="7">IF($A2="","",ROUND(MAX(0,$BR2-$BS2),4))</f>
        <v>6.4165999999999999</v>
      </c>
      <c r="BU2" s="36">
        <f t="shared" ref="BU2:BU65" si="8">IF(OR($BQ2="",$BP2="",N($BP2)=0),"",ROUND($BQ2/$BP2,4))</f>
        <v>4.8227000000000002</v>
      </c>
      <c r="BV2" s="39">
        <f t="shared" ref="BV2:BV65" si="9">IF(OR($BU2="",N($BT2)=0),"",$BU2/$BT2)</f>
        <v>0.75159741919396572</v>
      </c>
      <c r="BW2" s="39">
        <f t="shared" ref="BW2:BW65" si="10">IF(N($BQ2)&gt;0,N($J2)/$BQ2,"")</f>
        <v>0.98474341192787795</v>
      </c>
      <c r="BX2" s="40">
        <f t="shared" ref="BX2:BX65" si="11">IF(N($M2)&gt;0,(N($P2)+N($O2)+N($R2))/$M2,"")</f>
        <v>0.1077562326869806</v>
      </c>
      <c r="BY2" s="40">
        <f t="shared" ref="BY2:BY65" si="12">IF(N($M2)&gt;0,N($Q2)/$M2,"")</f>
        <v>0</v>
      </c>
      <c r="BZ2" t="str">
        <f t="shared" ref="BZ2:BZ65" si="13">IF($A2="","",IF($BO2=0,"Domingo",IF($AA2&lt;&gt;"Sí","Paradas no digitadas",IF($BQ2="",IF(N($BT2)&gt;0,"Sin producción","Parada total"),IF($F2="","Sin familia",IF($BP2="","Familia sin estándar",IF(AND($BV2&lt;&gt;"",N($BV2)&gt;1.1),"Revisar rendimiento","OK")))))))</f>
        <v>OK</v>
      </c>
      <c r="CA2">
        <f t="shared" ref="CA2:CA65" si="14">IF(OR($BU2="",$BO2&lt;&gt;1,$AA2&lt;&gt;"Sí"),0,1)</f>
        <v>1</v>
      </c>
    </row>
    <row r="3" spans="1:80" x14ac:dyDescent="0.25">
      <c r="A3" s="35">
        <v>45789</v>
      </c>
      <c r="B3" s="36">
        <v>12</v>
      </c>
      <c r="C3" t="s">
        <v>113</v>
      </c>
      <c r="D3" t="s">
        <v>6</v>
      </c>
      <c r="E3" t="s">
        <v>114</v>
      </c>
      <c r="F3" t="s">
        <v>114</v>
      </c>
      <c r="G3">
        <v>24464</v>
      </c>
      <c r="H3">
        <v>2140110699</v>
      </c>
      <c r="I3" t="s">
        <v>115</v>
      </c>
      <c r="J3" s="37">
        <v>28800</v>
      </c>
      <c r="K3" s="37">
        <v>20</v>
      </c>
      <c r="M3">
        <v>6708</v>
      </c>
      <c r="N3">
        <v>234.22013999999999</v>
      </c>
      <c r="O3">
        <v>95</v>
      </c>
      <c r="P3">
        <v>54</v>
      </c>
      <c r="T3">
        <v>9</v>
      </c>
      <c r="V3" t="s">
        <v>116</v>
      </c>
      <c r="Y3" s="38">
        <v>0.29166666666666669</v>
      </c>
      <c r="Z3" s="38">
        <v>0.79166666666666663</v>
      </c>
      <c r="AA3" t="s">
        <v>117</v>
      </c>
      <c r="AC3" t="s">
        <v>118</v>
      </c>
      <c r="AD3">
        <v>0.75</v>
      </c>
      <c r="AL3">
        <v>0.33329999999999999</v>
      </c>
      <c r="AQ3">
        <v>0.25</v>
      </c>
      <c r="BK3">
        <f>0</f>
        <v>0</v>
      </c>
      <c r="BL3">
        <f t="shared" si="0"/>
        <v>1.3332999999999999</v>
      </c>
      <c r="BM3">
        <f t="shared" si="1"/>
        <v>0</v>
      </c>
      <c r="BN3">
        <f t="shared" si="2"/>
        <v>0</v>
      </c>
      <c r="BO3">
        <f t="shared" si="3"/>
        <v>1</v>
      </c>
      <c r="BP3" s="37">
        <f>IF($F3="","",IFERROR(INDEX(Familias!$C$5:$C$300,MATCH($F3,Familias!$A$5:$A$300,0)),""))</f>
        <v>2990</v>
      </c>
      <c r="BQ3" s="37">
        <f t="shared" si="4"/>
        <v>28820</v>
      </c>
      <c r="BR3" s="36">
        <f t="shared" si="5"/>
        <v>12</v>
      </c>
      <c r="BS3" s="36">
        <f t="shared" si="6"/>
        <v>1.3332999999999999</v>
      </c>
      <c r="BT3" s="36">
        <f t="shared" si="7"/>
        <v>10.666700000000001</v>
      </c>
      <c r="BU3" s="36">
        <f t="shared" si="8"/>
        <v>9.6387999999999998</v>
      </c>
      <c r="BV3" s="39">
        <f t="shared" si="9"/>
        <v>0.90363467614163695</v>
      </c>
      <c r="BW3" s="39">
        <f t="shared" si="10"/>
        <v>0.99930603747397639</v>
      </c>
      <c r="BX3" s="40">
        <f t="shared" si="11"/>
        <v>2.2212283840190816E-2</v>
      </c>
      <c r="BY3" s="40">
        <f t="shared" si="12"/>
        <v>0</v>
      </c>
      <c r="BZ3" t="str">
        <f t="shared" si="13"/>
        <v>OK</v>
      </c>
      <c r="CA3">
        <f t="shared" si="14"/>
        <v>1</v>
      </c>
    </row>
    <row r="4" spans="1:80" x14ac:dyDescent="0.25">
      <c r="A4" s="35">
        <v>45790</v>
      </c>
      <c r="B4" s="36">
        <v>12</v>
      </c>
      <c r="C4" t="s">
        <v>113</v>
      </c>
      <c r="D4" t="s">
        <v>6</v>
      </c>
      <c r="E4" t="s">
        <v>114</v>
      </c>
      <c r="F4" t="s">
        <v>114</v>
      </c>
      <c r="G4">
        <v>24464</v>
      </c>
      <c r="H4">
        <v>2140110699</v>
      </c>
      <c r="I4" t="s">
        <v>115</v>
      </c>
      <c r="J4" s="37">
        <v>26350</v>
      </c>
      <c r="K4" s="37">
        <v>20</v>
      </c>
      <c r="M4">
        <v>6271</v>
      </c>
      <c r="N4">
        <v>214.30898999999999</v>
      </c>
      <c r="O4">
        <v>114</v>
      </c>
      <c r="P4">
        <v>54</v>
      </c>
      <c r="Q4">
        <v>44</v>
      </c>
      <c r="T4">
        <v>9</v>
      </c>
      <c r="V4" t="s">
        <v>116</v>
      </c>
      <c r="Y4" s="38">
        <v>0.29166666666666669</v>
      </c>
      <c r="Z4" s="38">
        <v>0.79166666666666663</v>
      </c>
      <c r="AA4" t="s">
        <v>117</v>
      </c>
      <c r="AC4" t="s">
        <v>118</v>
      </c>
      <c r="AQ4">
        <v>0.25</v>
      </c>
      <c r="AR4">
        <v>0.75</v>
      </c>
      <c r="BI4">
        <v>0.58330000000000004</v>
      </c>
      <c r="BJ4">
        <v>0.66669999999999996</v>
      </c>
      <c r="BK4">
        <f>0</f>
        <v>0</v>
      </c>
      <c r="BL4">
        <f t="shared" si="0"/>
        <v>2.25</v>
      </c>
      <c r="BM4">
        <f t="shared" si="1"/>
        <v>0</v>
      </c>
      <c r="BN4">
        <f t="shared" si="2"/>
        <v>0</v>
      </c>
      <c r="BO4">
        <f t="shared" si="3"/>
        <v>1</v>
      </c>
      <c r="BP4" s="37">
        <f>IF($F4="","",IFERROR(INDEX(Familias!$C$5:$C$300,MATCH($F4,Familias!$A$5:$A$300,0)),""))</f>
        <v>2990</v>
      </c>
      <c r="BQ4" s="37">
        <f t="shared" si="4"/>
        <v>26370</v>
      </c>
      <c r="BR4" s="36">
        <f t="shared" si="5"/>
        <v>12</v>
      </c>
      <c r="BS4" s="36">
        <f t="shared" si="6"/>
        <v>2.25</v>
      </c>
      <c r="BT4" s="36">
        <f t="shared" si="7"/>
        <v>9.75</v>
      </c>
      <c r="BU4" s="36">
        <f t="shared" si="8"/>
        <v>8.8193999999999999</v>
      </c>
      <c r="BV4" s="39">
        <f t="shared" si="9"/>
        <v>0.90455384615384615</v>
      </c>
      <c r="BW4" s="39">
        <f t="shared" si="10"/>
        <v>0.99924156238149409</v>
      </c>
      <c r="BX4" s="40">
        <f t="shared" si="11"/>
        <v>2.6789985648221975E-2</v>
      </c>
      <c r="BY4" s="40">
        <f t="shared" si="12"/>
        <v>7.0164248126295646E-3</v>
      </c>
      <c r="BZ4" t="str">
        <f t="shared" si="13"/>
        <v>OK</v>
      </c>
      <c r="CA4">
        <f t="shared" si="14"/>
        <v>1</v>
      </c>
    </row>
    <row r="5" spans="1:80" x14ac:dyDescent="0.25">
      <c r="A5" s="35">
        <v>45790</v>
      </c>
      <c r="B5" s="36">
        <v>12</v>
      </c>
      <c r="C5" t="s">
        <v>119</v>
      </c>
      <c r="D5" t="s">
        <v>6</v>
      </c>
      <c r="E5" t="s">
        <v>114</v>
      </c>
      <c r="F5" t="s">
        <v>114</v>
      </c>
      <c r="G5">
        <v>24464</v>
      </c>
      <c r="H5">
        <v>2140110699</v>
      </c>
      <c r="I5" t="s">
        <v>115</v>
      </c>
      <c r="J5" s="37">
        <v>28350</v>
      </c>
      <c r="K5" s="37">
        <v>6</v>
      </c>
      <c r="M5">
        <v>6787</v>
      </c>
      <c r="N5">
        <v>230.44921199999999</v>
      </c>
      <c r="O5">
        <v>200</v>
      </c>
      <c r="P5">
        <v>42</v>
      </c>
      <c r="Q5">
        <v>60</v>
      </c>
      <c r="T5">
        <v>10</v>
      </c>
      <c r="V5" t="s">
        <v>120</v>
      </c>
      <c r="Y5" s="38">
        <v>0.79166666666666663</v>
      </c>
      <c r="Z5" s="38">
        <v>0.29166666666666669</v>
      </c>
      <c r="AA5" t="s">
        <v>117</v>
      </c>
      <c r="AC5" t="s">
        <v>118</v>
      </c>
      <c r="AQ5">
        <v>0.16669999999999999</v>
      </c>
      <c r="AR5">
        <v>0.75</v>
      </c>
      <c r="BI5">
        <v>0.5</v>
      </c>
      <c r="BK5">
        <f>0</f>
        <v>0</v>
      </c>
      <c r="BL5">
        <f t="shared" si="0"/>
        <v>1.4167000000000001</v>
      </c>
      <c r="BM5">
        <f t="shared" si="1"/>
        <v>0</v>
      </c>
      <c r="BN5">
        <f t="shared" si="2"/>
        <v>0</v>
      </c>
      <c r="BO5">
        <f t="shared" si="3"/>
        <v>1</v>
      </c>
      <c r="BP5" s="37">
        <f>IF($F5="","",IFERROR(INDEX(Familias!$C$5:$C$300,MATCH($F5,Familias!$A$5:$A$300,0)),""))</f>
        <v>2990</v>
      </c>
      <c r="BQ5" s="37">
        <f t="shared" si="4"/>
        <v>28356</v>
      </c>
      <c r="BR5" s="36">
        <f t="shared" si="5"/>
        <v>12</v>
      </c>
      <c r="BS5" s="36">
        <f t="shared" si="6"/>
        <v>1.4167000000000001</v>
      </c>
      <c r="BT5" s="36">
        <f t="shared" si="7"/>
        <v>10.583299999999999</v>
      </c>
      <c r="BU5" s="36">
        <f t="shared" si="8"/>
        <v>9.4835999999999991</v>
      </c>
      <c r="BV5" s="39">
        <f t="shared" si="9"/>
        <v>0.8960910113102718</v>
      </c>
      <c r="BW5" s="39">
        <f t="shared" si="10"/>
        <v>0.99978840457046125</v>
      </c>
      <c r="BX5" s="40">
        <f t="shared" si="11"/>
        <v>3.5656401944894653E-2</v>
      </c>
      <c r="BY5" s="40">
        <f t="shared" si="12"/>
        <v>8.8404302342714007E-3</v>
      </c>
      <c r="BZ5" t="str">
        <f t="shared" si="13"/>
        <v>OK</v>
      </c>
      <c r="CA5">
        <f t="shared" si="14"/>
        <v>1</v>
      </c>
    </row>
    <row r="6" spans="1:80" x14ac:dyDescent="0.25">
      <c r="A6" s="35">
        <v>45791</v>
      </c>
      <c r="B6" s="36">
        <v>12</v>
      </c>
      <c r="C6" t="s">
        <v>113</v>
      </c>
      <c r="D6" t="s">
        <v>6</v>
      </c>
      <c r="E6" t="s">
        <v>114</v>
      </c>
      <c r="F6" t="s">
        <v>114</v>
      </c>
      <c r="G6">
        <v>24464</v>
      </c>
      <c r="H6">
        <v>2140110699</v>
      </c>
      <c r="I6" t="s">
        <v>115</v>
      </c>
      <c r="J6" s="37">
        <v>30250</v>
      </c>
      <c r="K6" s="37">
        <v>10</v>
      </c>
      <c r="M6">
        <v>7079</v>
      </c>
      <c r="N6">
        <v>245.92302000000001</v>
      </c>
      <c r="P6">
        <v>62</v>
      </c>
      <c r="Q6">
        <v>135</v>
      </c>
      <c r="T6">
        <v>10</v>
      </c>
      <c r="V6" t="s">
        <v>116</v>
      </c>
      <c r="Y6" s="38">
        <v>0.29166666666666669</v>
      </c>
      <c r="Z6" s="38">
        <v>0.79166666666666663</v>
      </c>
      <c r="AA6" t="s">
        <v>117</v>
      </c>
      <c r="AC6" t="s">
        <v>118</v>
      </c>
      <c r="AQ6">
        <v>0.25</v>
      </c>
      <c r="AR6">
        <v>0.75</v>
      </c>
      <c r="BI6">
        <v>0.5</v>
      </c>
      <c r="BK6">
        <f>0</f>
        <v>0</v>
      </c>
      <c r="BL6">
        <f t="shared" si="0"/>
        <v>1.5</v>
      </c>
      <c r="BM6">
        <f t="shared" si="1"/>
        <v>0</v>
      </c>
      <c r="BN6">
        <f t="shared" si="2"/>
        <v>0</v>
      </c>
      <c r="BO6">
        <f t="shared" si="3"/>
        <v>1</v>
      </c>
      <c r="BP6" s="37">
        <f>IF($F6="","",IFERROR(INDEX(Familias!$C$5:$C$300,MATCH($F6,Familias!$A$5:$A$300,0)),""))</f>
        <v>2990</v>
      </c>
      <c r="BQ6" s="37">
        <f t="shared" si="4"/>
        <v>30260</v>
      </c>
      <c r="BR6" s="36">
        <f t="shared" si="5"/>
        <v>12</v>
      </c>
      <c r="BS6" s="36">
        <f t="shared" si="6"/>
        <v>1.5</v>
      </c>
      <c r="BT6" s="36">
        <f t="shared" si="7"/>
        <v>10.5</v>
      </c>
      <c r="BU6" s="36">
        <f t="shared" si="8"/>
        <v>10.1204</v>
      </c>
      <c r="BV6" s="39">
        <f t="shared" si="9"/>
        <v>0.96384761904761906</v>
      </c>
      <c r="BW6" s="39">
        <f t="shared" si="10"/>
        <v>0.99966953073364173</v>
      </c>
      <c r="BX6" s="40">
        <f t="shared" si="11"/>
        <v>8.7582991948015262E-3</v>
      </c>
      <c r="BY6" s="40">
        <f t="shared" si="12"/>
        <v>1.907049018222913E-2</v>
      </c>
      <c r="BZ6" t="str">
        <f t="shared" si="13"/>
        <v>OK</v>
      </c>
      <c r="CA6">
        <f t="shared" si="14"/>
        <v>1</v>
      </c>
    </row>
    <row r="7" spans="1:80" x14ac:dyDescent="0.25">
      <c r="A7" s="35">
        <v>45791</v>
      </c>
      <c r="B7" s="36">
        <v>4.9459</v>
      </c>
      <c r="C7" t="s">
        <v>119</v>
      </c>
      <c r="D7" t="s">
        <v>6</v>
      </c>
      <c r="E7" t="s">
        <v>114</v>
      </c>
      <c r="F7" t="s">
        <v>114</v>
      </c>
      <c r="G7">
        <v>24464</v>
      </c>
      <c r="H7">
        <v>2140110699</v>
      </c>
      <c r="I7" t="s">
        <v>115</v>
      </c>
      <c r="J7" s="37">
        <v>12200</v>
      </c>
      <c r="K7" s="37"/>
      <c r="M7">
        <v>3036</v>
      </c>
      <c r="N7">
        <v>99.1494</v>
      </c>
      <c r="O7">
        <v>196</v>
      </c>
      <c r="P7">
        <v>61</v>
      </c>
      <c r="T7">
        <v>5</v>
      </c>
      <c r="V7" t="s">
        <v>120</v>
      </c>
      <c r="Y7" s="38">
        <v>0.79166666666666663</v>
      </c>
      <c r="Z7" s="38">
        <v>0.99791666666666667</v>
      </c>
      <c r="AA7" t="s">
        <v>117</v>
      </c>
      <c r="AC7" t="s">
        <v>121</v>
      </c>
      <c r="AD7">
        <v>0.13739999999999999</v>
      </c>
      <c r="AG7">
        <v>0.41220000000000001</v>
      </c>
      <c r="AQ7">
        <v>0.20610000000000001</v>
      </c>
      <c r="AR7">
        <v>0.27479999999999999</v>
      </c>
      <c r="BK7">
        <f>0</f>
        <v>0</v>
      </c>
      <c r="BL7">
        <f t="shared" si="0"/>
        <v>1.0305</v>
      </c>
      <c r="BM7">
        <f t="shared" si="1"/>
        <v>0</v>
      </c>
      <c r="BN7">
        <f t="shared" si="2"/>
        <v>0</v>
      </c>
      <c r="BO7">
        <f t="shared" si="3"/>
        <v>1</v>
      </c>
      <c r="BP7" s="37">
        <f>IF($F7="","",IFERROR(INDEX(Familias!$C$5:$C$300,MATCH($F7,Familias!$A$5:$A$300,0)),""))</f>
        <v>2990</v>
      </c>
      <c r="BQ7" s="37">
        <f t="shared" si="4"/>
        <v>12200</v>
      </c>
      <c r="BR7" s="36">
        <f t="shared" si="5"/>
        <v>4.9459</v>
      </c>
      <c r="BS7" s="36">
        <f t="shared" si="6"/>
        <v>1.0305</v>
      </c>
      <c r="BT7" s="36">
        <f t="shared" si="7"/>
        <v>3.9154</v>
      </c>
      <c r="BU7" s="36">
        <f t="shared" si="8"/>
        <v>4.0803000000000003</v>
      </c>
      <c r="BV7" s="39">
        <f t="shared" si="9"/>
        <v>1.0421157480717169</v>
      </c>
      <c r="BW7" s="39">
        <f t="shared" si="10"/>
        <v>1</v>
      </c>
      <c r="BX7" s="40">
        <f t="shared" si="11"/>
        <v>8.4650856389986831E-2</v>
      </c>
      <c r="BY7" s="40">
        <f t="shared" si="12"/>
        <v>0</v>
      </c>
      <c r="BZ7" t="str">
        <f t="shared" si="13"/>
        <v>OK</v>
      </c>
      <c r="CA7">
        <f t="shared" si="14"/>
        <v>1</v>
      </c>
    </row>
    <row r="8" spans="1:80" x14ac:dyDescent="0.25">
      <c r="A8" s="35">
        <v>45791</v>
      </c>
      <c r="B8" s="36">
        <v>7.0541</v>
      </c>
      <c r="C8" t="s">
        <v>119</v>
      </c>
      <c r="D8" t="s">
        <v>6</v>
      </c>
      <c r="E8" t="s">
        <v>114</v>
      </c>
      <c r="F8" t="s">
        <v>114</v>
      </c>
      <c r="G8">
        <v>24464</v>
      </c>
      <c r="H8">
        <v>2140110700</v>
      </c>
      <c r="I8" t="s">
        <v>122</v>
      </c>
      <c r="J8" s="37">
        <v>17400</v>
      </c>
      <c r="K8" s="37"/>
      <c r="M8">
        <v>3886</v>
      </c>
      <c r="N8">
        <v>141.40979999999999</v>
      </c>
      <c r="T8">
        <v>5</v>
      </c>
      <c r="V8" t="s">
        <v>120</v>
      </c>
      <c r="Y8" s="38">
        <v>0.99791666666666667</v>
      </c>
      <c r="Z8" s="38">
        <v>0.29166666666666669</v>
      </c>
      <c r="AA8" t="s">
        <v>117</v>
      </c>
      <c r="AC8" t="s">
        <v>121</v>
      </c>
      <c r="AD8">
        <v>0.19589999999999999</v>
      </c>
      <c r="AG8">
        <v>0.58779999999999999</v>
      </c>
      <c r="AQ8">
        <v>0.29389999999999999</v>
      </c>
      <c r="AR8">
        <v>0.39190000000000003</v>
      </c>
      <c r="BK8">
        <f>0</f>
        <v>0</v>
      </c>
      <c r="BL8">
        <f t="shared" si="0"/>
        <v>1.4695</v>
      </c>
      <c r="BM8">
        <f t="shared" si="1"/>
        <v>0</v>
      </c>
      <c r="BN8">
        <f t="shared" si="2"/>
        <v>0</v>
      </c>
      <c r="BO8">
        <f t="shared" si="3"/>
        <v>1</v>
      </c>
      <c r="BP8" s="37">
        <f>IF($F8="","",IFERROR(INDEX(Familias!$C$5:$C$300,MATCH($F8,Familias!$A$5:$A$300,0)),""))</f>
        <v>2990</v>
      </c>
      <c r="BQ8" s="37">
        <f t="shared" si="4"/>
        <v>17400</v>
      </c>
      <c r="BR8" s="36">
        <f t="shared" si="5"/>
        <v>7.0541</v>
      </c>
      <c r="BS8" s="36">
        <f t="shared" si="6"/>
        <v>1.4695</v>
      </c>
      <c r="BT8" s="36">
        <f t="shared" si="7"/>
        <v>5.5846</v>
      </c>
      <c r="BU8" s="36">
        <f t="shared" si="8"/>
        <v>5.8193999999999999</v>
      </c>
      <c r="BV8" s="39">
        <f t="shared" si="9"/>
        <v>1.0420441929592092</v>
      </c>
      <c r="BW8" s="39">
        <f t="shared" si="10"/>
        <v>1</v>
      </c>
      <c r="BX8" s="40">
        <f t="shared" si="11"/>
        <v>0</v>
      </c>
      <c r="BY8" s="40">
        <f t="shared" si="12"/>
        <v>0</v>
      </c>
      <c r="BZ8" t="str">
        <f t="shared" si="13"/>
        <v>OK</v>
      </c>
      <c r="CA8">
        <f t="shared" si="14"/>
        <v>1</v>
      </c>
    </row>
    <row r="9" spans="1:80" x14ac:dyDescent="0.25">
      <c r="A9" s="35">
        <v>45792</v>
      </c>
      <c r="B9" s="36">
        <v>6.2050000000000001</v>
      </c>
      <c r="C9" t="s">
        <v>113</v>
      </c>
      <c r="D9" t="s">
        <v>6</v>
      </c>
      <c r="E9" t="s">
        <v>114</v>
      </c>
      <c r="F9" t="s">
        <v>114</v>
      </c>
      <c r="G9">
        <v>24464</v>
      </c>
      <c r="H9">
        <v>2140110700</v>
      </c>
      <c r="I9" t="s">
        <v>122</v>
      </c>
      <c r="J9" s="37">
        <v>12900</v>
      </c>
      <c r="K9" s="37">
        <v>8</v>
      </c>
      <c r="M9">
        <v>3182</v>
      </c>
      <c r="N9">
        <v>104.903316</v>
      </c>
      <c r="O9">
        <v>172</v>
      </c>
      <c r="P9">
        <v>32</v>
      </c>
      <c r="Q9">
        <v>40</v>
      </c>
      <c r="T9">
        <v>5</v>
      </c>
      <c r="V9" t="s">
        <v>116</v>
      </c>
      <c r="Y9" s="38">
        <v>0.29166666666666669</v>
      </c>
      <c r="Z9" s="38">
        <v>0.55000000000000004</v>
      </c>
      <c r="AA9" t="s">
        <v>117</v>
      </c>
      <c r="AC9" t="s">
        <v>121</v>
      </c>
      <c r="AE9">
        <v>0.38779999999999998</v>
      </c>
      <c r="AF9">
        <v>0.25850000000000001</v>
      </c>
      <c r="AQ9">
        <v>0.1293</v>
      </c>
      <c r="AR9">
        <v>0.38779999999999998</v>
      </c>
      <c r="BI9">
        <v>0.25850000000000001</v>
      </c>
      <c r="BK9">
        <f>0</f>
        <v>0</v>
      </c>
      <c r="BL9">
        <f t="shared" si="0"/>
        <v>1.4218999999999999</v>
      </c>
      <c r="BM9">
        <f t="shared" si="1"/>
        <v>0</v>
      </c>
      <c r="BN9">
        <f t="shared" si="2"/>
        <v>0</v>
      </c>
      <c r="BO9">
        <f t="shared" si="3"/>
        <v>1</v>
      </c>
      <c r="BP9" s="37">
        <f>IF($F9="","",IFERROR(INDEX(Familias!$C$5:$C$300,MATCH($F9,Familias!$A$5:$A$300,0)),""))</f>
        <v>2990</v>
      </c>
      <c r="BQ9" s="37">
        <f t="shared" si="4"/>
        <v>12908</v>
      </c>
      <c r="BR9" s="36">
        <f t="shared" si="5"/>
        <v>6.2050000000000001</v>
      </c>
      <c r="BS9" s="36">
        <f t="shared" si="6"/>
        <v>1.4218999999999999</v>
      </c>
      <c r="BT9" s="36">
        <f t="shared" si="7"/>
        <v>4.7831000000000001</v>
      </c>
      <c r="BU9" s="36">
        <f t="shared" si="8"/>
        <v>4.3170999999999999</v>
      </c>
      <c r="BV9" s="39">
        <f t="shared" si="9"/>
        <v>0.90257364470740731</v>
      </c>
      <c r="BW9" s="39">
        <f t="shared" si="10"/>
        <v>0.99938022931515336</v>
      </c>
      <c r="BX9" s="40">
        <f t="shared" si="11"/>
        <v>6.4110622250157137E-2</v>
      </c>
      <c r="BY9" s="40">
        <f t="shared" si="12"/>
        <v>1.257071024512885E-2</v>
      </c>
      <c r="BZ9" t="str">
        <f t="shared" si="13"/>
        <v>OK</v>
      </c>
      <c r="CA9">
        <f t="shared" si="14"/>
        <v>1</v>
      </c>
    </row>
    <row r="10" spans="1:80" x14ac:dyDescent="0.25">
      <c r="A10" s="35">
        <v>45792</v>
      </c>
      <c r="B10" s="36">
        <v>5.7949999999999999</v>
      </c>
      <c r="C10" t="s">
        <v>113</v>
      </c>
      <c r="D10" t="s">
        <v>6</v>
      </c>
      <c r="E10" t="s">
        <v>114</v>
      </c>
      <c r="F10" t="s">
        <v>114</v>
      </c>
      <c r="G10">
        <v>24464</v>
      </c>
      <c r="H10">
        <v>2140110701</v>
      </c>
      <c r="I10" t="s">
        <v>123</v>
      </c>
      <c r="J10" s="37">
        <v>12050</v>
      </c>
      <c r="K10" s="37">
        <v>5</v>
      </c>
      <c r="M10">
        <v>2854</v>
      </c>
      <c r="N10">
        <v>97.970985000000013</v>
      </c>
      <c r="O10">
        <v>46</v>
      </c>
      <c r="P10">
        <v>24</v>
      </c>
      <c r="R10">
        <v>60</v>
      </c>
      <c r="T10">
        <v>5</v>
      </c>
      <c r="V10" t="s">
        <v>116</v>
      </c>
      <c r="Y10" s="38">
        <v>0.55000000000000004</v>
      </c>
      <c r="Z10" s="38">
        <v>0.79166666666666663</v>
      </c>
      <c r="AA10" t="s">
        <v>117</v>
      </c>
      <c r="AC10" t="s">
        <v>121</v>
      </c>
      <c r="AE10">
        <v>0.36220000000000002</v>
      </c>
      <c r="AF10">
        <v>0.24149999999999999</v>
      </c>
      <c r="AQ10">
        <v>0.1207</v>
      </c>
      <c r="AR10">
        <v>0.36220000000000002</v>
      </c>
      <c r="BI10">
        <v>0.24149999999999999</v>
      </c>
      <c r="BK10">
        <f>0</f>
        <v>0</v>
      </c>
      <c r="BL10">
        <f t="shared" si="0"/>
        <v>1.3281000000000001</v>
      </c>
      <c r="BM10">
        <f t="shared" si="1"/>
        <v>0</v>
      </c>
      <c r="BN10">
        <f t="shared" si="2"/>
        <v>0</v>
      </c>
      <c r="BO10">
        <f t="shared" si="3"/>
        <v>1</v>
      </c>
      <c r="BP10" s="37">
        <f>IF($F10="","",IFERROR(INDEX(Familias!$C$5:$C$300,MATCH($F10,Familias!$A$5:$A$300,0)),""))</f>
        <v>2990</v>
      </c>
      <c r="BQ10" s="37">
        <f t="shared" si="4"/>
        <v>12055</v>
      </c>
      <c r="BR10" s="36">
        <f t="shared" si="5"/>
        <v>5.7949999999999999</v>
      </c>
      <c r="BS10" s="36">
        <f t="shared" si="6"/>
        <v>1.3281000000000001</v>
      </c>
      <c r="BT10" s="36">
        <f t="shared" si="7"/>
        <v>4.4668999999999999</v>
      </c>
      <c r="BU10" s="36">
        <f t="shared" si="8"/>
        <v>4.0317999999999996</v>
      </c>
      <c r="BV10" s="39">
        <f t="shared" si="9"/>
        <v>0.90259464057847716</v>
      </c>
      <c r="BW10" s="39">
        <f t="shared" si="10"/>
        <v>0.99958523434259638</v>
      </c>
      <c r="BX10" s="40">
        <f t="shared" si="11"/>
        <v>4.5550105115627189E-2</v>
      </c>
      <c r="BY10" s="40">
        <f t="shared" si="12"/>
        <v>0</v>
      </c>
      <c r="BZ10" t="str">
        <f t="shared" si="13"/>
        <v>OK</v>
      </c>
      <c r="CA10">
        <f t="shared" si="14"/>
        <v>1</v>
      </c>
    </row>
    <row r="11" spans="1:80" x14ac:dyDescent="0.25">
      <c r="A11" s="35">
        <v>45792</v>
      </c>
      <c r="B11" s="36">
        <v>9.4846000000000004</v>
      </c>
      <c r="C11" t="s">
        <v>119</v>
      </c>
      <c r="D11" t="s">
        <v>6</v>
      </c>
      <c r="E11" t="s">
        <v>114</v>
      </c>
      <c r="F11" t="s">
        <v>114</v>
      </c>
      <c r="G11">
        <v>24464</v>
      </c>
      <c r="H11">
        <v>2140110701</v>
      </c>
      <c r="I11" t="s">
        <v>123</v>
      </c>
      <c r="J11" s="37">
        <v>18300</v>
      </c>
      <c r="K11" s="37">
        <v>5</v>
      </c>
      <c r="M11">
        <v>4316</v>
      </c>
      <c r="N11">
        <v>148.764735</v>
      </c>
      <c r="O11">
        <v>50</v>
      </c>
      <c r="P11">
        <v>89</v>
      </c>
      <c r="T11">
        <v>2</v>
      </c>
      <c r="V11" t="s">
        <v>120</v>
      </c>
      <c r="Y11" s="38">
        <v>0.79166666666666663</v>
      </c>
      <c r="Z11" s="38">
        <v>0.18680555555555561</v>
      </c>
      <c r="AA11" t="s">
        <v>117</v>
      </c>
      <c r="AC11" t="s">
        <v>121</v>
      </c>
      <c r="AF11">
        <v>0.3952</v>
      </c>
      <c r="AG11">
        <v>0.79039999999999999</v>
      </c>
      <c r="AI11">
        <v>0.72450000000000003</v>
      </c>
      <c r="AR11">
        <v>0.59279999999999999</v>
      </c>
      <c r="BI11">
        <v>0.26350000000000001</v>
      </c>
      <c r="BK11">
        <f>0</f>
        <v>0</v>
      </c>
      <c r="BL11">
        <f t="shared" si="0"/>
        <v>2.7664</v>
      </c>
      <c r="BM11">
        <f t="shared" si="1"/>
        <v>0</v>
      </c>
      <c r="BN11">
        <f t="shared" si="2"/>
        <v>0</v>
      </c>
      <c r="BO11">
        <f t="shared" si="3"/>
        <v>1</v>
      </c>
      <c r="BP11" s="37">
        <f>IF($F11="","",IFERROR(INDEX(Familias!$C$5:$C$300,MATCH($F11,Familias!$A$5:$A$300,0)),""))</f>
        <v>2990</v>
      </c>
      <c r="BQ11" s="37">
        <f t="shared" si="4"/>
        <v>18305</v>
      </c>
      <c r="BR11" s="36">
        <f t="shared" si="5"/>
        <v>9.4846000000000004</v>
      </c>
      <c r="BS11" s="36">
        <f t="shared" si="6"/>
        <v>2.7664</v>
      </c>
      <c r="BT11" s="36">
        <f t="shared" si="7"/>
        <v>6.7182000000000004</v>
      </c>
      <c r="BU11" s="36">
        <f t="shared" si="8"/>
        <v>6.1220999999999997</v>
      </c>
      <c r="BV11" s="39">
        <f t="shared" si="9"/>
        <v>0.9112708761275341</v>
      </c>
      <c r="BW11" s="39">
        <f t="shared" si="10"/>
        <v>0.99972685058727129</v>
      </c>
      <c r="BX11" s="40">
        <f t="shared" si="11"/>
        <v>3.2205746061167745E-2</v>
      </c>
      <c r="BY11" s="40">
        <f t="shared" si="12"/>
        <v>0</v>
      </c>
      <c r="BZ11" t="str">
        <f t="shared" si="13"/>
        <v>OK</v>
      </c>
      <c r="CA11">
        <f t="shared" si="14"/>
        <v>1</v>
      </c>
    </row>
    <row r="12" spans="1:80" x14ac:dyDescent="0.25">
      <c r="A12" s="35">
        <v>45792</v>
      </c>
      <c r="B12" s="36">
        <v>2.5154000000000001</v>
      </c>
      <c r="C12" t="s">
        <v>119</v>
      </c>
      <c r="D12" t="s">
        <v>6</v>
      </c>
      <c r="F12" t="s">
        <v>124</v>
      </c>
      <c r="G12">
        <v>24480</v>
      </c>
      <c r="H12">
        <v>2310320089</v>
      </c>
      <c r="I12" t="s">
        <v>125</v>
      </c>
      <c r="J12" s="37">
        <v>4608</v>
      </c>
      <c r="K12" s="37">
        <v>3</v>
      </c>
      <c r="M12">
        <v>1206</v>
      </c>
      <c r="N12">
        <v>37.473597000000012</v>
      </c>
      <c r="O12">
        <v>100</v>
      </c>
      <c r="P12">
        <v>45</v>
      </c>
      <c r="R12">
        <v>12</v>
      </c>
      <c r="T12">
        <v>2</v>
      </c>
      <c r="V12" t="s">
        <v>120</v>
      </c>
      <c r="Y12" s="38">
        <v>0.18680555555555561</v>
      </c>
      <c r="Z12" s="38">
        <v>0.29166666666666669</v>
      </c>
      <c r="AA12" t="s">
        <v>117</v>
      </c>
      <c r="AC12" t="s">
        <v>121</v>
      </c>
      <c r="AF12">
        <v>0.1048</v>
      </c>
      <c r="AG12">
        <v>0.20960000000000001</v>
      </c>
      <c r="AI12">
        <v>0.19209999999999999</v>
      </c>
      <c r="AR12">
        <v>0.15720000000000001</v>
      </c>
      <c r="BI12">
        <v>6.9900000000000004E-2</v>
      </c>
      <c r="BK12">
        <f>0</f>
        <v>0</v>
      </c>
      <c r="BL12">
        <f t="shared" si="0"/>
        <v>0.73359999999999992</v>
      </c>
      <c r="BM12">
        <f t="shared" si="1"/>
        <v>0</v>
      </c>
      <c r="BN12">
        <f t="shared" si="2"/>
        <v>0</v>
      </c>
      <c r="BO12">
        <f t="shared" si="3"/>
        <v>1</v>
      </c>
      <c r="BP12" s="37">
        <f>IF($F12="","",IFERROR(INDEX(Familias!$C$5:$C$300,MATCH($F12,Familias!$A$5:$A$300,0)),""))</f>
        <v>2840</v>
      </c>
      <c r="BQ12" s="37">
        <f t="shared" si="4"/>
        <v>4611</v>
      </c>
      <c r="BR12" s="36">
        <f t="shared" si="5"/>
        <v>2.5154000000000001</v>
      </c>
      <c r="BS12" s="36">
        <f t="shared" si="6"/>
        <v>0.73360000000000003</v>
      </c>
      <c r="BT12" s="36">
        <f t="shared" si="7"/>
        <v>1.7818000000000001</v>
      </c>
      <c r="BU12" s="36">
        <f t="shared" si="8"/>
        <v>1.6235999999999999</v>
      </c>
      <c r="BV12" s="39">
        <f t="shared" si="9"/>
        <v>0.91121337972836447</v>
      </c>
      <c r="BW12" s="39">
        <f t="shared" si="10"/>
        <v>0.99934938191281719</v>
      </c>
      <c r="BX12" s="40">
        <f t="shared" si="11"/>
        <v>0.13018242122719734</v>
      </c>
      <c r="BY12" s="40">
        <f t="shared" si="12"/>
        <v>0</v>
      </c>
      <c r="BZ12" t="str">
        <f t="shared" si="13"/>
        <v>OK</v>
      </c>
      <c r="CA12">
        <f t="shared" si="14"/>
        <v>1</v>
      </c>
    </row>
    <row r="13" spans="1:80" x14ac:dyDescent="0.25">
      <c r="A13" s="35">
        <v>45793</v>
      </c>
      <c r="B13" s="36">
        <v>12</v>
      </c>
      <c r="C13" t="s">
        <v>113</v>
      </c>
      <c r="D13" t="s">
        <v>6</v>
      </c>
      <c r="E13" t="s">
        <v>126</v>
      </c>
      <c r="F13" t="s">
        <v>127</v>
      </c>
      <c r="G13">
        <v>24483</v>
      </c>
      <c r="H13">
        <v>2140110610</v>
      </c>
      <c r="I13" t="s">
        <v>128</v>
      </c>
      <c r="J13" s="37">
        <v>11875</v>
      </c>
      <c r="K13" s="37">
        <v>22</v>
      </c>
      <c r="M13">
        <v>5043</v>
      </c>
      <c r="N13">
        <v>110.2506886999977</v>
      </c>
      <c r="O13">
        <v>200</v>
      </c>
      <c r="P13">
        <v>56</v>
      </c>
      <c r="Q13">
        <v>230</v>
      </c>
      <c r="R13">
        <v>300</v>
      </c>
      <c r="T13">
        <v>7</v>
      </c>
      <c r="V13" t="s">
        <v>120</v>
      </c>
      <c r="Y13" s="38">
        <v>0.29166666666666669</v>
      </c>
      <c r="Z13" s="38">
        <v>0.79166666666666663</v>
      </c>
      <c r="AA13" t="s">
        <v>117</v>
      </c>
      <c r="AC13" t="s">
        <v>118</v>
      </c>
      <c r="AE13">
        <v>12</v>
      </c>
      <c r="BK13">
        <f>0</f>
        <v>0</v>
      </c>
      <c r="BL13">
        <f t="shared" si="0"/>
        <v>12</v>
      </c>
      <c r="BM13">
        <f t="shared" si="1"/>
        <v>0</v>
      </c>
      <c r="BN13">
        <f t="shared" si="2"/>
        <v>0</v>
      </c>
      <c r="BO13">
        <f t="shared" si="3"/>
        <v>1</v>
      </c>
      <c r="BP13" s="37">
        <f>IF($F13="","",IFERROR(INDEX(Familias!$C$5:$C$300,MATCH($F13,Familias!$A$5:$A$300,0)),""))</f>
        <v>2450</v>
      </c>
      <c r="BQ13" s="37">
        <f t="shared" si="4"/>
        <v>11897</v>
      </c>
      <c r="BR13" s="36">
        <f t="shared" si="5"/>
        <v>12</v>
      </c>
      <c r="BS13" s="36">
        <f t="shared" si="6"/>
        <v>12</v>
      </c>
      <c r="BT13" s="36">
        <f t="shared" si="7"/>
        <v>0</v>
      </c>
      <c r="BU13" s="36">
        <f t="shared" si="8"/>
        <v>4.8559000000000001</v>
      </c>
      <c r="BV13" s="39" t="str">
        <f t="shared" si="9"/>
        <v/>
      </c>
      <c r="BW13" s="39">
        <f t="shared" si="10"/>
        <v>0.99815079431789522</v>
      </c>
      <c r="BX13" s="40">
        <f t="shared" si="11"/>
        <v>0.11025183422565933</v>
      </c>
      <c r="BY13" s="40">
        <f t="shared" si="12"/>
        <v>4.5607773150902239E-2</v>
      </c>
      <c r="BZ13" t="str">
        <f t="shared" si="13"/>
        <v>OK</v>
      </c>
      <c r="CA13">
        <f t="shared" si="14"/>
        <v>1</v>
      </c>
    </row>
    <row r="14" spans="1:80" x14ac:dyDescent="0.25">
      <c r="A14" s="35">
        <v>45793</v>
      </c>
      <c r="B14" s="36">
        <v>12</v>
      </c>
      <c r="C14" t="s">
        <v>119</v>
      </c>
      <c r="D14" t="s">
        <v>6</v>
      </c>
      <c r="J14" s="37"/>
      <c r="K14" s="37"/>
      <c r="V14" t="s">
        <v>120</v>
      </c>
      <c r="Y14" s="38">
        <v>0.79166666666666663</v>
      </c>
      <c r="Z14" s="38">
        <v>0.29166666666666669</v>
      </c>
      <c r="AA14" t="s">
        <v>117</v>
      </c>
      <c r="AC14" t="s">
        <v>118</v>
      </c>
      <c r="AG14">
        <v>0.75</v>
      </c>
      <c r="AK14">
        <v>1</v>
      </c>
      <c r="AL14">
        <v>1</v>
      </c>
      <c r="AQ14">
        <v>0.16669999999999999</v>
      </c>
      <c r="AR14">
        <v>0.75</v>
      </c>
      <c r="BJ14">
        <v>1</v>
      </c>
      <c r="BK14">
        <f>0</f>
        <v>0</v>
      </c>
      <c r="BL14">
        <f t="shared" si="0"/>
        <v>4.6667000000000005</v>
      </c>
      <c r="BM14">
        <f t="shared" si="1"/>
        <v>0</v>
      </c>
      <c r="BN14">
        <f t="shared" si="2"/>
        <v>0</v>
      </c>
      <c r="BO14">
        <f t="shared" si="3"/>
        <v>1</v>
      </c>
      <c r="BP14" s="37" t="str">
        <f>IF($F14="","",IFERROR(INDEX(Familias!$C$5:$C$300,MATCH($F14,Familias!$A$5:$A$300,0)),""))</f>
        <v/>
      </c>
      <c r="BQ14" s="37" t="str">
        <f t="shared" si="4"/>
        <v/>
      </c>
      <c r="BR14" s="36">
        <f t="shared" si="5"/>
        <v>12</v>
      </c>
      <c r="BS14" s="36">
        <f t="shared" si="6"/>
        <v>4.6666999999999996</v>
      </c>
      <c r="BT14" s="36">
        <f t="shared" si="7"/>
        <v>7.3333000000000004</v>
      </c>
      <c r="BU14" s="36" t="str">
        <f t="shared" si="8"/>
        <v/>
      </c>
      <c r="BV14" s="39" t="str">
        <f t="shared" si="9"/>
        <v/>
      </c>
      <c r="BW14" s="39" t="str">
        <f t="shared" si="10"/>
        <v/>
      </c>
      <c r="BX14" s="40" t="str">
        <f t="shared" si="11"/>
        <v/>
      </c>
      <c r="BY14" s="40" t="str">
        <f t="shared" si="12"/>
        <v/>
      </c>
      <c r="BZ14" t="str">
        <f t="shared" si="13"/>
        <v>Sin producción</v>
      </c>
      <c r="CA14">
        <f t="shared" si="14"/>
        <v>0</v>
      </c>
    </row>
    <row r="15" spans="1:80" x14ac:dyDescent="0.25">
      <c r="A15" s="35">
        <v>45794</v>
      </c>
      <c r="B15" s="36">
        <v>12</v>
      </c>
      <c r="C15" t="s">
        <v>113</v>
      </c>
      <c r="D15" t="s">
        <v>6</v>
      </c>
      <c r="E15" t="s">
        <v>126</v>
      </c>
      <c r="F15" t="s">
        <v>127</v>
      </c>
      <c r="G15">
        <v>24483</v>
      </c>
      <c r="H15">
        <v>2140110610</v>
      </c>
      <c r="I15" t="s">
        <v>128</v>
      </c>
      <c r="J15" s="37">
        <v>23100</v>
      </c>
      <c r="K15" s="37">
        <v>30</v>
      </c>
      <c r="M15">
        <v>8354</v>
      </c>
      <c r="N15">
        <v>214.34802299999549</v>
      </c>
      <c r="P15">
        <v>72</v>
      </c>
      <c r="Q15">
        <v>40</v>
      </c>
      <c r="T15">
        <v>12</v>
      </c>
      <c r="V15" t="s">
        <v>116</v>
      </c>
      <c r="Y15" s="38">
        <v>0.29166666666666669</v>
      </c>
      <c r="Z15" s="38">
        <v>0.79166666666666663</v>
      </c>
      <c r="AA15" t="s">
        <v>117</v>
      </c>
      <c r="AC15" t="s">
        <v>118</v>
      </c>
      <c r="AK15">
        <v>0.66669999999999996</v>
      </c>
      <c r="AO15">
        <v>0.33329999999999999</v>
      </c>
      <c r="AQ15">
        <v>0.25</v>
      </c>
      <c r="AR15">
        <v>0.75</v>
      </c>
      <c r="BI15">
        <v>0.5</v>
      </c>
      <c r="BK15">
        <f>0</f>
        <v>0</v>
      </c>
      <c r="BL15">
        <f t="shared" si="0"/>
        <v>2.5</v>
      </c>
      <c r="BM15">
        <f t="shared" si="1"/>
        <v>0</v>
      </c>
      <c r="BN15">
        <f t="shared" si="2"/>
        <v>0</v>
      </c>
      <c r="BO15">
        <f t="shared" si="3"/>
        <v>1</v>
      </c>
      <c r="BP15" s="37">
        <f>IF($F15="","",IFERROR(INDEX(Familias!$C$5:$C$300,MATCH($F15,Familias!$A$5:$A$300,0)),""))</f>
        <v>2450</v>
      </c>
      <c r="BQ15" s="37">
        <f t="shared" si="4"/>
        <v>23130</v>
      </c>
      <c r="BR15" s="36">
        <f t="shared" si="5"/>
        <v>12</v>
      </c>
      <c r="BS15" s="36">
        <f t="shared" si="6"/>
        <v>2.5</v>
      </c>
      <c r="BT15" s="36">
        <f t="shared" si="7"/>
        <v>9.5</v>
      </c>
      <c r="BU15" s="36">
        <f t="shared" si="8"/>
        <v>9.4407999999999994</v>
      </c>
      <c r="BV15" s="39">
        <f t="shared" si="9"/>
        <v>0.99376842105263152</v>
      </c>
      <c r="BW15" s="39">
        <f t="shared" si="10"/>
        <v>0.99870298313878081</v>
      </c>
      <c r="BX15" s="40">
        <f t="shared" si="11"/>
        <v>8.6186258079961695E-3</v>
      </c>
      <c r="BY15" s="40">
        <f t="shared" si="12"/>
        <v>4.7881254488867609E-3</v>
      </c>
      <c r="BZ15" t="str">
        <f t="shared" si="13"/>
        <v>OK</v>
      </c>
      <c r="CA15">
        <f t="shared" si="14"/>
        <v>1</v>
      </c>
    </row>
    <row r="16" spans="1:80" x14ac:dyDescent="0.25">
      <c r="A16" s="35">
        <v>45794</v>
      </c>
      <c r="B16" s="36">
        <v>12</v>
      </c>
      <c r="C16" t="s">
        <v>119</v>
      </c>
      <c r="D16" t="s">
        <v>6</v>
      </c>
      <c r="E16" t="s">
        <v>126</v>
      </c>
      <c r="F16" t="s">
        <v>127</v>
      </c>
      <c r="G16">
        <v>24483</v>
      </c>
      <c r="H16">
        <v>2140110610</v>
      </c>
      <c r="I16" t="s">
        <v>128</v>
      </c>
      <c r="J16" s="37">
        <v>16975</v>
      </c>
      <c r="K16" s="37">
        <v>20</v>
      </c>
      <c r="M16">
        <v>6458</v>
      </c>
      <c r="N16">
        <v>157.49436449999669</v>
      </c>
      <c r="O16">
        <v>95</v>
      </c>
      <c r="P16">
        <v>64</v>
      </c>
      <c r="Q16">
        <v>152</v>
      </c>
      <c r="T16">
        <v>9</v>
      </c>
      <c r="V16" t="s">
        <v>120</v>
      </c>
      <c r="Y16" s="38">
        <v>0.79166666666666663</v>
      </c>
      <c r="Z16" s="38">
        <v>0.29166666666666669</v>
      </c>
      <c r="AA16" t="s">
        <v>117</v>
      </c>
      <c r="AC16" t="s">
        <v>118</v>
      </c>
      <c r="AJ16">
        <v>0.5</v>
      </c>
      <c r="AK16">
        <v>1</v>
      </c>
      <c r="AR16">
        <v>0.75</v>
      </c>
      <c r="BC16">
        <v>1.6667000000000001</v>
      </c>
      <c r="BI16">
        <v>0.5</v>
      </c>
      <c r="BK16">
        <f>0</f>
        <v>0</v>
      </c>
      <c r="BL16">
        <f t="shared" si="0"/>
        <v>4.4167000000000005</v>
      </c>
      <c r="BM16">
        <f t="shared" si="1"/>
        <v>0</v>
      </c>
      <c r="BN16">
        <f t="shared" si="2"/>
        <v>0</v>
      </c>
      <c r="BO16">
        <f t="shared" si="3"/>
        <v>1</v>
      </c>
      <c r="BP16" s="37">
        <f>IF($F16="","",IFERROR(INDEX(Familias!$C$5:$C$300,MATCH($F16,Familias!$A$5:$A$300,0)),""))</f>
        <v>2450</v>
      </c>
      <c r="BQ16" s="37">
        <f t="shared" si="4"/>
        <v>16995</v>
      </c>
      <c r="BR16" s="36">
        <f t="shared" si="5"/>
        <v>12</v>
      </c>
      <c r="BS16" s="36">
        <f t="shared" si="6"/>
        <v>4.4166999999999996</v>
      </c>
      <c r="BT16" s="36">
        <f t="shared" si="7"/>
        <v>7.5833000000000004</v>
      </c>
      <c r="BU16" s="36">
        <f t="shared" si="8"/>
        <v>6.9367000000000001</v>
      </c>
      <c r="BV16" s="39">
        <f t="shared" si="9"/>
        <v>0.9147336911371039</v>
      </c>
      <c r="BW16" s="39">
        <f t="shared" si="10"/>
        <v>0.99882318328920272</v>
      </c>
      <c r="BX16" s="40">
        <f t="shared" si="11"/>
        <v>2.4620625580675133E-2</v>
      </c>
      <c r="BY16" s="40">
        <f t="shared" si="12"/>
        <v>2.3536698668318364E-2</v>
      </c>
      <c r="BZ16" t="str">
        <f t="shared" si="13"/>
        <v>OK</v>
      </c>
      <c r="CA16">
        <f t="shared" si="14"/>
        <v>1</v>
      </c>
    </row>
    <row r="17" spans="1:80" x14ac:dyDescent="0.25">
      <c r="A17" s="35">
        <v>45796</v>
      </c>
      <c r="B17" s="36">
        <v>12</v>
      </c>
      <c r="C17" t="s">
        <v>113</v>
      </c>
      <c r="D17" t="s">
        <v>6</v>
      </c>
      <c r="E17" t="s">
        <v>126</v>
      </c>
      <c r="F17" t="s">
        <v>127</v>
      </c>
      <c r="G17">
        <v>24483</v>
      </c>
      <c r="H17">
        <v>2140110610</v>
      </c>
      <c r="I17" t="s">
        <v>128</v>
      </c>
      <c r="J17" s="37">
        <v>21500</v>
      </c>
      <c r="K17" s="37">
        <v>20</v>
      </c>
      <c r="M17">
        <v>8342</v>
      </c>
      <c r="N17">
        <v>199.4279919999959</v>
      </c>
      <c r="O17">
        <v>188</v>
      </c>
      <c r="P17">
        <v>84</v>
      </c>
      <c r="Q17">
        <v>321</v>
      </c>
      <c r="T17">
        <v>12</v>
      </c>
      <c r="V17" t="s">
        <v>116</v>
      </c>
      <c r="Y17" s="38">
        <v>0.29166666666666669</v>
      </c>
      <c r="Z17" s="38">
        <v>0.79166666666666663</v>
      </c>
      <c r="AA17" t="s">
        <v>117</v>
      </c>
      <c r="AC17" t="s">
        <v>118</v>
      </c>
      <c r="AO17">
        <v>0.33329999999999999</v>
      </c>
      <c r="AQ17">
        <v>0.25</v>
      </c>
      <c r="AR17">
        <v>0.75</v>
      </c>
      <c r="BI17">
        <v>0.5</v>
      </c>
      <c r="BK17">
        <f>0</f>
        <v>0</v>
      </c>
      <c r="BL17">
        <f t="shared" si="0"/>
        <v>1.8332999999999999</v>
      </c>
      <c r="BM17">
        <f t="shared" si="1"/>
        <v>0</v>
      </c>
      <c r="BN17">
        <f t="shared" si="2"/>
        <v>0</v>
      </c>
      <c r="BO17">
        <f t="shared" si="3"/>
        <v>1</v>
      </c>
      <c r="BP17" s="37">
        <f>IF($F17="","",IFERROR(INDEX(Familias!$C$5:$C$300,MATCH($F17,Familias!$A$5:$A$300,0)),""))</f>
        <v>2450</v>
      </c>
      <c r="BQ17" s="37">
        <f t="shared" si="4"/>
        <v>21520</v>
      </c>
      <c r="BR17" s="36">
        <f t="shared" si="5"/>
        <v>12</v>
      </c>
      <c r="BS17" s="36">
        <f t="shared" si="6"/>
        <v>1.8332999999999999</v>
      </c>
      <c r="BT17" s="36">
        <f t="shared" si="7"/>
        <v>10.166700000000001</v>
      </c>
      <c r="BU17" s="36">
        <f t="shared" si="8"/>
        <v>8.7836999999999996</v>
      </c>
      <c r="BV17" s="39">
        <f t="shared" si="9"/>
        <v>0.86396765912242901</v>
      </c>
      <c r="BW17" s="39">
        <f t="shared" si="10"/>
        <v>0.99907063197026025</v>
      </c>
      <c r="BX17" s="40">
        <f t="shared" si="11"/>
        <v>3.2606089666746586E-2</v>
      </c>
      <c r="BY17" s="40">
        <f t="shared" si="12"/>
        <v>3.8479980819947253E-2</v>
      </c>
      <c r="BZ17" t="str">
        <f t="shared" si="13"/>
        <v>OK</v>
      </c>
      <c r="CA17">
        <f t="shared" si="14"/>
        <v>1</v>
      </c>
    </row>
    <row r="18" spans="1:80" x14ac:dyDescent="0.25">
      <c r="A18" s="35">
        <v>45796</v>
      </c>
      <c r="B18" s="36">
        <v>12</v>
      </c>
      <c r="C18" t="s">
        <v>119</v>
      </c>
      <c r="D18" t="s">
        <v>6</v>
      </c>
      <c r="E18" t="s">
        <v>126</v>
      </c>
      <c r="F18" t="s">
        <v>127</v>
      </c>
      <c r="G18">
        <v>24483</v>
      </c>
      <c r="H18">
        <v>2140110610</v>
      </c>
      <c r="I18" t="s">
        <v>128</v>
      </c>
      <c r="J18" s="37">
        <v>23625</v>
      </c>
      <c r="K18" s="37">
        <v>38</v>
      </c>
      <c r="M18">
        <v>8836</v>
      </c>
      <c r="N18">
        <v>219.28738729999549</v>
      </c>
      <c r="O18">
        <v>200</v>
      </c>
      <c r="P18">
        <v>82</v>
      </c>
      <c r="Q18">
        <v>30</v>
      </c>
      <c r="T18">
        <v>13</v>
      </c>
      <c r="V18" t="s">
        <v>120</v>
      </c>
      <c r="Y18" s="38">
        <v>0.79166666666666663</v>
      </c>
      <c r="Z18" s="38">
        <v>0.29166666666666669</v>
      </c>
      <c r="AA18" t="s">
        <v>117</v>
      </c>
      <c r="AC18" t="s">
        <v>118</v>
      </c>
      <c r="AD18">
        <v>1</v>
      </c>
      <c r="AJ18">
        <v>0.5</v>
      </c>
      <c r="AQ18">
        <v>0.16669999999999999</v>
      </c>
      <c r="AR18">
        <v>0.75</v>
      </c>
      <c r="BK18">
        <f>0</f>
        <v>0</v>
      </c>
      <c r="BL18">
        <f t="shared" si="0"/>
        <v>2.4167000000000001</v>
      </c>
      <c r="BM18">
        <f t="shared" si="1"/>
        <v>0</v>
      </c>
      <c r="BN18">
        <f t="shared" si="2"/>
        <v>0</v>
      </c>
      <c r="BO18">
        <f t="shared" si="3"/>
        <v>1</v>
      </c>
      <c r="BP18" s="37">
        <f>IF($F18="","",IFERROR(INDEX(Familias!$C$5:$C$300,MATCH($F18,Familias!$A$5:$A$300,0)),""))</f>
        <v>2450</v>
      </c>
      <c r="BQ18" s="37">
        <f t="shared" si="4"/>
        <v>23663</v>
      </c>
      <c r="BR18" s="36">
        <f t="shared" si="5"/>
        <v>12</v>
      </c>
      <c r="BS18" s="36">
        <f t="shared" si="6"/>
        <v>2.4167000000000001</v>
      </c>
      <c r="BT18" s="36">
        <f t="shared" si="7"/>
        <v>9.5832999999999995</v>
      </c>
      <c r="BU18" s="36">
        <f t="shared" si="8"/>
        <v>9.6584000000000003</v>
      </c>
      <c r="BV18" s="39">
        <f t="shared" si="9"/>
        <v>1.0078365489966923</v>
      </c>
      <c r="BW18" s="39">
        <f t="shared" si="10"/>
        <v>0.99839411739847017</v>
      </c>
      <c r="BX18" s="40">
        <f t="shared" si="11"/>
        <v>3.1914893617021274E-2</v>
      </c>
      <c r="BY18" s="40">
        <f t="shared" si="12"/>
        <v>3.3952014486192846E-3</v>
      </c>
      <c r="BZ18" t="str">
        <f t="shared" si="13"/>
        <v>OK</v>
      </c>
      <c r="CA18">
        <f t="shared" si="14"/>
        <v>1</v>
      </c>
    </row>
    <row r="19" spans="1:80" x14ac:dyDescent="0.25">
      <c r="A19" s="35">
        <v>45797</v>
      </c>
      <c r="B19" s="36">
        <v>12</v>
      </c>
      <c r="C19" t="s">
        <v>113</v>
      </c>
      <c r="D19" t="s">
        <v>6</v>
      </c>
      <c r="E19" t="s">
        <v>126</v>
      </c>
      <c r="F19" t="s">
        <v>127</v>
      </c>
      <c r="G19">
        <v>24483</v>
      </c>
      <c r="H19">
        <v>2140110610</v>
      </c>
      <c r="I19" t="s">
        <v>128</v>
      </c>
      <c r="J19" s="37">
        <v>24675</v>
      </c>
      <c r="K19" s="37">
        <v>8</v>
      </c>
      <c r="M19">
        <v>9099</v>
      </c>
      <c r="N19">
        <v>228.73982929999531</v>
      </c>
      <c r="O19">
        <v>112</v>
      </c>
      <c r="P19">
        <v>102</v>
      </c>
      <c r="Q19">
        <v>37</v>
      </c>
      <c r="T19">
        <v>13</v>
      </c>
      <c r="V19" t="s">
        <v>120</v>
      </c>
      <c r="Y19" s="38">
        <v>0.29166666666666669</v>
      </c>
      <c r="Z19" s="38">
        <v>0.79166666666666663</v>
      </c>
      <c r="AA19" t="s">
        <v>117</v>
      </c>
      <c r="AC19" t="s">
        <v>118</v>
      </c>
      <c r="AJ19">
        <v>0.5</v>
      </c>
      <c r="AQ19">
        <v>0.16669999999999999</v>
      </c>
      <c r="AR19">
        <v>0.75</v>
      </c>
      <c r="BI19">
        <v>0.5</v>
      </c>
      <c r="BK19">
        <f>0</f>
        <v>0</v>
      </c>
      <c r="BL19">
        <f t="shared" si="0"/>
        <v>1.9167000000000001</v>
      </c>
      <c r="BM19">
        <f t="shared" si="1"/>
        <v>0</v>
      </c>
      <c r="BN19">
        <f t="shared" si="2"/>
        <v>0</v>
      </c>
      <c r="BO19">
        <f t="shared" si="3"/>
        <v>1</v>
      </c>
      <c r="BP19" s="37">
        <f>IF($F19="","",IFERROR(INDEX(Familias!$C$5:$C$300,MATCH($F19,Familias!$A$5:$A$300,0)),""))</f>
        <v>2450</v>
      </c>
      <c r="BQ19" s="37">
        <f t="shared" si="4"/>
        <v>24683</v>
      </c>
      <c r="BR19" s="36">
        <f t="shared" si="5"/>
        <v>12</v>
      </c>
      <c r="BS19" s="36">
        <f t="shared" si="6"/>
        <v>1.9167000000000001</v>
      </c>
      <c r="BT19" s="36">
        <f t="shared" si="7"/>
        <v>10.083299999999999</v>
      </c>
      <c r="BU19" s="36">
        <f t="shared" si="8"/>
        <v>10.0747</v>
      </c>
      <c r="BV19" s="39">
        <f t="shared" si="9"/>
        <v>0.99914710461852774</v>
      </c>
      <c r="BW19" s="39">
        <f t="shared" si="10"/>
        <v>0.99967589028886283</v>
      </c>
      <c r="BX19" s="40">
        <f t="shared" si="11"/>
        <v>2.3519068029453787E-2</v>
      </c>
      <c r="BY19" s="40">
        <f t="shared" si="12"/>
        <v>4.0663809209803272E-3</v>
      </c>
      <c r="BZ19" t="str">
        <f t="shared" si="13"/>
        <v>OK</v>
      </c>
      <c r="CA19">
        <f t="shared" si="14"/>
        <v>1</v>
      </c>
    </row>
    <row r="20" spans="1:80" x14ac:dyDescent="0.25">
      <c r="A20" s="35">
        <v>45797</v>
      </c>
      <c r="B20" s="36">
        <v>12</v>
      </c>
      <c r="C20" t="s">
        <v>119</v>
      </c>
      <c r="D20" t="s">
        <v>6</v>
      </c>
      <c r="E20" t="s">
        <v>126</v>
      </c>
      <c r="F20" t="s">
        <v>127</v>
      </c>
      <c r="G20">
        <v>24483</v>
      </c>
      <c r="H20">
        <v>2140110610</v>
      </c>
      <c r="I20" t="s">
        <v>128</v>
      </c>
      <c r="J20" s="37">
        <v>22150</v>
      </c>
      <c r="K20" s="37">
        <v>20</v>
      </c>
      <c r="M20">
        <v>8372</v>
      </c>
      <c r="N20">
        <v>205.4516069999957</v>
      </c>
      <c r="O20">
        <v>170</v>
      </c>
      <c r="P20">
        <v>78</v>
      </c>
      <c r="Q20">
        <v>85</v>
      </c>
      <c r="T20">
        <v>12</v>
      </c>
      <c r="V20" t="s">
        <v>116</v>
      </c>
      <c r="Y20" s="38">
        <v>0.79166666666666663</v>
      </c>
      <c r="Z20" s="38">
        <v>0.29166666666666669</v>
      </c>
      <c r="AA20" t="s">
        <v>117</v>
      </c>
      <c r="AC20" t="s">
        <v>118</v>
      </c>
      <c r="AQ20">
        <v>0.25</v>
      </c>
      <c r="AR20">
        <v>0.75</v>
      </c>
      <c r="BI20">
        <v>0.5</v>
      </c>
      <c r="BK20">
        <f>0</f>
        <v>0</v>
      </c>
      <c r="BL20">
        <f t="shared" si="0"/>
        <v>1.5</v>
      </c>
      <c r="BM20">
        <f t="shared" si="1"/>
        <v>0</v>
      </c>
      <c r="BN20">
        <f t="shared" si="2"/>
        <v>0</v>
      </c>
      <c r="BO20">
        <f t="shared" si="3"/>
        <v>1</v>
      </c>
      <c r="BP20" s="37">
        <f>IF($F20="","",IFERROR(INDEX(Familias!$C$5:$C$300,MATCH($F20,Familias!$A$5:$A$300,0)),""))</f>
        <v>2450</v>
      </c>
      <c r="BQ20" s="37">
        <f t="shared" si="4"/>
        <v>22170</v>
      </c>
      <c r="BR20" s="36">
        <f t="shared" si="5"/>
        <v>12</v>
      </c>
      <c r="BS20" s="36">
        <f t="shared" si="6"/>
        <v>1.5</v>
      </c>
      <c r="BT20" s="36">
        <f t="shared" si="7"/>
        <v>10.5</v>
      </c>
      <c r="BU20" s="36">
        <f t="shared" si="8"/>
        <v>9.0489999999999995</v>
      </c>
      <c r="BV20" s="39">
        <f t="shared" si="9"/>
        <v>0.8618095238095238</v>
      </c>
      <c r="BW20" s="39">
        <f t="shared" si="10"/>
        <v>0.99909788001804245</v>
      </c>
      <c r="BX20" s="40">
        <f t="shared" si="11"/>
        <v>2.9622551361681796E-2</v>
      </c>
      <c r="BY20" s="40">
        <f t="shared" si="12"/>
        <v>1.0152890587673196E-2</v>
      </c>
      <c r="BZ20" t="str">
        <f t="shared" si="13"/>
        <v>OK</v>
      </c>
      <c r="CA20">
        <f t="shared" si="14"/>
        <v>1</v>
      </c>
    </row>
    <row r="21" spans="1:80" x14ac:dyDescent="0.25">
      <c r="A21" s="35">
        <v>45798</v>
      </c>
      <c r="B21" s="36">
        <v>4.1715999999999998</v>
      </c>
      <c r="C21" t="s">
        <v>113</v>
      </c>
      <c r="D21" t="s">
        <v>6</v>
      </c>
      <c r="E21" t="s">
        <v>126</v>
      </c>
      <c r="F21" t="s">
        <v>127</v>
      </c>
      <c r="G21">
        <v>24483</v>
      </c>
      <c r="H21">
        <v>2140110610</v>
      </c>
      <c r="I21" t="s">
        <v>128</v>
      </c>
      <c r="J21" s="37">
        <v>6150</v>
      </c>
      <c r="K21" s="37">
        <v>2</v>
      </c>
      <c r="M21">
        <v>2405</v>
      </c>
      <c r="N21">
        <v>57.011199199998821</v>
      </c>
      <c r="O21">
        <v>32</v>
      </c>
      <c r="P21">
        <v>56</v>
      </c>
      <c r="T21">
        <v>4</v>
      </c>
      <c r="V21" t="s">
        <v>120</v>
      </c>
      <c r="Y21" s="38">
        <v>0.29166666666666669</v>
      </c>
      <c r="Z21" s="38">
        <v>0.46527777777777779</v>
      </c>
      <c r="AA21" t="s">
        <v>117</v>
      </c>
      <c r="AC21" t="s">
        <v>121</v>
      </c>
      <c r="AE21">
        <v>0.34760000000000002</v>
      </c>
      <c r="AJ21">
        <v>0.17380000000000001</v>
      </c>
      <c r="AO21">
        <v>0.34760000000000002</v>
      </c>
      <c r="AQ21">
        <v>5.79E-2</v>
      </c>
      <c r="BI21">
        <v>0.17380000000000001</v>
      </c>
      <c r="BK21">
        <f>0</f>
        <v>0</v>
      </c>
      <c r="BL21">
        <f t="shared" si="0"/>
        <v>1.1007</v>
      </c>
      <c r="BM21">
        <f t="shared" si="1"/>
        <v>0</v>
      </c>
      <c r="BN21">
        <f t="shared" si="2"/>
        <v>0</v>
      </c>
      <c r="BO21">
        <f t="shared" si="3"/>
        <v>1</v>
      </c>
      <c r="BP21" s="37">
        <f>IF($F21="","",IFERROR(INDEX(Familias!$C$5:$C$300,MATCH($F21,Familias!$A$5:$A$300,0)),""))</f>
        <v>2450</v>
      </c>
      <c r="BQ21" s="37">
        <f t="shared" si="4"/>
        <v>6152</v>
      </c>
      <c r="BR21" s="36">
        <f t="shared" si="5"/>
        <v>4.1715999999999998</v>
      </c>
      <c r="BS21" s="36">
        <f t="shared" si="6"/>
        <v>1.1007</v>
      </c>
      <c r="BT21" s="36">
        <f t="shared" si="7"/>
        <v>3.0709</v>
      </c>
      <c r="BU21" s="36">
        <f t="shared" si="8"/>
        <v>2.5110000000000001</v>
      </c>
      <c r="BV21" s="39">
        <f t="shared" si="9"/>
        <v>0.81767559998697459</v>
      </c>
      <c r="BW21" s="39">
        <f t="shared" si="10"/>
        <v>0.9996749024707412</v>
      </c>
      <c r="BX21" s="40">
        <f t="shared" si="11"/>
        <v>3.6590436590436592E-2</v>
      </c>
      <c r="BY21" s="40">
        <f t="shared" si="12"/>
        <v>0</v>
      </c>
      <c r="BZ21" t="str">
        <f t="shared" si="13"/>
        <v>OK</v>
      </c>
      <c r="CA21">
        <f t="shared" si="14"/>
        <v>1</v>
      </c>
    </row>
    <row r="22" spans="1:80" x14ac:dyDescent="0.25">
      <c r="A22" s="35">
        <v>45798</v>
      </c>
      <c r="B22" s="36">
        <v>7.8284000000000002</v>
      </c>
      <c r="C22" t="s">
        <v>113</v>
      </c>
      <c r="D22" t="s">
        <v>6</v>
      </c>
      <c r="E22" t="s">
        <v>126</v>
      </c>
      <c r="F22" t="s">
        <v>127</v>
      </c>
      <c r="G22">
        <v>24483</v>
      </c>
      <c r="H22">
        <v>2140110673</v>
      </c>
      <c r="I22" t="s">
        <v>129</v>
      </c>
      <c r="J22" s="37">
        <v>11525</v>
      </c>
      <c r="K22" s="37">
        <v>20</v>
      </c>
      <c r="M22">
        <v>4377</v>
      </c>
      <c r="N22">
        <v>106.9886694999978</v>
      </c>
      <c r="O22">
        <v>65</v>
      </c>
      <c r="P22">
        <v>60</v>
      </c>
      <c r="Q22">
        <v>30</v>
      </c>
      <c r="T22">
        <v>6</v>
      </c>
      <c r="V22" t="s">
        <v>120</v>
      </c>
      <c r="Y22" s="38">
        <v>0.46527777777777779</v>
      </c>
      <c r="Z22" s="38">
        <v>0.79166666666666663</v>
      </c>
      <c r="AA22" t="s">
        <v>117</v>
      </c>
      <c r="AC22" t="s">
        <v>121</v>
      </c>
      <c r="AE22">
        <v>0.65239999999999998</v>
      </c>
      <c r="AJ22">
        <v>0.32619999999999999</v>
      </c>
      <c r="AO22">
        <v>0.65239999999999998</v>
      </c>
      <c r="AQ22">
        <v>0.1087</v>
      </c>
      <c r="BI22">
        <v>0.32619999999999999</v>
      </c>
      <c r="BK22">
        <f>0</f>
        <v>0</v>
      </c>
      <c r="BL22">
        <f t="shared" si="0"/>
        <v>2.0658999999999996</v>
      </c>
      <c r="BM22">
        <f t="shared" si="1"/>
        <v>0</v>
      </c>
      <c r="BN22">
        <f t="shared" si="2"/>
        <v>0</v>
      </c>
      <c r="BO22">
        <f t="shared" si="3"/>
        <v>1</v>
      </c>
      <c r="BP22" s="37">
        <f>IF($F22="","",IFERROR(INDEX(Familias!$C$5:$C$300,MATCH($F22,Familias!$A$5:$A$300,0)),""))</f>
        <v>2450</v>
      </c>
      <c r="BQ22" s="37">
        <f t="shared" si="4"/>
        <v>11545</v>
      </c>
      <c r="BR22" s="36">
        <f t="shared" si="5"/>
        <v>7.8284000000000002</v>
      </c>
      <c r="BS22" s="36">
        <f t="shared" si="6"/>
        <v>2.0659000000000001</v>
      </c>
      <c r="BT22" s="36">
        <f t="shared" si="7"/>
        <v>5.7625000000000002</v>
      </c>
      <c r="BU22" s="36">
        <f t="shared" si="8"/>
        <v>4.7122000000000002</v>
      </c>
      <c r="BV22" s="39">
        <f t="shared" si="9"/>
        <v>0.81773535791757046</v>
      </c>
      <c r="BW22" s="39">
        <f t="shared" si="10"/>
        <v>0.9982676483326115</v>
      </c>
      <c r="BX22" s="40">
        <f t="shared" si="11"/>
        <v>2.8558373315055976E-2</v>
      </c>
      <c r="BY22" s="40">
        <f t="shared" si="12"/>
        <v>6.8540095956134339E-3</v>
      </c>
      <c r="BZ22" t="str">
        <f t="shared" si="13"/>
        <v>OK</v>
      </c>
      <c r="CA22">
        <f t="shared" si="14"/>
        <v>1</v>
      </c>
    </row>
    <row r="23" spans="1:80" x14ac:dyDescent="0.25">
      <c r="A23" s="35">
        <v>45798</v>
      </c>
      <c r="B23" s="36">
        <v>12</v>
      </c>
      <c r="C23" t="s">
        <v>119</v>
      </c>
      <c r="D23" t="s">
        <v>6</v>
      </c>
      <c r="E23" t="s">
        <v>126</v>
      </c>
      <c r="F23" t="s">
        <v>127</v>
      </c>
      <c r="G23">
        <v>24483</v>
      </c>
      <c r="H23">
        <v>2140110673</v>
      </c>
      <c r="I23" t="s">
        <v>129</v>
      </c>
      <c r="J23" s="37">
        <v>21975</v>
      </c>
      <c r="K23" s="37">
        <v>15</v>
      </c>
      <c r="M23">
        <v>8121</v>
      </c>
      <c r="N23">
        <v>203.78352899999581</v>
      </c>
      <c r="O23">
        <v>108</v>
      </c>
      <c r="P23">
        <v>96</v>
      </c>
      <c r="T23">
        <v>12</v>
      </c>
      <c r="V23" t="s">
        <v>116</v>
      </c>
      <c r="Y23" s="38">
        <v>0.79166666666666663</v>
      </c>
      <c r="Z23" s="38">
        <v>0.29166666666666669</v>
      </c>
      <c r="AA23" t="s">
        <v>117</v>
      </c>
      <c r="AC23" t="s">
        <v>118</v>
      </c>
      <c r="AQ23">
        <v>0.25</v>
      </c>
      <c r="AR23">
        <v>0.75</v>
      </c>
      <c r="BI23">
        <v>0.5</v>
      </c>
      <c r="BK23">
        <f>0</f>
        <v>0</v>
      </c>
      <c r="BL23">
        <f t="shared" si="0"/>
        <v>1.5</v>
      </c>
      <c r="BM23">
        <f t="shared" si="1"/>
        <v>0</v>
      </c>
      <c r="BN23">
        <f t="shared" si="2"/>
        <v>0</v>
      </c>
      <c r="BO23">
        <f t="shared" si="3"/>
        <v>1</v>
      </c>
      <c r="BP23" s="37">
        <f>IF($F23="","",IFERROR(INDEX(Familias!$C$5:$C$300,MATCH($F23,Familias!$A$5:$A$300,0)),""))</f>
        <v>2450</v>
      </c>
      <c r="BQ23" s="37">
        <f t="shared" si="4"/>
        <v>21990</v>
      </c>
      <c r="BR23" s="36">
        <f t="shared" si="5"/>
        <v>12</v>
      </c>
      <c r="BS23" s="36">
        <f t="shared" si="6"/>
        <v>1.5</v>
      </c>
      <c r="BT23" s="36">
        <f t="shared" si="7"/>
        <v>10.5</v>
      </c>
      <c r="BU23" s="36">
        <f t="shared" si="8"/>
        <v>8.9755000000000003</v>
      </c>
      <c r="BV23" s="39">
        <f t="shared" si="9"/>
        <v>0.8548095238095238</v>
      </c>
      <c r="BW23" s="39">
        <f t="shared" si="10"/>
        <v>0.99931787175989084</v>
      </c>
      <c r="BX23" s="40">
        <f t="shared" si="11"/>
        <v>2.5120059106021424E-2</v>
      </c>
      <c r="BY23" s="40">
        <f t="shared" si="12"/>
        <v>0</v>
      </c>
      <c r="BZ23" t="str">
        <f t="shared" si="13"/>
        <v>OK</v>
      </c>
      <c r="CA23">
        <f t="shared" si="14"/>
        <v>1</v>
      </c>
    </row>
    <row r="24" spans="1:80" x14ac:dyDescent="0.25">
      <c r="A24" s="35">
        <v>45799</v>
      </c>
      <c r="B24" s="36">
        <v>12</v>
      </c>
      <c r="C24" t="s">
        <v>113</v>
      </c>
      <c r="D24" t="s">
        <v>6</v>
      </c>
      <c r="E24" t="s">
        <v>126</v>
      </c>
      <c r="F24" t="s">
        <v>127</v>
      </c>
      <c r="G24">
        <v>24483</v>
      </c>
      <c r="H24">
        <v>2140110673</v>
      </c>
      <c r="I24" t="s">
        <v>129</v>
      </c>
      <c r="J24" s="37">
        <v>23100</v>
      </c>
      <c r="K24" s="37">
        <v>24</v>
      </c>
      <c r="M24">
        <v>8853</v>
      </c>
      <c r="N24">
        <v>214.29242039999559</v>
      </c>
      <c r="O24">
        <v>260</v>
      </c>
      <c r="P24">
        <v>104</v>
      </c>
      <c r="Q24">
        <v>93</v>
      </c>
      <c r="T24">
        <v>13</v>
      </c>
      <c r="V24" t="s">
        <v>120</v>
      </c>
      <c r="Y24" s="38">
        <v>0.29166666666666669</v>
      </c>
      <c r="Z24" s="38">
        <v>0.79166666666666663</v>
      </c>
      <c r="AA24" t="s">
        <v>117</v>
      </c>
      <c r="AC24" t="s">
        <v>118</v>
      </c>
      <c r="AQ24">
        <v>0.16669999999999999</v>
      </c>
      <c r="BI24">
        <v>0.5</v>
      </c>
      <c r="BK24">
        <f>0</f>
        <v>0</v>
      </c>
      <c r="BL24">
        <f t="shared" si="0"/>
        <v>0.66669999999999996</v>
      </c>
      <c r="BM24">
        <f t="shared" si="1"/>
        <v>0</v>
      </c>
      <c r="BN24">
        <f t="shared" si="2"/>
        <v>0</v>
      </c>
      <c r="BO24">
        <f t="shared" si="3"/>
        <v>1</v>
      </c>
      <c r="BP24" s="37">
        <f>IF($F24="","",IFERROR(INDEX(Familias!$C$5:$C$300,MATCH($F24,Familias!$A$5:$A$300,0)),""))</f>
        <v>2450</v>
      </c>
      <c r="BQ24" s="37">
        <f t="shared" si="4"/>
        <v>23124</v>
      </c>
      <c r="BR24" s="36">
        <f t="shared" si="5"/>
        <v>12</v>
      </c>
      <c r="BS24" s="36">
        <f t="shared" si="6"/>
        <v>0.66669999999999996</v>
      </c>
      <c r="BT24" s="36">
        <f t="shared" si="7"/>
        <v>11.333299999999999</v>
      </c>
      <c r="BU24" s="36">
        <f t="shared" si="8"/>
        <v>9.4383999999999997</v>
      </c>
      <c r="BV24" s="39">
        <f t="shared" si="9"/>
        <v>0.83280244941896886</v>
      </c>
      <c r="BW24" s="39">
        <f t="shared" si="10"/>
        <v>0.99896211728074724</v>
      </c>
      <c r="BX24" s="40">
        <f t="shared" si="11"/>
        <v>4.1116005873715125E-2</v>
      </c>
      <c r="BY24" s="40">
        <f t="shared" si="12"/>
        <v>1.0504913588614028E-2</v>
      </c>
      <c r="BZ24" t="str">
        <f t="shared" si="13"/>
        <v>OK</v>
      </c>
      <c r="CA24">
        <f t="shared" si="14"/>
        <v>1</v>
      </c>
    </row>
    <row r="25" spans="1:80" x14ac:dyDescent="0.25">
      <c r="A25" s="35">
        <v>45799</v>
      </c>
      <c r="B25" s="36">
        <v>6.4843999999999999</v>
      </c>
      <c r="C25" t="s">
        <v>119</v>
      </c>
      <c r="D25" t="s">
        <v>6</v>
      </c>
      <c r="E25" t="s">
        <v>126</v>
      </c>
      <c r="F25" t="s">
        <v>127</v>
      </c>
      <c r="G25">
        <v>24483</v>
      </c>
      <c r="H25">
        <v>2140110673</v>
      </c>
      <c r="I25" t="s">
        <v>129</v>
      </c>
      <c r="J25" s="37">
        <v>10675</v>
      </c>
      <c r="K25" s="37">
        <v>0</v>
      </c>
      <c r="M25">
        <v>3787</v>
      </c>
      <c r="N25">
        <v>98.926292499997942</v>
      </c>
      <c r="O25">
        <v>65</v>
      </c>
      <c r="P25">
        <v>40</v>
      </c>
      <c r="T25">
        <v>5</v>
      </c>
      <c r="V25" t="s">
        <v>116</v>
      </c>
      <c r="Y25" s="38">
        <v>0.79166666666666663</v>
      </c>
      <c r="Z25" s="38">
        <v>6.1805555555555558E-2</v>
      </c>
      <c r="AA25" t="s">
        <v>117</v>
      </c>
      <c r="AC25" t="s">
        <v>121</v>
      </c>
      <c r="AE25">
        <v>0.72050000000000003</v>
      </c>
      <c r="AQ25">
        <v>0.1351</v>
      </c>
      <c r="AR25">
        <v>0.40529999999999999</v>
      </c>
      <c r="BI25">
        <v>0.36020000000000002</v>
      </c>
      <c r="BK25">
        <f>0</f>
        <v>0</v>
      </c>
      <c r="BL25">
        <f t="shared" si="0"/>
        <v>1.6211</v>
      </c>
      <c r="BM25">
        <f t="shared" si="1"/>
        <v>0</v>
      </c>
      <c r="BN25">
        <f t="shared" si="2"/>
        <v>0</v>
      </c>
      <c r="BO25">
        <f t="shared" si="3"/>
        <v>1</v>
      </c>
      <c r="BP25" s="37">
        <f>IF($F25="","",IFERROR(INDEX(Familias!$C$5:$C$300,MATCH($F25,Familias!$A$5:$A$300,0)),""))</f>
        <v>2450</v>
      </c>
      <c r="BQ25" s="37">
        <f t="shared" si="4"/>
        <v>10675</v>
      </c>
      <c r="BR25" s="36">
        <f t="shared" si="5"/>
        <v>6.4843999999999999</v>
      </c>
      <c r="BS25" s="36">
        <f t="shared" si="6"/>
        <v>1.6211</v>
      </c>
      <c r="BT25" s="36">
        <f t="shared" si="7"/>
        <v>4.8632999999999997</v>
      </c>
      <c r="BU25" s="36">
        <f t="shared" si="8"/>
        <v>4.3571</v>
      </c>
      <c r="BV25" s="39">
        <f t="shared" si="9"/>
        <v>0.89591429687660651</v>
      </c>
      <c r="BW25" s="39">
        <f t="shared" si="10"/>
        <v>1</v>
      </c>
      <c r="BX25" s="40">
        <f t="shared" si="11"/>
        <v>2.7726432532347505E-2</v>
      </c>
      <c r="BY25" s="40">
        <f t="shared" si="12"/>
        <v>0</v>
      </c>
      <c r="BZ25" t="str">
        <f t="shared" si="13"/>
        <v>OK</v>
      </c>
      <c r="CA25">
        <f t="shared" si="14"/>
        <v>1</v>
      </c>
    </row>
    <row r="26" spans="1:80" x14ac:dyDescent="0.25">
      <c r="A26" s="35">
        <v>45799</v>
      </c>
      <c r="B26" s="36">
        <v>5.5156000000000001</v>
      </c>
      <c r="C26" t="s">
        <v>119</v>
      </c>
      <c r="D26" t="s">
        <v>6</v>
      </c>
      <c r="E26" t="s">
        <v>126</v>
      </c>
      <c r="F26" t="s">
        <v>127</v>
      </c>
      <c r="G26">
        <v>24483</v>
      </c>
      <c r="H26">
        <v>2140110674</v>
      </c>
      <c r="I26" t="s">
        <v>130</v>
      </c>
      <c r="J26" s="37">
        <v>9075</v>
      </c>
      <c r="K26" s="37">
        <v>5</v>
      </c>
      <c r="M26">
        <v>3591</v>
      </c>
      <c r="N26">
        <v>84.145267999998254</v>
      </c>
      <c r="O26">
        <v>130</v>
      </c>
      <c r="P26">
        <v>32</v>
      </c>
      <c r="Q26">
        <v>35</v>
      </c>
      <c r="R26">
        <v>50</v>
      </c>
      <c r="T26">
        <v>5</v>
      </c>
      <c r="V26" t="s">
        <v>116</v>
      </c>
      <c r="Y26" s="38">
        <v>6.1805555555555558E-2</v>
      </c>
      <c r="Z26" s="38">
        <v>0.29166666666666669</v>
      </c>
      <c r="AA26" t="s">
        <v>117</v>
      </c>
      <c r="AC26" t="s">
        <v>121</v>
      </c>
      <c r="AE26">
        <v>0.61280000000000001</v>
      </c>
      <c r="AQ26">
        <v>0.1149</v>
      </c>
      <c r="AR26">
        <v>0.34470000000000001</v>
      </c>
      <c r="BI26">
        <v>0.30640000000000001</v>
      </c>
      <c r="BK26">
        <f>0</f>
        <v>0</v>
      </c>
      <c r="BL26">
        <f t="shared" si="0"/>
        <v>1.3788</v>
      </c>
      <c r="BM26">
        <f t="shared" si="1"/>
        <v>0</v>
      </c>
      <c r="BN26">
        <f t="shared" si="2"/>
        <v>0</v>
      </c>
      <c r="BO26">
        <f t="shared" si="3"/>
        <v>1</v>
      </c>
      <c r="BP26" s="37">
        <f>IF($F26="","",IFERROR(INDEX(Familias!$C$5:$C$300,MATCH($F26,Familias!$A$5:$A$300,0)),""))</f>
        <v>2450</v>
      </c>
      <c r="BQ26" s="37">
        <f t="shared" si="4"/>
        <v>9080</v>
      </c>
      <c r="BR26" s="36">
        <f t="shared" si="5"/>
        <v>5.5156000000000001</v>
      </c>
      <c r="BS26" s="36">
        <f t="shared" si="6"/>
        <v>1.3788</v>
      </c>
      <c r="BT26" s="36">
        <f t="shared" si="7"/>
        <v>4.1368</v>
      </c>
      <c r="BU26" s="36">
        <f t="shared" si="8"/>
        <v>3.7061000000000002</v>
      </c>
      <c r="BV26" s="39">
        <f t="shared" si="9"/>
        <v>0.89588570876039453</v>
      </c>
      <c r="BW26" s="39">
        <f t="shared" si="10"/>
        <v>0.99944933920704848</v>
      </c>
      <c r="BX26" s="40">
        <f t="shared" si="11"/>
        <v>5.9036480089111665E-2</v>
      </c>
      <c r="BY26" s="40">
        <f t="shared" si="12"/>
        <v>9.7465886939571145E-3</v>
      </c>
      <c r="BZ26" t="str">
        <f t="shared" si="13"/>
        <v>OK</v>
      </c>
      <c r="CA26">
        <f t="shared" si="14"/>
        <v>1</v>
      </c>
    </row>
    <row r="27" spans="1:80" x14ac:dyDescent="0.25">
      <c r="A27" s="35">
        <v>45800</v>
      </c>
      <c r="B27" s="36">
        <v>12</v>
      </c>
      <c r="C27" t="s">
        <v>113</v>
      </c>
      <c r="D27" t="s">
        <v>6</v>
      </c>
      <c r="E27" t="s">
        <v>126</v>
      </c>
      <c r="F27" t="s">
        <v>127</v>
      </c>
      <c r="G27">
        <v>24483</v>
      </c>
      <c r="H27">
        <v>2140110674</v>
      </c>
      <c r="I27" t="s">
        <v>130</v>
      </c>
      <c r="J27" s="37">
        <v>14975</v>
      </c>
      <c r="K27" s="37">
        <v>70</v>
      </c>
      <c r="M27">
        <v>5947</v>
      </c>
      <c r="N27">
        <v>139.4235194999971</v>
      </c>
      <c r="O27">
        <v>250</v>
      </c>
      <c r="P27">
        <v>72</v>
      </c>
      <c r="Q27">
        <v>279</v>
      </c>
      <c r="T27">
        <v>9</v>
      </c>
      <c r="V27" t="s">
        <v>120</v>
      </c>
      <c r="Y27" s="38">
        <v>0.29166666666666669</v>
      </c>
      <c r="Z27" s="38">
        <v>0.79166666666666663</v>
      </c>
      <c r="AA27" t="s">
        <v>117</v>
      </c>
      <c r="AC27" t="s">
        <v>118</v>
      </c>
      <c r="AN27">
        <v>3</v>
      </c>
      <c r="BI27">
        <v>0.5</v>
      </c>
      <c r="BK27">
        <f>0</f>
        <v>0</v>
      </c>
      <c r="BL27">
        <f t="shared" si="0"/>
        <v>3.5</v>
      </c>
      <c r="BM27">
        <f t="shared" si="1"/>
        <v>0</v>
      </c>
      <c r="BN27">
        <f t="shared" si="2"/>
        <v>0</v>
      </c>
      <c r="BO27">
        <f t="shared" si="3"/>
        <v>1</v>
      </c>
      <c r="BP27" s="37">
        <f>IF($F27="","",IFERROR(INDEX(Familias!$C$5:$C$300,MATCH($F27,Familias!$A$5:$A$300,0)),""))</f>
        <v>2450</v>
      </c>
      <c r="BQ27" s="37">
        <f t="shared" si="4"/>
        <v>15045</v>
      </c>
      <c r="BR27" s="36">
        <f t="shared" si="5"/>
        <v>12</v>
      </c>
      <c r="BS27" s="36">
        <f t="shared" si="6"/>
        <v>3.5</v>
      </c>
      <c r="BT27" s="36">
        <f t="shared" si="7"/>
        <v>8.5</v>
      </c>
      <c r="BU27" s="36">
        <f t="shared" si="8"/>
        <v>6.1407999999999996</v>
      </c>
      <c r="BV27" s="39">
        <f t="shared" si="9"/>
        <v>0.72244705882352933</v>
      </c>
      <c r="BW27" s="39">
        <f t="shared" si="10"/>
        <v>0.99534729145895651</v>
      </c>
      <c r="BX27" s="40">
        <f t="shared" si="11"/>
        <v>5.4144947032117037E-2</v>
      </c>
      <c r="BY27" s="40">
        <f t="shared" si="12"/>
        <v>4.6914410627206998E-2</v>
      </c>
      <c r="BZ27" t="str">
        <f t="shared" si="13"/>
        <v>OK</v>
      </c>
      <c r="CA27">
        <f t="shared" si="14"/>
        <v>1</v>
      </c>
    </row>
    <row r="28" spans="1:80" x14ac:dyDescent="0.25">
      <c r="A28" s="35">
        <v>45800</v>
      </c>
      <c r="B28" s="36">
        <v>5.4885000000000002</v>
      </c>
      <c r="C28" t="s">
        <v>119</v>
      </c>
      <c r="D28" t="s">
        <v>6</v>
      </c>
      <c r="E28" t="s">
        <v>126</v>
      </c>
      <c r="F28" t="s">
        <v>127</v>
      </c>
      <c r="G28">
        <v>24483</v>
      </c>
      <c r="H28">
        <v>2140110674</v>
      </c>
      <c r="I28" t="s">
        <v>130</v>
      </c>
      <c r="J28" s="37">
        <v>6950</v>
      </c>
      <c r="K28" s="37">
        <v>25</v>
      </c>
      <c r="M28">
        <v>2558</v>
      </c>
      <c r="N28">
        <v>64.638022499998655</v>
      </c>
      <c r="O28">
        <v>28</v>
      </c>
      <c r="P28">
        <v>25</v>
      </c>
      <c r="Q28">
        <v>24</v>
      </c>
      <c r="T28">
        <v>4</v>
      </c>
      <c r="V28" t="s">
        <v>116</v>
      </c>
      <c r="Y28" s="38">
        <v>0.79166666666666663</v>
      </c>
      <c r="Z28" s="38">
        <v>2.013888888888889E-2</v>
      </c>
      <c r="AA28" t="s">
        <v>117</v>
      </c>
      <c r="AC28" t="s">
        <v>121</v>
      </c>
      <c r="AE28">
        <v>0.3049</v>
      </c>
      <c r="AO28">
        <v>0.22869999999999999</v>
      </c>
      <c r="AQ28">
        <v>0.1143</v>
      </c>
      <c r="AR28">
        <v>0.34300000000000003</v>
      </c>
      <c r="BJ28">
        <v>1.2578</v>
      </c>
      <c r="BK28">
        <f>0</f>
        <v>0</v>
      </c>
      <c r="BL28">
        <f t="shared" si="0"/>
        <v>2.2486999999999999</v>
      </c>
      <c r="BM28">
        <f t="shared" si="1"/>
        <v>0</v>
      </c>
      <c r="BN28">
        <f t="shared" si="2"/>
        <v>0</v>
      </c>
      <c r="BO28">
        <f t="shared" si="3"/>
        <v>1</v>
      </c>
      <c r="BP28" s="37">
        <f>IF($F28="","",IFERROR(INDEX(Familias!$C$5:$C$300,MATCH($F28,Familias!$A$5:$A$300,0)),""))</f>
        <v>2450</v>
      </c>
      <c r="BQ28" s="37">
        <f t="shared" si="4"/>
        <v>6975</v>
      </c>
      <c r="BR28" s="36">
        <f t="shared" si="5"/>
        <v>5.4885000000000002</v>
      </c>
      <c r="BS28" s="36">
        <f t="shared" si="6"/>
        <v>2.2486999999999999</v>
      </c>
      <c r="BT28" s="36">
        <f t="shared" si="7"/>
        <v>3.2397999999999998</v>
      </c>
      <c r="BU28" s="36">
        <f t="shared" si="8"/>
        <v>2.8469000000000002</v>
      </c>
      <c r="BV28" s="39">
        <f t="shared" si="9"/>
        <v>0.87872708191863702</v>
      </c>
      <c r="BW28" s="39">
        <f t="shared" si="10"/>
        <v>0.99641577060931896</v>
      </c>
      <c r="BX28" s="40">
        <f t="shared" si="11"/>
        <v>2.071931196247068E-2</v>
      </c>
      <c r="BY28" s="40">
        <f t="shared" si="12"/>
        <v>9.3823299452697427E-3</v>
      </c>
      <c r="BZ28" t="str">
        <f t="shared" si="13"/>
        <v>OK</v>
      </c>
      <c r="CA28">
        <f t="shared" si="14"/>
        <v>1</v>
      </c>
    </row>
    <row r="29" spans="1:80" x14ac:dyDescent="0.25">
      <c r="A29" s="35">
        <v>45800</v>
      </c>
      <c r="B29" s="36">
        <v>6.5114999999999998</v>
      </c>
      <c r="C29" t="s">
        <v>119</v>
      </c>
      <c r="D29" t="s">
        <v>6</v>
      </c>
      <c r="E29" t="s">
        <v>126</v>
      </c>
      <c r="F29" t="s">
        <v>127</v>
      </c>
      <c r="G29">
        <v>24483</v>
      </c>
      <c r="H29">
        <v>2140110675</v>
      </c>
      <c r="I29" t="s">
        <v>131</v>
      </c>
      <c r="J29" s="37">
        <v>8250</v>
      </c>
      <c r="K29" s="37">
        <v>25</v>
      </c>
      <c r="M29">
        <v>3112</v>
      </c>
      <c r="N29">
        <v>76.685252499998413</v>
      </c>
      <c r="O29">
        <v>40</v>
      </c>
      <c r="P29">
        <v>32</v>
      </c>
      <c r="R29">
        <v>60</v>
      </c>
      <c r="T29">
        <v>4</v>
      </c>
      <c r="V29" t="s">
        <v>116</v>
      </c>
      <c r="Y29" s="38">
        <v>2.013888888888889E-2</v>
      </c>
      <c r="Z29" s="38">
        <v>0.29166666666666669</v>
      </c>
      <c r="AA29" t="s">
        <v>117</v>
      </c>
      <c r="AC29" t="s">
        <v>121</v>
      </c>
      <c r="AE29">
        <v>0.36170000000000002</v>
      </c>
      <c r="AO29">
        <v>0.27129999999999999</v>
      </c>
      <c r="AQ29">
        <v>0.13569999999999999</v>
      </c>
      <c r="AR29">
        <v>0.40699999999999997</v>
      </c>
      <c r="BJ29">
        <v>1.4922</v>
      </c>
      <c r="BK29">
        <f>0</f>
        <v>0</v>
      </c>
      <c r="BL29">
        <f t="shared" si="0"/>
        <v>2.6678999999999999</v>
      </c>
      <c r="BM29">
        <f t="shared" si="1"/>
        <v>0</v>
      </c>
      <c r="BN29">
        <f t="shared" si="2"/>
        <v>0</v>
      </c>
      <c r="BO29">
        <f t="shared" si="3"/>
        <v>1</v>
      </c>
      <c r="BP29" s="37">
        <f>IF($F29="","",IFERROR(INDEX(Familias!$C$5:$C$300,MATCH($F29,Familias!$A$5:$A$300,0)),""))</f>
        <v>2450</v>
      </c>
      <c r="BQ29" s="37">
        <f t="shared" si="4"/>
        <v>8275</v>
      </c>
      <c r="BR29" s="36">
        <f t="shared" si="5"/>
        <v>6.5114999999999998</v>
      </c>
      <c r="BS29" s="36">
        <f t="shared" si="6"/>
        <v>2.6678999999999999</v>
      </c>
      <c r="BT29" s="36">
        <f t="shared" si="7"/>
        <v>3.8435999999999999</v>
      </c>
      <c r="BU29" s="36">
        <f t="shared" si="8"/>
        <v>3.3776000000000002</v>
      </c>
      <c r="BV29" s="39">
        <f t="shared" si="9"/>
        <v>0.87875949630554695</v>
      </c>
      <c r="BW29" s="39">
        <f t="shared" si="10"/>
        <v>0.99697885196374625</v>
      </c>
      <c r="BX29" s="40">
        <f t="shared" si="11"/>
        <v>4.2416452442159386E-2</v>
      </c>
      <c r="BY29" s="40">
        <f t="shared" si="12"/>
        <v>0</v>
      </c>
      <c r="BZ29" t="str">
        <f t="shared" si="13"/>
        <v>OK</v>
      </c>
      <c r="CA29">
        <f t="shared" si="14"/>
        <v>1</v>
      </c>
    </row>
    <row r="30" spans="1:80" x14ac:dyDescent="0.25">
      <c r="A30" s="35">
        <v>45801</v>
      </c>
      <c r="B30" s="36">
        <v>12</v>
      </c>
      <c r="C30" t="s">
        <v>113</v>
      </c>
      <c r="D30" t="s">
        <v>6</v>
      </c>
      <c r="E30" t="s">
        <v>126</v>
      </c>
      <c r="F30" t="s">
        <v>127</v>
      </c>
      <c r="G30">
        <v>24483</v>
      </c>
      <c r="H30">
        <v>2140110675</v>
      </c>
      <c r="I30" t="s">
        <v>131</v>
      </c>
      <c r="J30" s="37">
        <v>21775</v>
      </c>
      <c r="K30" s="37">
        <v>20</v>
      </c>
      <c r="M30">
        <v>8219</v>
      </c>
      <c r="N30">
        <v>201.97644449999581</v>
      </c>
      <c r="O30">
        <v>140</v>
      </c>
      <c r="P30">
        <v>98</v>
      </c>
      <c r="Q30">
        <v>100</v>
      </c>
      <c r="T30">
        <v>12</v>
      </c>
      <c r="V30" t="s">
        <v>120</v>
      </c>
      <c r="Y30" s="38">
        <v>0.29166666666666669</v>
      </c>
      <c r="Z30" s="38">
        <v>0.79166666666666663</v>
      </c>
      <c r="AA30" t="s">
        <v>117</v>
      </c>
      <c r="AC30" t="s">
        <v>118</v>
      </c>
      <c r="AG30">
        <v>1</v>
      </c>
      <c r="AR30">
        <v>0.75</v>
      </c>
      <c r="BI30">
        <v>0.25</v>
      </c>
      <c r="BK30">
        <f>0</f>
        <v>0</v>
      </c>
      <c r="BL30">
        <f t="shared" si="0"/>
        <v>2</v>
      </c>
      <c r="BM30">
        <f t="shared" si="1"/>
        <v>0</v>
      </c>
      <c r="BN30">
        <f t="shared" si="2"/>
        <v>0</v>
      </c>
      <c r="BO30">
        <f t="shared" si="3"/>
        <v>1</v>
      </c>
      <c r="BP30" s="37">
        <f>IF($F30="","",IFERROR(INDEX(Familias!$C$5:$C$300,MATCH($F30,Familias!$A$5:$A$300,0)),""))</f>
        <v>2450</v>
      </c>
      <c r="BQ30" s="37">
        <f t="shared" si="4"/>
        <v>21795</v>
      </c>
      <c r="BR30" s="36">
        <f t="shared" si="5"/>
        <v>12</v>
      </c>
      <c r="BS30" s="36">
        <f t="shared" si="6"/>
        <v>2</v>
      </c>
      <c r="BT30" s="36">
        <f t="shared" si="7"/>
        <v>10</v>
      </c>
      <c r="BU30" s="36">
        <f t="shared" si="8"/>
        <v>8.8958999999999993</v>
      </c>
      <c r="BV30" s="39">
        <f t="shared" si="9"/>
        <v>0.88958999999999988</v>
      </c>
      <c r="BW30" s="39">
        <f t="shared" si="10"/>
        <v>0.99908235833906855</v>
      </c>
      <c r="BX30" s="40">
        <f t="shared" si="11"/>
        <v>2.8957294074704952E-2</v>
      </c>
      <c r="BY30" s="40">
        <f t="shared" si="12"/>
        <v>1.2166930283489476E-2</v>
      </c>
      <c r="BZ30" t="str">
        <f t="shared" si="13"/>
        <v>OK</v>
      </c>
      <c r="CA30">
        <f t="shared" si="14"/>
        <v>1</v>
      </c>
    </row>
    <row r="31" spans="1:80" x14ac:dyDescent="0.25">
      <c r="A31" s="35">
        <v>45801</v>
      </c>
      <c r="B31" s="36">
        <v>12</v>
      </c>
      <c r="C31" t="s">
        <v>119</v>
      </c>
      <c r="D31" t="s">
        <v>6</v>
      </c>
      <c r="E31" t="s">
        <v>126</v>
      </c>
      <c r="F31" t="s">
        <v>127</v>
      </c>
      <c r="G31">
        <v>24483</v>
      </c>
      <c r="H31">
        <v>2140110676</v>
      </c>
      <c r="I31" t="s">
        <v>132</v>
      </c>
      <c r="J31" s="37">
        <v>13425</v>
      </c>
      <c r="K31" s="37">
        <v>32</v>
      </c>
      <c r="M31">
        <v>4649</v>
      </c>
      <c r="N31">
        <v>124.7073646999974</v>
      </c>
      <c r="T31">
        <v>7</v>
      </c>
      <c r="V31" t="s">
        <v>116</v>
      </c>
      <c r="Y31" s="38">
        <v>0.79166666666666663</v>
      </c>
      <c r="Z31" s="38">
        <v>0.29166666666666669</v>
      </c>
      <c r="AA31" t="s">
        <v>117</v>
      </c>
      <c r="AC31" t="s">
        <v>118</v>
      </c>
      <c r="AE31">
        <v>1</v>
      </c>
      <c r="AF31">
        <v>0.75</v>
      </c>
      <c r="AR31">
        <v>0.75</v>
      </c>
      <c r="BC31">
        <v>2</v>
      </c>
      <c r="BK31">
        <f>0</f>
        <v>0</v>
      </c>
      <c r="BL31">
        <f t="shared" si="0"/>
        <v>4.5</v>
      </c>
      <c r="BM31">
        <f t="shared" si="1"/>
        <v>0</v>
      </c>
      <c r="BN31">
        <f t="shared" si="2"/>
        <v>0</v>
      </c>
      <c r="BO31">
        <f t="shared" si="3"/>
        <v>1</v>
      </c>
      <c r="BP31" s="37">
        <f>IF($F31="","",IFERROR(INDEX(Familias!$C$5:$C$300,MATCH($F31,Familias!$A$5:$A$300,0)),""))</f>
        <v>2450</v>
      </c>
      <c r="BQ31" s="37">
        <f t="shared" si="4"/>
        <v>13457</v>
      </c>
      <c r="BR31" s="36">
        <f t="shared" si="5"/>
        <v>12</v>
      </c>
      <c r="BS31" s="36">
        <f t="shared" si="6"/>
        <v>4.5</v>
      </c>
      <c r="BT31" s="36">
        <f t="shared" si="7"/>
        <v>7.5</v>
      </c>
      <c r="BU31" s="36">
        <f t="shared" si="8"/>
        <v>5.4927000000000001</v>
      </c>
      <c r="BV31" s="39">
        <f t="shared" si="9"/>
        <v>0.73236000000000001</v>
      </c>
      <c r="BW31" s="39">
        <f t="shared" si="10"/>
        <v>0.9976220554358326</v>
      </c>
      <c r="BX31" s="40">
        <f t="shared" si="11"/>
        <v>0</v>
      </c>
      <c r="BY31" s="40">
        <f t="shared" si="12"/>
        <v>0</v>
      </c>
      <c r="BZ31" t="str">
        <f t="shared" si="13"/>
        <v>OK</v>
      </c>
      <c r="CA31">
        <f t="shared" si="14"/>
        <v>1</v>
      </c>
    </row>
    <row r="32" spans="1:80" x14ac:dyDescent="0.25">
      <c r="A32" s="35">
        <v>45803</v>
      </c>
      <c r="B32" s="36">
        <v>12</v>
      </c>
      <c r="C32" t="s">
        <v>113</v>
      </c>
      <c r="D32" t="s">
        <v>6</v>
      </c>
      <c r="E32" t="s">
        <v>126</v>
      </c>
      <c r="F32" t="s">
        <v>127</v>
      </c>
      <c r="G32">
        <v>24483</v>
      </c>
      <c r="H32">
        <v>2140110676</v>
      </c>
      <c r="I32" t="s">
        <v>132</v>
      </c>
      <c r="J32" s="37">
        <v>16650</v>
      </c>
      <c r="K32" s="37">
        <v>21</v>
      </c>
      <c r="M32">
        <v>6327</v>
      </c>
      <c r="N32">
        <v>154.49182409999679</v>
      </c>
      <c r="O32">
        <v>181</v>
      </c>
      <c r="P32">
        <v>64</v>
      </c>
      <c r="Q32">
        <v>20</v>
      </c>
      <c r="T32">
        <v>9</v>
      </c>
      <c r="V32" t="s">
        <v>116</v>
      </c>
      <c r="Y32" s="38">
        <v>0.29166666666666669</v>
      </c>
      <c r="Z32" s="38">
        <v>0.79166666666666663</v>
      </c>
      <c r="AA32" t="s">
        <v>117</v>
      </c>
      <c r="AC32" t="s">
        <v>118</v>
      </c>
      <c r="AD32">
        <v>1</v>
      </c>
      <c r="AQ32">
        <v>0.25</v>
      </c>
      <c r="AR32">
        <v>0.75</v>
      </c>
      <c r="BK32">
        <f>0</f>
        <v>0</v>
      </c>
      <c r="BL32">
        <f t="shared" si="0"/>
        <v>2</v>
      </c>
      <c r="BM32">
        <f t="shared" si="1"/>
        <v>0</v>
      </c>
      <c r="BN32">
        <f t="shared" si="2"/>
        <v>0</v>
      </c>
      <c r="BO32">
        <f t="shared" si="3"/>
        <v>1</v>
      </c>
      <c r="BP32" s="37">
        <f>IF($F32="","",IFERROR(INDEX(Familias!$C$5:$C$300,MATCH($F32,Familias!$A$5:$A$300,0)),""))</f>
        <v>2450</v>
      </c>
      <c r="BQ32" s="37">
        <f t="shared" si="4"/>
        <v>16671</v>
      </c>
      <c r="BR32" s="36">
        <f t="shared" si="5"/>
        <v>12</v>
      </c>
      <c r="BS32" s="36">
        <f t="shared" si="6"/>
        <v>2</v>
      </c>
      <c r="BT32" s="36">
        <f t="shared" si="7"/>
        <v>10</v>
      </c>
      <c r="BU32" s="36">
        <f t="shared" si="8"/>
        <v>6.8045</v>
      </c>
      <c r="BV32" s="39">
        <f t="shared" si="9"/>
        <v>0.68045</v>
      </c>
      <c r="BW32" s="39">
        <f t="shared" si="10"/>
        <v>0.99874032751484609</v>
      </c>
      <c r="BX32" s="40">
        <f t="shared" si="11"/>
        <v>3.8722933459775566E-2</v>
      </c>
      <c r="BY32" s="40">
        <f t="shared" si="12"/>
        <v>3.1610557926347398E-3</v>
      </c>
      <c r="BZ32" t="str">
        <f t="shared" si="13"/>
        <v>OK</v>
      </c>
      <c r="CA32">
        <f t="shared" si="14"/>
        <v>1</v>
      </c>
    </row>
    <row r="33" spans="1:80" x14ac:dyDescent="0.25">
      <c r="A33" s="35">
        <v>45803</v>
      </c>
      <c r="B33" s="36">
        <v>12</v>
      </c>
      <c r="C33" t="s">
        <v>119</v>
      </c>
      <c r="D33" t="s">
        <v>6</v>
      </c>
      <c r="E33" t="s">
        <v>126</v>
      </c>
      <c r="F33" t="s">
        <v>127</v>
      </c>
      <c r="G33">
        <v>24483</v>
      </c>
      <c r="H33">
        <v>2140110610</v>
      </c>
      <c r="I33" t="s">
        <v>128</v>
      </c>
      <c r="J33" s="37">
        <v>18925</v>
      </c>
      <c r="K33" s="37">
        <v>20</v>
      </c>
      <c r="M33">
        <v>7342</v>
      </c>
      <c r="N33">
        <v>175.5652094999964</v>
      </c>
      <c r="O33">
        <v>140</v>
      </c>
      <c r="P33">
        <v>88</v>
      </c>
      <c r="Q33">
        <v>103</v>
      </c>
      <c r="R33">
        <v>150</v>
      </c>
      <c r="T33">
        <v>11</v>
      </c>
      <c r="V33" t="s">
        <v>120</v>
      </c>
      <c r="Y33" s="38">
        <v>0.79166666666666663</v>
      </c>
      <c r="Z33" s="38">
        <v>0.29166666666666669</v>
      </c>
      <c r="AA33" t="s">
        <v>117</v>
      </c>
      <c r="AC33" t="s">
        <v>118</v>
      </c>
      <c r="AF33">
        <v>0.5</v>
      </c>
      <c r="AG33">
        <v>1</v>
      </c>
      <c r="AM33">
        <v>0.25</v>
      </c>
      <c r="AO33">
        <v>0.5</v>
      </c>
      <c r="AQ33">
        <v>0.16669999999999999</v>
      </c>
      <c r="AR33">
        <v>0.75</v>
      </c>
      <c r="BK33">
        <f>0</f>
        <v>0</v>
      </c>
      <c r="BL33">
        <f t="shared" si="0"/>
        <v>3.1667000000000001</v>
      </c>
      <c r="BM33">
        <f t="shared" si="1"/>
        <v>0</v>
      </c>
      <c r="BN33">
        <f t="shared" si="2"/>
        <v>0</v>
      </c>
      <c r="BO33">
        <f t="shared" si="3"/>
        <v>1</v>
      </c>
      <c r="BP33" s="37">
        <f>IF($F33="","",IFERROR(INDEX(Familias!$C$5:$C$300,MATCH($F33,Familias!$A$5:$A$300,0)),""))</f>
        <v>2450</v>
      </c>
      <c r="BQ33" s="37">
        <f t="shared" si="4"/>
        <v>18945</v>
      </c>
      <c r="BR33" s="36">
        <f t="shared" si="5"/>
        <v>12</v>
      </c>
      <c r="BS33" s="36">
        <f t="shared" si="6"/>
        <v>3.1667000000000001</v>
      </c>
      <c r="BT33" s="36">
        <f t="shared" si="7"/>
        <v>8.8332999999999995</v>
      </c>
      <c r="BU33" s="36">
        <f t="shared" si="8"/>
        <v>7.7327000000000004</v>
      </c>
      <c r="BV33" s="39">
        <f t="shared" si="9"/>
        <v>0.87540330340869221</v>
      </c>
      <c r="BW33" s="39">
        <f t="shared" si="10"/>
        <v>0.9989443124835049</v>
      </c>
      <c r="BX33" s="40">
        <f t="shared" si="11"/>
        <v>5.1484609098338324E-2</v>
      </c>
      <c r="BY33" s="40">
        <f t="shared" si="12"/>
        <v>1.4028874965949333E-2</v>
      </c>
      <c r="BZ33" t="str">
        <f t="shared" si="13"/>
        <v>OK</v>
      </c>
      <c r="CA33">
        <f t="shared" si="14"/>
        <v>1</v>
      </c>
    </row>
    <row r="34" spans="1:80" x14ac:dyDescent="0.25">
      <c r="A34" s="35">
        <v>45804</v>
      </c>
      <c r="B34" s="36">
        <v>12</v>
      </c>
      <c r="C34" t="s">
        <v>113</v>
      </c>
      <c r="D34" t="s">
        <v>6</v>
      </c>
      <c r="E34" t="s">
        <v>126</v>
      </c>
      <c r="F34" t="s">
        <v>127</v>
      </c>
      <c r="G34">
        <v>24483</v>
      </c>
      <c r="H34">
        <v>2140110610</v>
      </c>
      <c r="I34" t="s">
        <v>128</v>
      </c>
      <c r="J34" s="37">
        <v>14425</v>
      </c>
      <c r="K34" s="37">
        <v>72</v>
      </c>
      <c r="M34">
        <v>5691</v>
      </c>
      <c r="N34">
        <v>134.3451486999972</v>
      </c>
      <c r="O34">
        <v>380</v>
      </c>
      <c r="P34">
        <v>54</v>
      </c>
      <c r="Q34">
        <v>20</v>
      </c>
      <c r="T34">
        <v>8</v>
      </c>
      <c r="V34" t="s">
        <v>116</v>
      </c>
      <c r="Y34" s="38">
        <v>0.29166666666666669</v>
      </c>
      <c r="Z34" s="38">
        <v>0.79166666666666663</v>
      </c>
      <c r="AA34" t="s">
        <v>117</v>
      </c>
      <c r="AC34" t="s">
        <v>118</v>
      </c>
      <c r="AO34">
        <v>1.3332999999999999</v>
      </c>
      <c r="AQ34">
        <v>0.25</v>
      </c>
      <c r="AR34">
        <v>0.75</v>
      </c>
      <c r="BI34">
        <v>0.5</v>
      </c>
      <c r="BK34">
        <f>0</f>
        <v>0</v>
      </c>
      <c r="BL34">
        <f t="shared" si="0"/>
        <v>2.8332999999999999</v>
      </c>
      <c r="BM34">
        <f t="shared" si="1"/>
        <v>0</v>
      </c>
      <c r="BN34">
        <f t="shared" si="2"/>
        <v>0</v>
      </c>
      <c r="BO34">
        <f t="shared" si="3"/>
        <v>1</v>
      </c>
      <c r="BP34" s="37">
        <f>IF($F34="","",IFERROR(INDEX(Familias!$C$5:$C$300,MATCH($F34,Familias!$A$5:$A$300,0)),""))</f>
        <v>2450</v>
      </c>
      <c r="BQ34" s="37">
        <f t="shared" si="4"/>
        <v>14497</v>
      </c>
      <c r="BR34" s="36">
        <f t="shared" si="5"/>
        <v>12</v>
      </c>
      <c r="BS34" s="36">
        <f t="shared" si="6"/>
        <v>2.8332999999999999</v>
      </c>
      <c r="BT34" s="36">
        <f t="shared" si="7"/>
        <v>9.1667000000000005</v>
      </c>
      <c r="BU34" s="36">
        <f t="shared" si="8"/>
        <v>5.9170999999999996</v>
      </c>
      <c r="BV34" s="39">
        <f t="shared" si="9"/>
        <v>0.64549947091101478</v>
      </c>
      <c r="BW34" s="39">
        <f t="shared" si="10"/>
        <v>0.99503345519762709</v>
      </c>
      <c r="BX34" s="40">
        <f t="shared" si="11"/>
        <v>7.626076260762607E-2</v>
      </c>
      <c r="BY34" s="40">
        <f t="shared" si="12"/>
        <v>3.5143208574942891E-3</v>
      </c>
      <c r="BZ34" t="str">
        <f t="shared" si="13"/>
        <v>OK</v>
      </c>
      <c r="CA34">
        <f t="shared" si="14"/>
        <v>1</v>
      </c>
    </row>
    <row r="35" spans="1:80" x14ac:dyDescent="0.25">
      <c r="A35" s="35">
        <v>45804</v>
      </c>
      <c r="B35" s="36">
        <v>12</v>
      </c>
      <c r="C35" t="s">
        <v>119</v>
      </c>
      <c r="D35" t="s">
        <v>6</v>
      </c>
      <c r="E35" t="s">
        <v>126</v>
      </c>
      <c r="F35" t="s">
        <v>127</v>
      </c>
      <c r="G35">
        <v>24483</v>
      </c>
      <c r="H35">
        <v>2140110610</v>
      </c>
      <c r="I35" t="s">
        <v>128</v>
      </c>
      <c r="J35" s="37">
        <v>23900</v>
      </c>
      <c r="K35" s="37">
        <v>45</v>
      </c>
      <c r="M35">
        <v>8933</v>
      </c>
      <c r="N35">
        <v>221.9007094999954</v>
      </c>
      <c r="O35">
        <v>180</v>
      </c>
      <c r="P35">
        <v>104</v>
      </c>
      <c r="Q35">
        <v>29</v>
      </c>
      <c r="T35">
        <v>13</v>
      </c>
      <c r="V35" t="s">
        <v>120</v>
      </c>
      <c r="Y35" s="38">
        <v>0.79166666666666663</v>
      </c>
      <c r="Z35" s="38">
        <v>0.29166666666666669</v>
      </c>
      <c r="AA35" t="s">
        <v>117</v>
      </c>
      <c r="AC35" t="s">
        <v>118</v>
      </c>
      <c r="AQ35">
        <v>0.16669999999999999</v>
      </c>
      <c r="AR35">
        <v>0.75</v>
      </c>
      <c r="BI35">
        <v>0.5</v>
      </c>
      <c r="BK35">
        <f>0</f>
        <v>0</v>
      </c>
      <c r="BL35">
        <f t="shared" si="0"/>
        <v>1.4167000000000001</v>
      </c>
      <c r="BM35">
        <f t="shared" si="1"/>
        <v>0</v>
      </c>
      <c r="BN35">
        <f t="shared" si="2"/>
        <v>0</v>
      </c>
      <c r="BO35">
        <f t="shared" si="3"/>
        <v>1</v>
      </c>
      <c r="BP35" s="37">
        <f>IF($F35="","",IFERROR(INDEX(Familias!$C$5:$C$300,MATCH($F35,Familias!$A$5:$A$300,0)),""))</f>
        <v>2450</v>
      </c>
      <c r="BQ35" s="37">
        <f t="shared" si="4"/>
        <v>23945</v>
      </c>
      <c r="BR35" s="36">
        <f t="shared" si="5"/>
        <v>12</v>
      </c>
      <c r="BS35" s="36">
        <f t="shared" si="6"/>
        <v>1.4167000000000001</v>
      </c>
      <c r="BT35" s="36">
        <f t="shared" si="7"/>
        <v>10.583299999999999</v>
      </c>
      <c r="BU35" s="36">
        <f t="shared" si="8"/>
        <v>9.7735000000000003</v>
      </c>
      <c r="BV35" s="39">
        <f t="shared" si="9"/>
        <v>0.9234832235692082</v>
      </c>
      <c r="BW35" s="39">
        <f t="shared" si="10"/>
        <v>0.99812069325537689</v>
      </c>
      <c r="BX35" s="40">
        <f t="shared" si="11"/>
        <v>3.1792231053397513E-2</v>
      </c>
      <c r="BY35" s="40">
        <f t="shared" si="12"/>
        <v>3.2463897906638305E-3</v>
      </c>
      <c r="BZ35" t="str">
        <f t="shared" si="13"/>
        <v>OK</v>
      </c>
      <c r="CA35">
        <f t="shared" si="14"/>
        <v>1</v>
      </c>
    </row>
    <row r="36" spans="1:80" x14ac:dyDescent="0.25">
      <c r="A36" s="35">
        <v>45805</v>
      </c>
      <c r="B36" s="36">
        <v>12</v>
      </c>
      <c r="C36" t="s">
        <v>113</v>
      </c>
      <c r="D36" t="s">
        <v>6</v>
      </c>
      <c r="E36" t="s">
        <v>126</v>
      </c>
      <c r="F36" t="s">
        <v>127</v>
      </c>
      <c r="G36">
        <v>24483</v>
      </c>
      <c r="H36">
        <v>2140110610</v>
      </c>
      <c r="I36" t="s">
        <v>128</v>
      </c>
      <c r="J36" s="37">
        <v>26600</v>
      </c>
      <c r="K36" s="37">
        <v>24</v>
      </c>
      <c r="M36">
        <v>9828</v>
      </c>
      <c r="N36">
        <v>246.72727039999489</v>
      </c>
      <c r="O36">
        <v>125</v>
      </c>
      <c r="P36">
        <v>96</v>
      </c>
      <c r="Q36">
        <v>107</v>
      </c>
      <c r="T36">
        <v>14</v>
      </c>
      <c r="V36" t="s">
        <v>116</v>
      </c>
      <c r="Y36" s="38">
        <v>0.29166666666666669</v>
      </c>
      <c r="Z36" s="38">
        <v>0.79166666666666663</v>
      </c>
      <c r="AA36" t="s">
        <v>117</v>
      </c>
      <c r="AC36" t="s">
        <v>118</v>
      </c>
      <c r="AQ36">
        <v>0.25</v>
      </c>
      <c r="BI36">
        <v>0.5</v>
      </c>
      <c r="BK36">
        <f>0</f>
        <v>0</v>
      </c>
      <c r="BL36">
        <f t="shared" si="0"/>
        <v>0.75</v>
      </c>
      <c r="BM36">
        <f t="shared" si="1"/>
        <v>0</v>
      </c>
      <c r="BN36">
        <f t="shared" si="2"/>
        <v>0</v>
      </c>
      <c r="BO36">
        <f t="shared" si="3"/>
        <v>1</v>
      </c>
      <c r="BP36" s="37">
        <f>IF($F36="","",IFERROR(INDEX(Familias!$C$5:$C$300,MATCH($F36,Familias!$A$5:$A$300,0)),""))</f>
        <v>2450</v>
      </c>
      <c r="BQ36" s="37">
        <f t="shared" si="4"/>
        <v>26624</v>
      </c>
      <c r="BR36" s="36">
        <f t="shared" si="5"/>
        <v>12</v>
      </c>
      <c r="BS36" s="36">
        <f t="shared" si="6"/>
        <v>0.75</v>
      </c>
      <c r="BT36" s="36">
        <f t="shared" si="7"/>
        <v>11.25</v>
      </c>
      <c r="BU36" s="36">
        <f t="shared" si="8"/>
        <v>10.866899999999999</v>
      </c>
      <c r="BV36" s="39">
        <f t="shared" si="9"/>
        <v>0.96594666666666662</v>
      </c>
      <c r="BW36" s="39">
        <f t="shared" si="10"/>
        <v>0.99909855769230771</v>
      </c>
      <c r="BX36" s="40">
        <f t="shared" si="11"/>
        <v>2.2486772486772486E-2</v>
      </c>
      <c r="BY36" s="40">
        <f t="shared" si="12"/>
        <v>1.0887260887260887E-2</v>
      </c>
      <c r="BZ36" t="str">
        <f t="shared" si="13"/>
        <v>OK</v>
      </c>
      <c r="CA36">
        <f t="shared" si="14"/>
        <v>1</v>
      </c>
    </row>
    <row r="37" spans="1:80" x14ac:dyDescent="0.25">
      <c r="A37" s="35">
        <v>45805</v>
      </c>
      <c r="B37" s="36">
        <v>12</v>
      </c>
      <c r="C37" t="s">
        <v>119</v>
      </c>
      <c r="D37" t="s">
        <v>6</v>
      </c>
      <c r="E37" t="s">
        <v>126</v>
      </c>
      <c r="F37" t="s">
        <v>127</v>
      </c>
      <c r="G37">
        <v>24483</v>
      </c>
      <c r="H37">
        <v>2140110610</v>
      </c>
      <c r="I37" t="s">
        <v>128</v>
      </c>
      <c r="J37" s="37">
        <v>24250</v>
      </c>
      <c r="K37" s="37">
        <v>16</v>
      </c>
      <c r="M37">
        <v>9145</v>
      </c>
      <c r="N37">
        <v>224.87544859999531</v>
      </c>
      <c r="O37">
        <v>227</v>
      </c>
      <c r="P37">
        <v>104</v>
      </c>
      <c r="Q37">
        <v>82</v>
      </c>
      <c r="T37">
        <v>13</v>
      </c>
      <c r="V37" t="s">
        <v>120</v>
      </c>
      <c r="Y37" s="38">
        <v>0.79166666666666663</v>
      </c>
      <c r="Z37" s="38">
        <v>0.29166666666666669</v>
      </c>
      <c r="AA37" t="s">
        <v>117</v>
      </c>
      <c r="AC37" t="s">
        <v>118</v>
      </c>
      <c r="AQ37">
        <v>0.16669999999999999</v>
      </c>
      <c r="AR37">
        <v>0.75</v>
      </c>
      <c r="BI37">
        <v>0.5</v>
      </c>
      <c r="BK37">
        <f>0</f>
        <v>0</v>
      </c>
      <c r="BL37">
        <f t="shared" si="0"/>
        <v>1.4167000000000001</v>
      </c>
      <c r="BM37">
        <f t="shared" si="1"/>
        <v>0</v>
      </c>
      <c r="BN37">
        <f t="shared" si="2"/>
        <v>0</v>
      </c>
      <c r="BO37">
        <f t="shared" si="3"/>
        <v>1</v>
      </c>
      <c r="BP37" s="37">
        <f>IF($F37="","",IFERROR(INDEX(Familias!$C$5:$C$300,MATCH($F37,Familias!$A$5:$A$300,0)),""))</f>
        <v>2450</v>
      </c>
      <c r="BQ37" s="37">
        <f t="shared" si="4"/>
        <v>24266</v>
      </c>
      <c r="BR37" s="36">
        <f t="shared" si="5"/>
        <v>12</v>
      </c>
      <c r="BS37" s="36">
        <f t="shared" si="6"/>
        <v>1.4167000000000001</v>
      </c>
      <c r="BT37" s="36">
        <f t="shared" si="7"/>
        <v>10.583299999999999</v>
      </c>
      <c r="BU37" s="36">
        <f t="shared" si="8"/>
        <v>9.9045000000000005</v>
      </c>
      <c r="BV37" s="39">
        <f t="shared" si="9"/>
        <v>0.93586121531091448</v>
      </c>
      <c r="BW37" s="39">
        <f t="shared" si="10"/>
        <v>0.99934064122640731</v>
      </c>
      <c r="BX37" s="40">
        <f t="shared" si="11"/>
        <v>3.6194641880809182E-2</v>
      </c>
      <c r="BY37" s="40">
        <f t="shared" si="12"/>
        <v>8.9666484417714604E-3</v>
      </c>
      <c r="BZ37" t="str">
        <f t="shared" si="13"/>
        <v>OK</v>
      </c>
      <c r="CA37">
        <f t="shared" si="14"/>
        <v>1</v>
      </c>
    </row>
    <row r="38" spans="1:80" x14ac:dyDescent="0.25">
      <c r="A38" s="35">
        <v>45806</v>
      </c>
      <c r="B38" s="36">
        <v>12</v>
      </c>
      <c r="C38" t="s">
        <v>113</v>
      </c>
      <c r="D38" t="s">
        <v>6</v>
      </c>
      <c r="E38" t="s">
        <v>126</v>
      </c>
      <c r="F38" t="s">
        <v>127</v>
      </c>
      <c r="G38">
        <v>24483</v>
      </c>
      <c r="H38">
        <v>2140110610</v>
      </c>
      <c r="I38" t="s">
        <v>128</v>
      </c>
      <c r="J38" s="37">
        <v>23500</v>
      </c>
      <c r="K38" s="37">
        <v>20</v>
      </c>
      <c r="M38">
        <v>8441</v>
      </c>
      <c r="N38">
        <v>217.9621919999955</v>
      </c>
      <c r="P38">
        <v>44</v>
      </c>
      <c r="T38">
        <v>11</v>
      </c>
      <c r="V38" t="s">
        <v>116</v>
      </c>
      <c r="Y38" s="38">
        <v>0.29166666666666669</v>
      </c>
      <c r="Z38" s="38">
        <v>0.79166666666666663</v>
      </c>
      <c r="AA38" t="s">
        <v>117</v>
      </c>
      <c r="AC38" t="s">
        <v>118</v>
      </c>
      <c r="AG38">
        <v>0.5</v>
      </c>
      <c r="AL38">
        <v>0.83330000000000004</v>
      </c>
      <c r="AQ38">
        <v>0.25</v>
      </c>
      <c r="BI38">
        <v>0.5</v>
      </c>
      <c r="BK38">
        <f>0</f>
        <v>0</v>
      </c>
      <c r="BL38">
        <f t="shared" si="0"/>
        <v>2.0832999999999999</v>
      </c>
      <c r="BM38">
        <f t="shared" si="1"/>
        <v>0</v>
      </c>
      <c r="BN38">
        <f t="shared" si="2"/>
        <v>0</v>
      </c>
      <c r="BO38">
        <f t="shared" si="3"/>
        <v>1</v>
      </c>
      <c r="BP38" s="37">
        <f>IF($F38="","",IFERROR(INDEX(Familias!$C$5:$C$300,MATCH($F38,Familias!$A$5:$A$300,0)),""))</f>
        <v>2450</v>
      </c>
      <c r="BQ38" s="37">
        <f t="shared" si="4"/>
        <v>23520</v>
      </c>
      <c r="BR38" s="36">
        <f t="shared" si="5"/>
        <v>12</v>
      </c>
      <c r="BS38" s="36">
        <f t="shared" si="6"/>
        <v>2.0832999999999999</v>
      </c>
      <c r="BT38" s="36">
        <f t="shared" si="7"/>
        <v>9.9167000000000005</v>
      </c>
      <c r="BU38" s="36">
        <f t="shared" si="8"/>
        <v>9.6</v>
      </c>
      <c r="BV38" s="39">
        <f t="shared" si="9"/>
        <v>0.96806397289420865</v>
      </c>
      <c r="BW38" s="39">
        <f t="shared" si="10"/>
        <v>0.99914965986394555</v>
      </c>
      <c r="BX38" s="40">
        <f t="shared" si="11"/>
        <v>5.2126525293211701E-3</v>
      </c>
      <c r="BY38" s="40">
        <f t="shared" si="12"/>
        <v>0</v>
      </c>
      <c r="BZ38" t="str">
        <f t="shared" si="13"/>
        <v>OK</v>
      </c>
      <c r="CA38">
        <f t="shared" si="14"/>
        <v>1</v>
      </c>
    </row>
    <row r="39" spans="1:80" x14ac:dyDescent="0.25">
      <c r="A39" s="35">
        <v>45806</v>
      </c>
      <c r="B39" s="36">
        <v>8.7933000000000003</v>
      </c>
      <c r="C39" t="s">
        <v>119</v>
      </c>
      <c r="D39" t="s">
        <v>6</v>
      </c>
      <c r="E39" t="s">
        <v>126</v>
      </c>
      <c r="F39" t="s">
        <v>133</v>
      </c>
      <c r="G39">
        <v>24522</v>
      </c>
      <c r="H39">
        <v>2140110677</v>
      </c>
      <c r="I39" t="s">
        <v>134</v>
      </c>
      <c r="J39" s="37">
        <v>15025</v>
      </c>
      <c r="K39" s="37">
        <v>10</v>
      </c>
      <c r="M39">
        <v>5538</v>
      </c>
      <c r="N39">
        <v>130.03771499999999</v>
      </c>
      <c r="O39">
        <v>70</v>
      </c>
      <c r="P39">
        <v>64</v>
      </c>
      <c r="Q39">
        <v>346</v>
      </c>
      <c r="T39">
        <v>8</v>
      </c>
      <c r="V39" t="s">
        <v>120</v>
      </c>
      <c r="Y39" s="38">
        <v>0.79166666666666663</v>
      </c>
      <c r="Z39" s="38">
        <v>0.1583333333333333</v>
      </c>
      <c r="AA39" t="s">
        <v>117</v>
      </c>
      <c r="AC39" t="s">
        <v>121</v>
      </c>
      <c r="AQ39">
        <v>0.1221</v>
      </c>
      <c r="AR39">
        <v>0.54959999999999998</v>
      </c>
      <c r="BI39">
        <v>0.3664</v>
      </c>
      <c r="BJ39">
        <v>0.54959999999999998</v>
      </c>
      <c r="BK39">
        <f>0</f>
        <v>0</v>
      </c>
      <c r="BL39">
        <f t="shared" si="0"/>
        <v>1.5876999999999999</v>
      </c>
      <c r="BM39">
        <f t="shared" si="1"/>
        <v>0</v>
      </c>
      <c r="BN39">
        <f t="shared" si="2"/>
        <v>0</v>
      </c>
      <c r="BO39">
        <f t="shared" si="3"/>
        <v>1</v>
      </c>
      <c r="BP39" s="37">
        <f>IF($F39="","",IFERROR(INDEX(Familias!$C$5:$C$300,MATCH($F39,Familias!$A$5:$A$300,0)),""))</f>
        <v>2320</v>
      </c>
      <c r="BQ39" s="37">
        <f t="shared" si="4"/>
        <v>15035</v>
      </c>
      <c r="BR39" s="36">
        <f t="shared" si="5"/>
        <v>8.7933000000000003</v>
      </c>
      <c r="BS39" s="36">
        <f t="shared" si="6"/>
        <v>1.5876999999999999</v>
      </c>
      <c r="BT39" s="36">
        <f t="shared" si="7"/>
        <v>7.2055999999999996</v>
      </c>
      <c r="BU39" s="36">
        <f t="shared" si="8"/>
        <v>6.4805999999999999</v>
      </c>
      <c r="BV39" s="39">
        <f t="shared" si="9"/>
        <v>0.89938381259020761</v>
      </c>
      <c r="BW39" s="39">
        <f t="shared" si="10"/>
        <v>0.99933488526770864</v>
      </c>
      <c r="BX39" s="40">
        <f t="shared" si="11"/>
        <v>2.4196460816179127E-2</v>
      </c>
      <c r="BY39" s="40">
        <f t="shared" si="12"/>
        <v>6.2477428674611771E-2</v>
      </c>
      <c r="BZ39" t="str">
        <f t="shared" si="13"/>
        <v>OK</v>
      </c>
      <c r="CA39">
        <f t="shared" si="14"/>
        <v>1</v>
      </c>
    </row>
    <row r="40" spans="1:80" x14ac:dyDescent="0.25">
      <c r="A40" s="35">
        <v>45806</v>
      </c>
      <c r="B40" s="36">
        <v>3.2067000000000001</v>
      </c>
      <c r="C40" t="s">
        <v>119</v>
      </c>
      <c r="D40" t="s">
        <v>6</v>
      </c>
      <c r="E40" t="s">
        <v>126</v>
      </c>
      <c r="F40" t="s">
        <v>133</v>
      </c>
      <c r="G40">
        <v>24522</v>
      </c>
      <c r="H40">
        <v>2140110678</v>
      </c>
      <c r="I40" t="s">
        <v>135</v>
      </c>
      <c r="J40" s="37">
        <v>5475</v>
      </c>
      <c r="K40" s="37">
        <v>8</v>
      </c>
      <c r="M40">
        <v>2280</v>
      </c>
      <c r="N40">
        <v>47.422466999999997</v>
      </c>
      <c r="O40">
        <v>247</v>
      </c>
      <c r="P40">
        <v>32</v>
      </c>
      <c r="Q40">
        <v>79</v>
      </c>
      <c r="T40">
        <v>4</v>
      </c>
      <c r="V40" t="s">
        <v>120</v>
      </c>
      <c r="Y40" s="38">
        <v>0.1583333333333333</v>
      </c>
      <c r="Z40" s="38">
        <v>0.29166666666666669</v>
      </c>
      <c r="AA40" t="s">
        <v>117</v>
      </c>
      <c r="AC40" t="s">
        <v>121</v>
      </c>
      <c r="AQ40">
        <v>4.4499999999999998E-2</v>
      </c>
      <c r="AR40">
        <v>0.20039999999999999</v>
      </c>
      <c r="BI40">
        <v>0.1336</v>
      </c>
      <c r="BJ40">
        <v>0.20039999999999999</v>
      </c>
      <c r="BK40">
        <f>0</f>
        <v>0</v>
      </c>
      <c r="BL40">
        <f t="shared" si="0"/>
        <v>0.57889999999999997</v>
      </c>
      <c r="BM40">
        <f t="shared" si="1"/>
        <v>0</v>
      </c>
      <c r="BN40">
        <f t="shared" si="2"/>
        <v>0</v>
      </c>
      <c r="BO40">
        <f t="shared" si="3"/>
        <v>1</v>
      </c>
      <c r="BP40" s="37">
        <f>IF($F40="","",IFERROR(INDEX(Familias!$C$5:$C$300,MATCH($F40,Familias!$A$5:$A$300,0)),""))</f>
        <v>2320</v>
      </c>
      <c r="BQ40" s="37">
        <f t="shared" si="4"/>
        <v>5483</v>
      </c>
      <c r="BR40" s="36">
        <f t="shared" si="5"/>
        <v>3.2067000000000001</v>
      </c>
      <c r="BS40" s="36">
        <f t="shared" si="6"/>
        <v>0.57889999999999997</v>
      </c>
      <c r="BT40" s="36">
        <f t="shared" si="7"/>
        <v>2.6278000000000001</v>
      </c>
      <c r="BU40" s="36">
        <f t="shared" si="8"/>
        <v>2.3633999999999999</v>
      </c>
      <c r="BV40" s="39">
        <f t="shared" si="9"/>
        <v>0.89938351472714817</v>
      </c>
      <c r="BW40" s="39">
        <f t="shared" si="10"/>
        <v>0.99854094473828192</v>
      </c>
      <c r="BX40" s="40">
        <f t="shared" si="11"/>
        <v>0.12236842105263158</v>
      </c>
      <c r="BY40" s="40">
        <f t="shared" si="12"/>
        <v>3.4649122807017541E-2</v>
      </c>
      <c r="BZ40" t="str">
        <f t="shared" si="13"/>
        <v>OK</v>
      </c>
      <c r="CA40">
        <f t="shared" si="14"/>
        <v>1</v>
      </c>
    </row>
    <row r="41" spans="1:80" x14ac:dyDescent="0.25">
      <c r="A41" s="35">
        <v>45807</v>
      </c>
      <c r="B41" s="36">
        <v>4.3676000000000004</v>
      </c>
      <c r="C41" t="s">
        <v>113</v>
      </c>
      <c r="D41" t="s">
        <v>6</v>
      </c>
      <c r="E41" t="s">
        <v>126</v>
      </c>
      <c r="F41" t="s">
        <v>133</v>
      </c>
      <c r="G41">
        <v>24522</v>
      </c>
      <c r="H41">
        <v>2140110678</v>
      </c>
      <c r="I41" t="s">
        <v>135</v>
      </c>
      <c r="J41" s="37">
        <v>9750</v>
      </c>
      <c r="K41" s="37">
        <v>32</v>
      </c>
      <c r="M41">
        <v>3267</v>
      </c>
      <c r="N41">
        <v>84.604517999999999</v>
      </c>
      <c r="Q41">
        <v>18</v>
      </c>
      <c r="T41">
        <v>4</v>
      </c>
      <c r="V41" t="s">
        <v>116</v>
      </c>
      <c r="Y41" s="38">
        <v>0.29166666666666669</v>
      </c>
      <c r="Z41" s="38">
        <v>0.47361111111111109</v>
      </c>
      <c r="AA41" t="s">
        <v>117</v>
      </c>
      <c r="AC41" t="s">
        <v>136</v>
      </c>
      <c r="AQ41">
        <v>9.0999999999999998E-2</v>
      </c>
      <c r="BI41">
        <v>0.182</v>
      </c>
      <c r="BJ41">
        <v>0.12130000000000001</v>
      </c>
      <c r="BK41">
        <f>0</f>
        <v>0</v>
      </c>
      <c r="BL41">
        <f t="shared" si="0"/>
        <v>0.39430000000000004</v>
      </c>
      <c r="BM41">
        <f t="shared" si="1"/>
        <v>0</v>
      </c>
      <c r="BN41">
        <f t="shared" si="2"/>
        <v>0</v>
      </c>
      <c r="BO41">
        <f t="shared" si="3"/>
        <v>1</v>
      </c>
      <c r="BP41" s="37">
        <f>IF($F41="","",IFERROR(INDEX(Familias!$C$5:$C$300,MATCH($F41,Familias!$A$5:$A$300,0)),""))</f>
        <v>2320</v>
      </c>
      <c r="BQ41" s="37">
        <f t="shared" si="4"/>
        <v>9782</v>
      </c>
      <c r="BR41" s="36">
        <f t="shared" si="5"/>
        <v>4.3676000000000004</v>
      </c>
      <c r="BS41" s="36">
        <f t="shared" si="6"/>
        <v>0.39429999999999998</v>
      </c>
      <c r="BT41" s="36">
        <f t="shared" si="7"/>
        <v>3.9733000000000001</v>
      </c>
      <c r="BU41" s="36">
        <f t="shared" si="8"/>
        <v>4.2164000000000001</v>
      </c>
      <c r="BV41" s="39">
        <f t="shared" si="9"/>
        <v>1.0611833991895905</v>
      </c>
      <c r="BW41" s="39">
        <f t="shared" si="10"/>
        <v>0.99672868534042114</v>
      </c>
      <c r="BX41" s="40">
        <f t="shared" si="11"/>
        <v>0</v>
      </c>
      <c r="BY41" s="40">
        <f t="shared" si="12"/>
        <v>5.5096418732782371E-3</v>
      </c>
      <c r="BZ41" t="str">
        <f t="shared" si="13"/>
        <v>OK</v>
      </c>
      <c r="CA41">
        <f t="shared" si="14"/>
        <v>1</v>
      </c>
    </row>
    <row r="42" spans="1:80" x14ac:dyDescent="0.25">
      <c r="A42" s="35">
        <v>45807</v>
      </c>
      <c r="B42" s="36">
        <v>4.6462000000000003</v>
      </c>
      <c r="C42" t="s">
        <v>113</v>
      </c>
      <c r="D42" t="s">
        <v>6</v>
      </c>
      <c r="E42" t="s">
        <v>126</v>
      </c>
      <c r="F42" t="s">
        <v>133</v>
      </c>
      <c r="G42">
        <v>24522</v>
      </c>
      <c r="H42">
        <v>2140110679</v>
      </c>
      <c r="I42" t="s">
        <v>137</v>
      </c>
      <c r="J42" s="37">
        <v>10400</v>
      </c>
      <c r="K42" s="37">
        <v>6</v>
      </c>
      <c r="M42">
        <v>3583</v>
      </c>
      <c r="N42">
        <v>90.001494000000008</v>
      </c>
      <c r="O42">
        <v>70</v>
      </c>
      <c r="T42">
        <v>4</v>
      </c>
      <c r="V42" t="s">
        <v>116</v>
      </c>
      <c r="Y42" s="38">
        <v>0.47361111111111109</v>
      </c>
      <c r="Z42" s="38">
        <v>0.66736111111111107</v>
      </c>
      <c r="AA42" t="s">
        <v>117</v>
      </c>
      <c r="AC42" t="s">
        <v>136</v>
      </c>
      <c r="AQ42">
        <v>9.6799999999999997E-2</v>
      </c>
      <c r="BI42">
        <v>0.19359999999999999</v>
      </c>
      <c r="BJ42">
        <v>0.12909999999999999</v>
      </c>
      <c r="BK42">
        <f>0</f>
        <v>0</v>
      </c>
      <c r="BL42">
        <f t="shared" si="0"/>
        <v>0.41949999999999998</v>
      </c>
      <c r="BM42">
        <f t="shared" si="1"/>
        <v>0</v>
      </c>
      <c r="BN42">
        <f t="shared" si="2"/>
        <v>0</v>
      </c>
      <c r="BO42">
        <f t="shared" si="3"/>
        <v>1</v>
      </c>
      <c r="BP42" s="37">
        <f>IF($F42="","",IFERROR(INDEX(Familias!$C$5:$C$300,MATCH($F42,Familias!$A$5:$A$300,0)),""))</f>
        <v>2320</v>
      </c>
      <c r="BQ42" s="37">
        <f t="shared" si="4"/>
        <v>10406</v>
      </c>
      <c r="BR42" s="36">
        <f t="shared" si="5"/>
        <v>4.6462000000000003</v>
      </c>
      <c r="BS42" s="36">
        <f t="shared" si="6"/>
        <v>0.41949999999999998</v>
      </c>
      <c r="BT42" s="36">
        <f t="shared" si="7"/>
        <v>4.2267000000000001</v>
      </c>
      <c r="BU42" s="36">
        <f t="shared" si="8"/>
        <v>4.4852999999999996</v>
      </c>
      <c r="BV42" s="39">
        <f t="shared" si="9"/>
        <v>1.0611824827879905</v>
      </c>
      <c r="BW42" s="39">
        <f t="shared" si="10"/>
        <v>0.99942340957140108</v>
      </c>
      <c r="BX42" s="40">
        <f t="shared" si="11"/>
        <v>1.9536701088473347E-2</v>
      </c>
      <c r="BY42" s="40">
        <f t="shared" si="12"/>
        <v>0</v>
      </c>
      <c r="BZ42" t="str">
        <f t="shared" si="13"/>
        <v>OK</v>
      </c>
      <c r="CA42">
        <f t="shared" si="14"/>
        <v>1</v>
      </c>
    </row>
    <row r="43" spans="1:80" x14ac:dyDescent="0.25">
      <c r="A43" s="35">
        <v>45807</v>
      </c>
      <c r="B43" s="36">
        <v>2.9862000000000002</v>
      </c>
      <c r="C43" t="s">
        <v>113</v>
      </c>
      <c r="D43" t="s">
        <v>6</v>
      </c>
      <c r="E43" t="s">
        <v>126</v>
      </c>
      <c r="F43" t="s">
        <v>133</v>
      </c>
      <c r="G43">
        <v>24522</v>
      </c>
      <c r="H43">
        <v>2140110680</v>
      </c>
      <c r="I43" t="s">
        <v>138</v>
      </c>
      <c r="J43" s="37">
        <v>6675</v>
      </c>
      <c r="K43" s="37">
        <v>13</v>
      </c>
      <c r="M43">
        <v>2271</v>
      </c>
      <c r="N43">
        <v>57.844512000000002</v>
      </c>
      <c r="O43">
        <v>50</v>
      </c>
      <c r="T43">
        <v>3</v>
      </c>
      <c r="V43" t="s">
        <v>116</v>
      </c>
      <c r="Y43" s="38">
        <v>0.66736111111111107</v>
      </c>
      <c r="Z43" s="38">
        <v>0.79166666666666663</v>
      </c>
      <c r="AA43" t="s">
        <v>117</v>
      </c>
      <c r="AC43" t="s">
        <v>136</v>
      </c>
      <c r="AQ43">
        <v>6.2199999999999998E-2</v>
      </c>
      <c r="BI43">
        <v>0.1244</v>
      </c>
      <c r="BJ43">
        <v>8.2900000000000001E-2</v>
      </c>
      <c r="BK43">
        <f>0</f>
        <v>0</v>
      </c>
      <c r="BL43">
        <f t="shared" si="0"/>
        <v>0.26949999999999996</v>
      </c>
      <c r="BM43">
        <f t="shared" si="1"/>
        <v>0</v>
      </c>
      <c r="BN43">
        <f t="shared" si="2"/>
        <v>0</v>
      </c>
      <c r="BO43">
        <f t="shared" si="3"/>
        <v>1</v>
      </c>
      <c r="BP43" s="37">
        <f>IF($F43="","",IFERROR(INDEX(Familias!$C$5:$C$300,MATCH($F43,Familias!$A$5:$A$300,0)),""))</f>
        <v>2320</v>
      </c>
      <c r="BQ43" s="37">
        <f t="shared" si="4"/>
        <v>6688</v>
      </c>
      <c r="BR43" s="36">
        <f t="shared" si="5"/>
        <v>2.9862000000000002</v>
      </c>
      <c r="BS43" s="36">
        <f t="shared" si="6"/>
        <v>0.26950000000000002</v>
      </c>
      <c r="BT43" s="36">
        <f t="shared" si="7"/>
        <v>2.7166999999999999</v>
      </c>
      <c r="BU43" s="36">
        <f t="shared" si="8"/>
        <v>2.8828</v>
      </c>
      <c r="BV43" s="39">
        <f t="shared" si="9"/>
        <v>1.0611403541060846</v>
      </c>
      <c r="BW43" s="39">
        <f t="shared" si="10"/>
        <v>0.99805622009569372</v>
      </c>
      <c r="BX43" s="40">
        <f t="shared" si="11"/>
        <v>2.2016732716864818E-2</v>
      </c>
      <c r="BY43" s="40">
        <f t="shared" si="12"/>
        <v>0</v>
      </c>
      <c r="BZ43" t="str">
        <f t="shared" si="13"/>
        <v>OK</v>
      </c>
      <c r="CA43">
        <f t="shared" si="14"/>
        <v>1</v>
      </c>
    </row>
    <row r="44" spans="1:80" x14ac:dyDescent="0.25">
      <c r="A44" s="35">
        <v>45807</v>
      </c>
      <c r="B44" s="36">
        <v>1.6827000000000001</v>
      </c>
      <c r="C44" t="s">
        <v>119</v>
      </c>
      <c r="D44" t="s">
        <v>6</v>
      </c>
      <c r="E44" t="s">
        <v>126</v>
      </c>
      <c r="F44" t="s">
        <v>133</v>
      </c>
      <c r="G44">
        <v>24522</v>
      </c>
      <c r="H44">
        <v>2140110680</v>
      </c>
      <c r="I44" t="s">
        <v>138</v>
      </c>
      <c r="J44" s="37">
        <v>3350</v>
      </c>
      <c r="K44" s="37">
        <v>4</v>
      </c>
      <c r="M44">
        <v>1228</v>
      </c>
      <c r="N44">
        <v>29.008745999999999</v>
      </c>
      <c r="O44">
        <v>10</v>
      </c>
      <c r="P44">
        <v>16</v>
      </c>
      <c r="T44">
        <v>2</v>
      </c>
      <c r="V44" t="s">
        <v>120</v>
      </c>
      <c r="Y44" s="38">
        <v>0.79166666666666663</v>
      </c>
      <c r="Z44" s="38">
        <v>0.8618055555555556</v>
      </c>
      <c r="AA44" t="s">
        <v>117</v>
      </c>
      <c r="AC44" t="s">
        <v>121</v>
      </c>
      <c r="AQ44">
        <v>2.3400000000000001E-2</v>
      </c>
      <c r="AR44">
        <v>0.1052</v>
      </c>
      <c r="BI44">
        <v>7.0099999999999996E-2</v>
      </c>
      <c r="BK44">
        <f>0</f>
        <v>0</v>
      </c>
      <c r="BL44">
        <f t="shared" si="0"/>
        <v>0.19869999999999999</v>
      </c>
      <c r="BM44">
        <f t="shared" si="1"/>
        <v>0</v>
      </c>
      <c r="BN44">
        <f t="shared" si="2"/>
        <v>0</v>
      </c>
      <c r="BO44">
        <f t="shared" si="3"/>
        <v>1</v>
      </c>
      <c r="BP44" s="37">
        <f>IF($F44="","",IFERROR(INDEX(Familias!$C$5:$C$300,MATCH($F44,Familias!$A$5:$A$300,0)),""))</f>
        <v>2320</v>
      </c>
      <c r="BQ44" s="37">
        <f t="shared" si="4"/>
        <v>3354</v>
      </c>
      <c r="BR44" s="36">
        <f t="shared" si="5"/>
        <v>1.6827000000000001</v>
      </c>
      <c r="BS44" s="36">
        <f t="shared" si="6"/>
        <v>0.19869999999999999</v>
      </c>
      <c r="BT44" s="36">
        <f t="shared" si="7"/>
        <v>1.484</v>
      </c>
      <c r="BU44" s="36">
        <f t="shared" si="8"/>
        <v>1.4457</v>
      </c>
      <c r="BV44" s="39">
        <f t="shared" si="9"/>
        <v>0.97419137466307282</v>
      </c>
      <c r="BW44" s="39">
        <f t="shared" si="10"/>
        <v>0.99880739415623132</v>
      </c>
      <c r="BX44" s="40">
        <f t="shared" si="11"/>
        <v>2.1172638436482084E-2</v>
      </c>
      <c r="BY44" s="40">
        <f t="shared" si="12"/>
        <v>0</v>
      </c>
      <c r="BZ44" t="str">
        <f t="shared" si="13"/>
        <v>OK</v>
      </c>
      <c r="CA44">
        <f t="shared" si="14"/>
        <v>1</v>
      </c>
    </row>
    <row r="45" spans="1:80" x14ac:dyDescent="0.25">
      <c r="A45" s="35">
        <v>45807</v>
      </c>
      <c r="B45" s="36">
        <v>10.317299999999999</v>
      </c>
      <c r="C45" t="s">
        <v>119</v>
      </c>
      <c r="D45" t="s">
        <v>6</v>
      </c>
      <c r="E45" t="s">
        <v>126</v>
      </c>
      <c r="F45" t="s">
        <v>133</v>
      </c>
      <c r="G45">
        <v>24522</v>
      </c>
      <c r="H45">
        <v>2140110604</v>
      </c>
      <c r="I45" t="s">
        <v>139</v>
      </c>
      <c r="J45" s="37">
        <v>20550</v>
      </c>
      <c r="K45" s="37">
        <v>15</v>
      </c>
      <c r="M45">
        <v>7088</v>
      </c>
      <c r="N45">
        <v>177.86668499999999</v>
      </c>
      <c r="O45">
        <v>50</v>
      </c>
      <c r="P45">
        <v>80</v>
      </c>
      <c r="Q45">
        <v>107</v>
      </c>
      <c r="T45">
        <v>10</v>
      </c>
      <c r="V45" t="s">
        <v>120</v>
      </c>
      <c r="Y45" s="38">
        <v>0.8618055555555556</v>
      </c>
      <c r="Z45" s="38">
        <v>0.29166666666666669</v>
      </c>
      <c r="AA45" t="s">
        <v>117</v>
      </c>
      <c r="AC45" t="s">
        <v>121</v>
      </c>
      <c r="AQ45">
        <v>0.14330000000000001</v>
      </c>
      <c r="AR45">
        <v>0.64480000000000004</v>
      </c>
      <c r="BI45">
        <v>0.4299</v>
      </c>
      <c r="BK45">
        <f>0</f>
        <v>0</v>
      </c>
      <c r="BL45">
        <f t="shared" si="0"/>
        <v>1.218</v>
      </c>
      <c r="BM45">
        <f t="shared" si="1"/>
        <v>0</v>
      </c>
      <c r="BN45">
        <f t="shared" si="2"/>
        <v>0</v>
      </c>
      <c r="BO45">
        <f t="shared" si="3"/>
        <v>1</v>
      </c>
      <c r="BP45" s="37">
        <f>IF($F45="","",IFERROR(INDEX(Familias!$C$5:$C$300,MATCH($F45,Familias!$A$5:$A$300,0)),""))</f>
        <v>2320</v>
      </c>
      <c r="BQ45" s="37">
        <f t="shared" si="4"/>
        <v>20565</v>
      </c>
      <c r="BR45" s="36">
        <f t="shared" si="5"/>
        <v>10.317299999999999</v>
      </c>
      <c r="BS45" s="36">
        <f t="shared" si="6"/>
        <v>1.218</v>
      </c>
      <c r="BT45" s="36">
        <f t="shared" si="7"/>
        <v>9.0992999999999995</v>
      </c>
      <c r="BU45" s="36">
        <f t="shared" si="8"/>
        <v>8.8642000000000003</v>
      </c>
      <c r="BV45" s="39">
        <f t="shared" si="9"/>
        <v>0.97416284769158079</v>
      </c>
      <c r="BW45" s="39">
        <f t="shared" si="10"/>
        <v>0.99927060539752011</v>
      </c>
      <c r="BX45" s="40">
        <f t="shared" si="11"/>
        <v>1.8340857787810385E-2</v>
      </c>
      <c r="BY45" s="40">
        <f t="shared" si="12"/>
        <v>1.5095936794582392E-2</v>
      </c>
      <c r="BZ45" t="str">
        <f t="shared" si="13"/>
        <v>OK</v>
      </c>
      <c r="CA45">
        <f t="shared" si="14"/>
        <v>1</v>
      </c>
    </row>
    <row r="46" spans="1:80" x14ac:dyDescent="0.25">
      <c r="A46" s="35">
        <v>45808</v>
      </c>
      <c r="B46" s="36">
        <v>12</v>
      </c>
      <c r="C46" t="s">
        <v>113</v>
      </c>
      <c r="D46" t="s">
        <v>6</v>
      </c>
      <c r="E46" t="s">
        <v>126</v>
      </c>
      <c r="F46" t="s">
        <v>133</v>
      </c>
      <c r="G46">
        <v>24522</v>
      </c>
      <c r="H46">
        <v>2140110604</v>
      </c>
      <c r="I46" t="s">
        <v>139</v>
      </c>
      <c r="J46" s="37">
        <v>25175</v>
      </c>
      <c r="K46" s="37">
        <v>26</v>
      </c>
      <c r="M46">
        <v>8585</v>
      </c>
      <c r="N46">
        <v>217.963449</v>
      </c>
      <c r="O46">
        <v>74</v>
      </c>
      <c r="P46">
        <v>96</v>
      </c>
      <c r="T46">
        <v>12</v>
      </c>
      <c r="V46" t="s">
        <v>116</v>
      </c>
      <c r="Y46" s="38">
        <v>0.29166666666666669</v>
      </c>
      <c r="Z46" s="38">
        <v>0.79166666666666663</v>
      </c>
      <c r="AA46" t="s">
        <v>117</v>
      </c>
      <c r="AC46" t="s">
        <v>118</v>
      </c>
      <c r="AO46">
        <v>0.5</v>
      </c>
      <c r="AQ46">
        <v>0.25</v>
      </c>
      <c r="AR46">
        <v>0.75</v>
      </c>
      <c r="BI46">
        <v>0.5</v>
      </c>
      <c r="BK46">
        <f>0</f>
        <v>0</v>
      </c>
      <c r="BL46">
        <f t="shared" si="0"/>
        <v>2</v>
      </c>
      <c r="BM46">
        <f t="shared" si="1"/>
        <v>0</v>
      </c>
      <c r="BN46">
        <f t="shared" si="2"/>
        <v>0</v>
      </c>
      <c r="BO46">
        <f t="shared" si="3"/>
        <v>1</v>
      </c>
      <c r="BP46" s="37">
        <f>IF($F46="","",IFERROR(INDEX(Familias!$C$5:$C$300,MATCH($F46,Familias!$A$5:$A$300,0)),""))</f>
        <v>2320</v>
      </c>
      <c r="BQ46" s="37">
        <f t="shared" si="4"/>
        <v>25201</v>
      </c>
      <c r="BR46" s="36">
        <f t="shared" si="5"/>
        <v>12</v>
      </c>
      <c r="BS46" s="36">
        <f t="shared" si="6"/>
        <v>2</v>
      </c>
      <c r="BT46" s="36">
        <f t="shared" si="7"/>
        <v>10</v>
      </c>
      <c r="BU46" s="36">
        <f t="shared" si="8"/>
        <v>10.862500000000001</v>
      </c>
      <c r="BV46" s="39">
        <f t="shared" si="9"/>
        <v>1.0862500000000002</v>
      </c>
      <c r="BW46" s="39">
        <f t="shared" si="10"/>
        <v>0.99896829490893213</v>
      </c>
      <c r="BX46" s="40">
        <f t="shared" si="11"/>
        <v>1.9801980198019802E-2</v>
      </c>
      <c r="BY46" s="40">
        <f t="shared" si="12"/>
        <v>0</v>
      </c>
      <c r="BZ46" t="str">
        <f t="shared" si="13"/>
        <v>OK</v>
      </c>
      <c r="CA46">
        <f t="shared" si="14"/>
        <v>1</v>
      </c>
    </row>
    <row r="47" spans="1:80" x14ac:dyDescent="0.25">
      <c r="A47" s="35">
        <v>45808</v>
      </c>
      <c r="B47" s="36">
        <v>12</v>
      </c>
      <c r="C47" t="s">
        <v>119</v>
      </c>
      <c r="D47" t="s">
        <v>6</v>
      </c>
      <c r="E47" t="s">
        <v>126</v>
      </c>
      <c r="F47" t="s">
        <v>133</v>
      </c>
      <c r="G47">
        <v>24522</v>
      </c>
      <c r="H47">
        <v>2140110604</v>
      </c>
      <c r="I47" t="s">
        <v>139</v>
      </c>
      <c r="J47" s="37">
        <v>20825</v>
      </c>
      <c r="K47" s="37">
        <v>20</v>
      </c>
      <c r="M47">
        <v>7315</v>
      </c>
      <c r="N47">
        <v>180.28840500000001</v>
      </c>
      <c r="O47">
        <v>130</v>
      </c>
      <c r="P47">
        <v>88</v>
      </c>
      <c r="Q47">
        <v>44</v>
      </c>
      <c r="T47">
        <v>11</v>
      </c>
      <c r="V47" t="s">
        <v>120</v>
      </c>
      <c r="Y47" s="38">
        <v>0.79166666666666663</v>
      </c>
      <c r="Z47" s="38">
        <v>0.29166666666666669</v>
      </c>
      <c r="AA47" t="s">
        <v>117</v>
      </c>
      <c r="AC47" t="s">
        <v>118</v>
      </c>
      <c r="AR47">
        <v>0.75</v>
      </c>
      <c r="BC47">
        <v>1.5</v>
      </c>
      <c r="BI47">
        <v>0.5</v>
      </c>
      <c r="BK47">
        <f>0</f>
        <v>0</v>
      </c>
      <c r="BL47">
        <f t="shared" si="0"/>
        <v>2.75</v>
      </c>
      <c r="BM47">
        <f t="shared" si="1"/>
        <v>0</v>
      </c>
      <c r="BN47">
        <f t="shared" si="2"/>
        <v>0</v>
      </c>
      <c r="BO47">
        <f t="shared" si="3"/>
        <v>1</v>
      </c>
      <c r="BP47" s="37">
        <f>IF($F47="","",IFERROR(INDEX(Familias!$C$5:$C$300,MATCH($F47,Familias!$A$5:$A$300,0)),""))</f>
        <v>2320</v>
      </c>
      <c r="BQ47" s="37">
        <f t="shared" si="4"/>
        <v>20845</v>
      </c>
      <c r="BR47" s="36">
        <f t="shared" si="5"/>
        <v>12</v>
      </c>
      <c r="BS47" s="36">
        <f t="shared" si="6"/>
        <v>2.75</v>
      </c>
      <c r="BT47" s="36">
        <f t="shared" si="7"/>
        <v>9.25</v>
      </c>
      <c r="BU47" s="36">
        <f t="shared" si="8"/>
        <v>8.9848999999999997</v>
      </c>
      <c r="BV47" s="39">
        <f t="shared" si="9"/>
        <v>0.97134054054054053</v>
      </c>
      <c r="BW47" s="39">
        <f t="shared" si="10"/>
        <v>0.99904053729911246</v>
      </c>
      <c r="BX47" s="40">
        <f t="shared" si="11"/>
        <v>2.9801777170198222E-2</v>
      </c>
      <c r="BY47" s="40">
        <f t="shared" si="12"/>
        <v>6.0150375939849628E-3</v>
      </c>
      <c r="BZ47" t="str">
        <f t="shared" si="13"/>
        <v>OK</v>
      </c>
      <c r="CA47">
        <f t="shared" si="14"/>
        <v>1</v>
      </c>
    </row>
    <row r="48" spans="1:80" x14ac:dyDescent="0.25">
      <c r="A48" s="35">
        <v>45810</v>
      </c>
      <c r="B48" s="36">
        <v>12</v>
      </c>
      <c r="C48" t="s">
        <v>113</v>
      </c>
      <c r="D48" t="s">
        <v>6</v>
      </c>
      <c r="E48" t="s">
        <v>126</v>
      </c>
      <c r="F48" t="s">
        <v>133</v>
      </c>
      <c r="G48">
        <v>24546</v>
      </c>
      <c r="H48">
        <v>2140110605</v>
      </c>
      <c r="I48" t="s">
        <v>140</v>
      </c>
      <c r="J48" s="37">
        <v>22300</v>
      </c>
      <c r="K48" s="37">
        <v>15</v>
      </c>
      <c r="M48">
        <v>7760</v>
      </c>
      <c r="N48">
        <v>193.00243499999999</v>
      </c>
      <c r="O48">
        <v>113</v>
      </c>
      <c r="P48">
        <v>88</v>
      </c>
      <c r="Q48">
        <v>79</v>
      </c>
      <c r="R48">
        <v>20</v>
      </c>
      <c r="T48">
        <v>11</v>
      </c>
      <c r="V48" t="s">
        <v>120</v>
      </c>
      <c r="Y48" s="38">
        <v>0.29166666666666669</v>
      </c>
      <c r="Z48" s="38">
        <v>0.79166666666666663</v>
      </c>
      <c r="AA48" t="s">
        <v>117</v>
      </c>
      <c r="AC48" t="s">
        <v>118</v>
      </c>
      <c r="AD48">
        <v>0.75</v>
      </c>
      <c r="AG48">
        <v>0.75</v>
      </c>
      <c r="AR48">
        <v>0.16669999999999999</v>
      </c>
      <c r="BK48">
        <f>0</f>
        <v>0</v>
      </c>
      <c r="BL48">
        <f t="shared" si="0"/>
        <v>1.6667000000000001</v>
      </c>
      <c r="BM48">
        <f t="shared" si="1"/>
        <v>0</v>
      </c>
      <c r="BN48">
        <f t="shared" si="2"/>
        <v>0</v>
      </c>
      <c r="BO48">
        <f t="shared" si="3"/>
        <v>1</v>
      </c>
      <c r="BP48" s="37">
        <f>IF($F48="","",IFERROR(INDEX(Familias!$C$5:$C$300,MATCH($F48,Familias!$A$5:$A$300,0)),""))</f>
        <v>2320</v>
      </c>
      <c r="BQ48" s="37">
        <f t="shared" si="4"/>
        <v>22315</v>
      </c>
      <c r="BR48" s="36">
        <f t="shared" si="5"/>
        <v>12</v>
      </c>
      <c r="BS48" s="36">
        <f t="shared" si="6"/>
        <v>1.6667000000000001</v>
      </c>
      <c r="BT48" s="36">
        <f t="shared" si="7"/>
        <v>10.333299999999999</v>
      </c>
      <c r="BU48" s="36">
        <f t="shared" si="8"/>
        <v>9.6184999999999992</v>
      </c>
      <c r="BV48" s="39">
        <f t="shared" si="9"/>
        <v>0.9308255833083332</v>
      </c>
      <c r="BW48" s="39">
        <f t="shared" si="10"/>
        <v>0.99932780640824559</v>
      </c>
      <c r="BX48" s="40">
        <f t="shared" si="11"/>
        <v>2.8479381443298969E-2</v>
      </c>
      <c r="BY48" s="40">
        <f t="shared" si="12"/>
        <v>1.0180412371134021E-2</v>
      </c>
      <c r="BZ48" t="str">
        <f t="shared" si="13"/>
        <v>OK</v>
      </c>
      <c r="CA48">
        <f t="shared" si="14"/>
        <v>1</v>
      </c>
    </row>
    <row r="49" spans="1:80" x14ac:dyDescent="0.25">
      <c r="A49" s="35">
        <v>45810</v>
      </c>
      <c r="B49" s="36">
        <v>3.8765000000000001</v>
      </c>
      <c r="C49" t="s">
        <v>119</v>
      </c>
      <c r="D49" t="s">
        <v>6</v>
      </c>
      <c r="E49" t="s">
        <v>126</v>
      </c>
      <c r="F49" t="s">
        <v>133</v>
      </c>
      <c r="G49">
        <v>24546</v>
      </c>
      <c r="H49">
        <v>2140110605</v>
      </c>
      <c r="I49" t="s">
        <v>140</v>
      </c>
      <c r="J49" s="37">
        <v>7800</v>
      </c>
      <c r="K49" s="37">
        <v>3</v>
      </c>
      <c r="M49">
        <v>2708</v>
      </c>
      <c r="N49">
        <v>67.488146999999998</v>
      </c>
      <c r="O49">
        <v>40</v>
      </c>
      <c r="P49">
        <v>24</v>
      </c>
      <c r="Q49">
        <v>28</v>
      </c>
      <c r="T49">
        <v>4</v>
      </c>
      <c r="V49" t="s">
        <v>116</v>
      </c>
      <c r="Y49" s="38">
        <v>0.79166666666666663</v>
      </c>
      <c r="Z49" s="38">
        <v>0.95347222222222228</v>
      </c>
      <c r="AA49" t="s">
        <v>117</v>
      </c>
      <c r="AC49" t="s">
        <v>121</v>
      </c>
      <c r="AE49">
        <v>0.32300000000000001</v>
      </c>
      <c r="AQ49">
        <v>8.0799999999999997E-2</v>
      </c>
      <c r="AR49">
        <v>0.24229999999999999</v>
      </c>
      <c r="BI49">
        <v>0.1615</v>
      </c>
      <c r="BK49">
        <f>0</f>
        <v>0</v>
      </c>
      <c r="BL49">
        <f t="shared" si="0"/>
        <v>0.80759999999999998</v>
      </c>
      <c r="BM49">
        <f t="shared" si="1"/>
        <v>0</v>
      </c>
      <c r="BN49">
        <f t="shared" si="2"/>
        <v>0</v>
      </c>
      <c r="BO49">
        <f t="shared" si="3"/>
        <v>1</v>
      </c>
      <c r="BP49" s="37">
        <f>IF($F49="","",IFERROR(INDEX(Familias!$C$5:$C$300,MATCH($F49,Familias!$A$5:$A$300,0)),""))</f>
        <v>2320</v>
      </c>
      <c r="BQ49" s="37">
        <f t="shared" si="4"/>
        <v>7803</v>
      </c>
      <c r="BR49" s="36">
        <f t="shared" si="5"/>
        <v>3.8765000000000001</v>
      </c>
      <c r="BS49" s="36">
        <f t="shared" si="6"/>
        <v>0.80759999999999998</v>
      </c>
      <c r="BT49" s="36">
        <f t="shared" si="7"/>
        <v>3.0689000000000002</v>
      </c>
      <c r="BU49" s="36">
        <f t="shared" si="8"/>
        <v>3.3633999999999999</v>
      </c>
      <c r="BV49" s="39">
        <f t="shared" si="9"/>
        <v>1.0959627227997002</v>
      </c>
      <c r="BW49" s="39">
        <f t="shared" si="10"/>
        <v>0.99961553248750479</v>
      </c>
      <c r="BX49" s="40">
        <f t="shared" si="11"/>
        <v>2.3633677991137372E-2</v>
      </c>
      <c r="BY49" s="40">
        <f t="shared" si="12"/>
        <v>1.03397341211226E-2</v>
      </c>
      <c r="BZ49" t="str">
        <f t="shared" si="13"/>
        <v>OK</v>
      </c>
      <c r="CA49">
        <f t="shared" si="14"/>
        <v>1</v>
      </c>
    </row>
    <row r="50" spans="1:80" x14ac:dyDescent="0.25">
      <c r="A50" s="35">
        <v>45810</v>
      </c>
      <c r="B50" s="36">
        <v>8.1234999999999999</v>
      </c>
      <c r="C50" t="s">
        <v>119</v>
      </c>
      <c r="D50" t="s">
        <v>6</v>
      </c>
      <c r="E50" t="s">
        <v>126</v>
      </c>
      <c r="F50" t="s">
        <v>133</v>
      </c>
      <c r="G50">
        <v>24546</v>
      </c>
      <c r="H50">
        <v>2140110606</v>
      </c>
      <c r="I50" t="s">
        <v>141</v>
      </c>
      <c r="J50" s="37">
        <v>16350</v>
      </c>
      <c r="K50" s="37">
        <v>2</v>
      </c>
      <c r="M50">
        <v>5697</v>
      </c>
      <c r="N50">
        <v>141.428448</v>
      </c>
      <c r="O50">
        <v>45</v>
      </c>
      <c r="P50">
        <v>32</v>
      </c>
      <c r="Q50">
        <v>70</v>
      </c>
      <c r="R50">
        <v>75</v>
      </c>
      <c r="T50">
        <v>8</v>
      </c>
      <c r="V50" t="s">
        <v>116</v>
      </c>
      <c r="Y50" s="38">
        <v>0.95347222222222228</v>
      </c>
      <c r="Z50" s="38">
        <v>0.29166666666666669</v>
      </c>
      <c r="AA50" t="s">
        <v>117</v>
      </c>
      <c r="AC50" t="s">
        <v>121</v>
      </c>
      <c r="AE50">
        <v>0.67700000000000005</v>
      </c>
      <c r="AQ50">
        <v>0.16919999999999999</v>
      </c>
      <c r="AR50">
        <v>0.50770000000000004</v>
      </c>
      <c r="BI50">
        <v>0.33850000000000002</v>
      </c>
      <c r="BK50">
        <f>0</f>
        <v>0</v>
      </c>
      <c r="BL50">
        <f t="shared" si="0"/>
        <v>1.6924000000000001</v>
      </c>
      <c r="BM50">
        <f t="shared" si="1"/>
        <v>0</v>
      </c>
      <c r="BN50">
        <f t="shared" si="2"/>
        <v>0</v>
      </c>
      <c r="BO50">
        <f t="shared" si="3"/>
        <v>1</v>
      </c>
      <c r="BP50" s="37">
        <f>IF($F50="","",IFERROR(INDEX(Familias!$C$5:$C$300,MATCH($F50,Familias!$A$5:$A$300,0)),""))</f>
        <v>2320</v>
      </c>
      <c r="BQ50" s="37">
        <f t="shared" si="4"/>
        <v>16352</v>
      </c>
      <c r="BR50" s="36">
        <f t="shared" si="5"/>
        <v>8.1234999999999999</v>
      </c>
      <c r="BS50" s="36">
        <f t="shared" si="6"/>
        <v>1.6923999999999999</v>
      </c>
      <c r="BT50" s="36">
        <f t="shared" si="7"/>
        <v>6.4310999999999998</v>
      </c>
      <c r="BU50" s="36">
        <f t="shared" si="8"/>
        <v>7.0483000000000002</v>
      </c>
      <c r="BV50" s="39">
        <f t="shared" si="9"/>
        <v>1.0959711402403944</v>
      </c>
      <c r="BW50" s="39">
        <f t="shared" si="10"/>
        <v>0.99987769080234834</v>
      </c>
      <c r="BX50" s="40">
        <f t="shared" si="11"/>
        <v>2.6680709145164121E-2</v>
      </c>
      <c r="BY50" s="40">
        <f t="shared" si="12"/>
        <v>1.2287168685272951E-2</v>
      </c>
      <c r="BZ50" t="str">
        <f t="shared" si="13"/>
        <v>OK</v>
      </c>
      <c r="CA50">
        <f t="shared" si="14"/>
        <v>1</v>
      </c>
    </row>
    <row r="51" spans="1:80" x14ac:dyDescent="0.25">
      <c r="A51" s="35">
        <v>45811</v>
      </c>
      <c r="B51" s="36">
        <v>7.8673000000000002</v>
      </c>
      <c r="C51" t="s">
        <v>113</v>
      </c>
      <c r="D51" t="s">
        <v>6</v>
      </c>
      <c r="E51" t="s">
        <v>126</v>
      </c>
      <c r="F51" t="s">
        <v>133</v>
      </c>
      <c r="G51">
        <v>24546</v>
      </c>
      <c r="H51">
        <v>2140110606</v>
      </c>
      <c r="I51" t="s">
        <v>141</v>
      </c>
      <c r="J51" s="37">
        <v>13725</v>
      </c>
      <c r="K51" s="37">
        <v>10</v>
      </c>
      <c r="M51">
        <v>4794</v>
      </c>
      <c r="N51">
        <v>118.794015</v>
      </c>
      <c r="O51">
        <v>53</v>
      </c>
      <c r="P51">
        <v>56</v>
      </c>
      <c r="Q51">
        <v>82</v>
      </c>
      <c r="T51">
        <v>7</v>
      </c>
      <c r="V51" t="s">
        <v>120</v>
      </c>
      <c r="Y51" s="38">
        <v>0.29166666666666669</v>
      </c>
      <c r="Z51" s="38">
        <v>0.61944444444444446</v>
      </c>
      <c r="AA51" t="s">
        <v>117</v>
      </c>
      <c r="AC51" t="s">
        <v>121</v>
      </c>
      <c r="AD51">
        <v>1.5298</v>
      </c>
      <c r="AF51">
        <v>0.32779999999999998</v>
      </c>
      <c r="AG51">
        <v>1.3111999999999999</v>
      </c>
      <c r="AQ51">
        <v>0.10929999999999999</v>
      </c>
      <c r="BK51">
        <f>0</f>
        <v>0</v>
      </c>
      <c r="BL51">
        <f t="shared" si="0"/>
        <v>3.2781000000000002</v>
      </c>
      <c r="BM51">
        <f t="shared" si="1"/>
        <v>0</v>
      </c>
      <c r="BN51">
        <f t="shared" si="2"/>
        <v>0</v>
      </c>
      <c r="BO51">
        <f t="shared" si="3"/>
        <v>1</v>
      </c>
      <c r="BP51" s="37">
        <f>IF($F51="","",IFERROR(INDEX(Familias!$C$5:$C$300,MATCH($F51,Familias!$A$5:$A$300,0)),""))</f>
        <v>2320</v>
      </c>
      <c r="BQ51" s="37">
        <f t="shared" si="4"/>
        <v>13735</v>
      </c>
      <c r="BR51" s="36">
        <f t="shared" si="5"/>
        <v>7.8673000000000002</v>
      </c>
      <c r="BS51" s="36">
        <f t="shared" si="6"/>
        <v>3.2780999999999998</v>
      </c>
      <c r="BT51" s="36">
        <f t="shared" si="7"/>
        <v>4.5891999999999999</v>
      </c>
      <c r="BU51" s="36">
        <f t="shared" si="8"/>
        <v>5.9203000000000001</v>
      </c>
      <c r="BV51" s="39">
        <f t="shared" si="9"/>
        <v>1.2900505534733724</v>
      </c>
      <c r="BW51" s="39">
        <f t="shared" si="10"/>
        <v>0.99927193301783768</v>
      </c>
      <c r="BX51" s="40">
        <f t="shared" si="11"/>
        <v>2.2736754276178557E-2</v>
      </c>
      <c r="BY51" s="40">
        <f t="shared" si="12"/>
        <v>1.7104714226115977E-2</v>
      </c>
      <c r="BZ51" t="str">
        <f t="shared" si="13"/>
        <v>Revisar rendimiento</v>
      </c>
      <c r="CA51">
        <f t="shared" si="14"/>
        <v>1</v>
      </c>
    </row>
    <row r="52" spans="1:80" x14ac:dyDescent="0.25">
      <c r="A52" s="35">
        <v>45811</v>
      </c>
      <c r="B52" s="36">
        <v>4.1326999999999998</v>
      </c>
      <c r="C52" t="s">
        <v>113</v>
      </c>
      <c r="D52" t="s">
        <v>6</v>
      </c>
      <c r="E52" t="s">
        <v>126</v>
      </c>
      <c r="F52" t="s">
        <v>133</v>
      </c>
      <c r="G52">
        <v>24546</v>
      </c>
      <c r="H52">
        <v>2140110637</v>
      </c>
      <c r="I52" t="s">
        <v>142</v>
      </c>
      <c r="J52" s="37">
        <v>7200</v>
      </c>
      <c r="K52" s="37">
        <v>15</v>
      </c>
      <c r="M52">
        <v>2664</v>
      </c>
      <c r="N52">
        <v>62.402535</v>
      </c>
      <c r="O52">
        <v>100</v>
      </c>
      <c r="P52">
        <v>32</v>
      </c>
      <c r="Q52">
        <v>30</v>
      </c>
      <c r="R52">
        <v>15</v>
      </c>
      <c r="T52">
        <v>0</v>
      </c>
      <c r="V52" t="s">
        <v>120</v>
      </c>
      <c r="Y52" s="38">
        <v>0.61944444444444446</v>
      </c>
      <c r="Z52" s="38">
        <v>0.79166666666666663</v>
      </c>
      <c r="AA52" t="s">
        <v>117</v>
      </c>
      <c r="AC52" t="s">
        <v>121</v>
      </c>
      <c r="AD52">
        <v>0.80359999999999998</v>
      </c>
      <c r="AF52">
        <v>0.17219999999999999</v>
      </c>
      <c r="AG52">
        <v>0.68879999999999997</v>
      </c>
      <c r="AQ52">
        <v>5.74E-2</v>
      </c>
      <c r="BK52">
        <f>0</f>
        <v>0</v>
      </c>
      <c r="BL52">
        <f t="shared" si="0"/>
        <v>1.722</v>
      </c>
      <c r="BM52">
        <f t="shared" si="1"/>
        <v>0</v>
      </c>
      <c r="BN52">
        <f t="shared" si="2"/>
        <v>0</v>
      </c>
      <c r="BO52">
        <f t="shared" si="3"/>
        <v>1</v>
      </c>
      <c r="BP52" s="37">
        <f>IF($F52="","",IFERROR(INDEX(Familias!$C$5:$C$300,MATCH($F52,Familias!$A$5:$A$300,0)),""))</f>
        <v>2320</v>
      </c>
      <c r="BQ52" s="37">
        <f t="shared" si="4"/>
        <v>7215</v>
      </c>
      <c r="BR52" s="36">
        <f t="shared" si="5"/>
        <v>4.1326999999999998</v>
      </c>
      <c r="BS52" s="36">
        <f t="shared" si="6"/>
        <v>1.722</v>
      </c>
      <c r="BT52" s="36">
        <f t="shared" si="7"/>
        <v>2.4106999999999998</v>
      </c>
      <c r="BU52" s="36">
        <f t="shared" si="8"/>
        <v>3.1099000000000001</v>
      </c>
      <c r="BV52" s="39">
        <f t="shared" si="9"/>
        <v>1.2900402372754802</v>
      </c>
      <c r="BW52" s="39">
        <f t="shared" si="10"/>
        <v>0.99792099792099798</v>
      </c>
      <c r="BX52" s="40">
        <f t="shared" si="11"/>
        <v>5.5180180180180179E-2</v>
      </c>
      <c r="BY52" s="40">
        <f t="shared" si="12"/>
        <v>1.1261261261261261E-2</v>
      </c>
      <c r="BZ52" t="str">
        <f t="shared" si="13"/>
        <v>Revisar rendimiento</v>
      </c>
      <c r="CA52">
        <f t="shared" si="14"/>
        <v>1</v>
      </c>
    </row>
    <row r="53" spans="1:80" x14ac:dyDescent="0.25">
      <c r="A53" s="35">
        <v>45811</v>
      </c>
      <c r="B53" s="36">
        <v>12</v>
      </c>
      <c r="C53" t="s">
        <v>119</v>
      </c>
      <c r="D53" t="s">
        <v>6</v>
      </c>
      <c r="E53" t="s">
        <v>126</v>
      </c>
      <c r="F53" t="s">
        <v>133</v>
      </c>
      <c r="G53">
        <v>24546</v>
      </c>
      <c r="H53">
        <v>2140110637</v>
      </c>
      <c r="I53" t="s">
        <v>142</v>
      </c>
      <c r="J53" s="37">
        <v>22900</v>
      </c>
      <c r="K53" s="37"/>
      <c r="M53">
        <v>8030</v>
      </c>
      <c r="N53">
        <v>198.06209999999999</v>
      </c>
      <c r="O53">
        <v>110</v>
      </c>
      <c r="P53">
        <v>72</v>
      </c>
      <c r="Q53">
        <v>170</v>
      </c>
      <c r="T53">
        <v>12</v>
      </c>
      <c r="V53" t="s">
        <v>116</v>
      </c>
      <c r="Y53" s="38">
        <v>0.79166666666666663</v>
      </c>
      <c r="Z53" s="38">
        <v>0.29166666666666669</v>
      </c>
      <c r="AA53" t="s">
        <v>117</v>
      </c>
      <c r="AC53" t="s">
        <v>118</v>
      </c>
      <c r="AE53">
        <v>1</v>
      </c>
      <c r="AQ53">
        <v>0.25</v>
      </c>
      <c r="AR53">
        <v>0.75</v>
      </c>
      <c r="BI53">
        <v>1</v>
      </c>
      <c r="BK53">
        <f>0</f>
        <v>0</v>
      </c>
      <c r="BL53">
        <f t="shared" si="0"/>
        <v>3</v>
      </c>
      <c r="BM53">
        <f t="shared" si="1"/>
        <v>0</v>
      </c>
      <c r="BN53">
        <f t="shared" si="2"/>
        <v>0</v>
      </c>
      <c r="BO53">
        <f t="shared" si="3"/>
        <v>1</v>
      </c>
      <c r="BP53" s="37">
        <f>IF($F53="","",IFERROR(INDEX(Familias!$C$5:$C$300,MATCH($F53,Familias!$A$5:$A$300,0)),""))</f>
        <v>2320</v>
      </c>
      <c r="BQ53" s="37">
        <f t="shared" si="4"/>
        <v>22900</v>
      </c>
      <c r="BR53" s="36">
        <f t="shared" si="5"/>
        <v>12</v>
      </c>
      <c r="BS53" s="36">
        <f t="shared" si="6"/>
        <v>3</v>
      </c>
      <c r="BT53" s="36">
        <f t="shared" si="7"/>
        <v>9</v>
      </c>
      <c r="BU53" s="36">
        <f t="shared" si="8"/>
        <v>9.8706999999999994</v>
      </c>
      <c r="BV53" s="39">
        <f t="shared" si="9"/>
        <v>1.0967444444444443</v>
      </c>
      <c r="BW53" s="39">
        <f t="shared" si="10"/>
        <v>1</v>
      </c>
      <c r="BX53" s="40">
        <f t="shared" si="11"/>
        <v>2.2665006226650061E-2</v>
      </c>
      <c r="BY53" s="40">
        <f t="shared" si="12"/>
        <v>2.1170610211706103E-2</v>
      </c>
      <c r="BZ53" t="str">
        <f t="shared" si="13"/>
        <v>OK</v>
      </c>
      <c r="CA53">
        <f t="shared" si="14"/>
        <v>1</v>
      </c>
    </row>
    <row r="54" spans="1:80" x14ac:dyDescent="0.25">
      <c r="A54" s="35">
        <v>45812</v>
      </c>
      <c r="B54" s="36">
        <v>12</v>
      </c>
      <c r="C54" t="s">
        <v>113</v>
      </c>
      <c r="D54" t="s">
        <v>6</v>
      </c>
      <c r="E54" t="s">
        <v>126</v>
      </c>
      <c r="F54" t="s">
        <v>133</v>
      </c>
      <c r="G54">
        <v>24546</v>
      </c>
      <c r="H54">
        <v>2140110694</v>
      </c>
      <c r="I54" t="s">
        <v>143</v>
      </c>
      <c r="J54" s="37">
        <v>20075</v>
      </c>
      <c r="K54" s="37">
        <v>15</v>
      </c>
      <c r="M54">
        <v>6987</v>
      </c>
      <c r="N54">
        <v>173.75841</v>
      </c>
      <c r="O54">
        <v>100</v>
      </c>
      <c r="P54">
        <v>80</v>
      </c>
      <c r="Q54">
        <v>99</v>
      </c>
      <c r="R54">
        <v>27</v>
      </c>
      <c r="T54">
        <v>10</v>
      </c>
      <c r="V54" t="s">
        <v>120</v>
      </c>
      <c r="Y54" s="38">
        <v>0.29166666666666669</v>
      </c>
      <c r="Z54" s="38">
        <v>0.79166666666666663</v>
      </c>
      <c r="AA54" t="s">
        <v>117</v>
      </c>
      <c r="AC54" t="s">
        <v>118</v>
      </c>
      <c r="AF54">
        <v>0.5</v>
      </c>
      <c r="AG54">
        <v>0.5</v>
      </c>
      <c r="AM54">
        <v>2.8332999999999999</v>
      </c>
      <c r="AO54">
        <v>0.5</v>
      </c>
      <c r="AQ54">
        <v>0.66669999999999996</v>
      </c>
      <c r="BK54">
        <f>0</f>
        <v>0</v>
      </c>
      <c r="BL54">
        <f t="shared" si="0"/>
        <v>4.9999999999999991</v>
      </c>
      <c r="BM54">
        <f t="shared" si="1"/>
        <v>0</v>
      </c>
      <c r="BN54">
        <f t="shared" si="2"/>
        <v>0</v>
      </c>
      <c r="BO54">
        <f t="shared" si="3"/>
        <v>1</v>
      </c>
      <c r="BP54" s="37">
        <f>IF($F54="","",IFERROR(INDEX(Familias!$C$5:$C$300,MATCH($F54,Familias!$A$5:$A$300,0)),""))</f>
        <v>2320</v>
      </c>
      <c r="BQ54" s="37">
        <f t="shared" si="4"/>
        <v>20090</v>
      </c>
      <c r="BR54" s="36">
        <f t="shared" si="5"/>
        <v>12</v>
      </c>
      <c r="BS54" s="36">
        <f t="shared" si="6"/>
        <v>5</v>
      </c>
      <c r="BT54" s="36">
        <f t="shared" si="7"/>
        <v>7</v>
      </c>
      <c r="BU54" s="36">
        <f t="shared" si="8"/>
        <v>8.6594999999999995</v>
      </c>
      <c r="BV54" s="39">
        <f t="shared" si="9"/>
        <v>1.2370714285714286</v>
      </c>
      <c r="BW54" s="39">
        <f t="shared" si="10"/>
        <v>0.99925335988053754</v>
      </c>
      <c r="BX54" s="40">
        <f t="shared" si="11"/>
        <v>2.9626449119793903E-2</v>
      </c>
      <c r="BY54" s="40">
        <f t="shared" si="12"/>
        <v>1.4169171318162302E-2</v>
      </c>
      <c r="BZ54" t="str">
        <f t="shared" si="13"/>
        <v>Revisar rendimiento</v>
      </c>
      <c r="CA54">
        <f t="shared" si="14"/>
        <v>1</v>
      </c>
    </row>
    <row r="55" spans="1:80" x14ac:dyDescent="0.25">
      <c r="A55" s="35">
        <v>45812</v>
      </c>
      <c r="B55" s="36">
        <v>12</v>
      </c>
      <c r="C55" t="s">
        <v>119</v>
      </c>
      <c r="D55" t="s">
        <v>6</v>
      </c>
      <c r="E55" t="s">
        <v>114</v>
      </c>
      <c r="F55" t="s">
        <v>114</v>
      </c>
      <c r="G55">
        <v>24573</v>
      </c>
      <c r="H55">
        <v>2140110699</v>
      </c>
      <c r="I55" t="s">
        <v>115</v>
      </c>
      <c r="J55" s="37">
        <v>5850</v>
      </c>
      <c r="K55" s="37"/>
      <c r="M55">
        <v>1605</v>
      </c>
      <c r="N55">
        <v>47.542949999999998</v>
      </c>
      <c r="O55">
        <v>60</v>
      </c>
      <c r="P55">
        <v>127</v>
      </c>
      <c r="Q55">
        <v>100</v>
      </c>
      <c r="T55">
        <v>3</v>
      </c>
      <c r="V55" t="s">
        <v>116</v>
      </c>
      <c r="Y55" s="38">
        <v>0.79166666666666663</v>
      </c>
      <c r="Z55" s="38">
        <v>0.29166666666666669</v>
      </c>
      <c r="AA55" t="s">
        <v>117</v>
      </c>
      <c r="AC55" t="s">
        <v>118</v>
      </c>
      <c r="AE55">
        <v>4.5833000000000004</v>
      </c>
      <c r="AQ55">
        <v>0.25</v>
      </c>
      <c r="AR55">
        <v>0.75</v>
      </c>
      <c r="BK55">
        <f>0</f>
        <v>0</v>
      </c>
      <c r="BL55">
        <f t="shared" si="0"/>
        <v>5.5833000000000004</v>
      </c>
      <c r="BM55">
        <f t="shared" si="1"/>
        <v>0</v>
      </c>
      <c r="BN55">
        <f t="shared" si="2"/>
        <v>0</v>
      </c>
      <c r="BO55">
        <f t="shared" si="3"/>
        <v>1</v>
      </c>
      <c r="BP55" s="37">
        <f>IF($F55="","",IFERROR(INDEX(Familias!$C$5:$C$300,MATCH($F55,Familias!$A$5:$A$300,0)),""))</f>
        <v>2990</v>
      </c>
      <c r="BQ55" s="37">
        <f t="shared" si="4"/>
        <v>5850</v>
      </c>
      <c r="BR55" s="36">
        <f t="shared" si="5"/>
        <v>12</v>
      </c>
      <c r="BS55" s="36">
        <f t="shared" si="6"/>
        <v>5.5833000000000004</v>
      </c>
      <c r="BT55" s="36">
        <f t="shared" si="7"/>
        <v>6.4166999999999996</v>
      </c>
      <c r="BU55" s="36">
        <f t="shared" si="8"/>
        <v>1.9564999999999999</v>
      </c>
      <c r="BV55" s="39">
        <f t="shared" si="9"/>
        <v>0.30490750697398977</v>
      </c>
      <c r="BW55" s="39">
        <f t="shared" si="10"/>
        <v>1</v>
      </c>
      <c r="BX55" s="40">
        <f t="shared" si="11"/>
        <v>0.11651090342679128</v>
      </c>
      <c r="BY55" s="40">
        <f t="shared" si="12"/>
        <v>6.2305295950155763E-2</v>
      </c>
      <c r="BZ55" t="str">
        <f t="shared" si="13"/>
        <v>OK</v>
      </c>
      <c r="CA55">
        <f t="shared" si="14"/>
        <v>1</v>
      </c>
    </row>
    <row r="56" spans="1:80" x14ac:dyDescent="0.25">
      <c r="A56" s="35">
        <v>45813</v>
      </c>
      <c r="B56" s="36">
        <v>12</v>
      </c>
      <c r="C56" t="s">
        <v>113</v>
      </c>
      <c r="D56" t="s">
        <v>6</v>
      </c>
      <c r="E56" t="s">
        <v>114</v>
      </c>
      <c r="F56" t="s">
        <v>114</v>
      </c>
      <c r="G56">
        <v>24573</v>
      </c>
      <c r="H56">
        <v>2140110699</v>
      </c>
      <c r="I56" t="s">
        <v>115</v>
      </c>
      <c r="J56" s="37">
        <v>27500</v>
      </c>
      <c r="K56" s="37">
        <v>18</v>
      </c>
      <c r="M56">
        <v>6619</v>
      </c>
      <c r="N56">
        <v>223.63878600000001</v>
      </c>
      <c r="O56">
        <v>100</v>
      </c>
      <c r="P56">
        <v>54</v>
      </c>
      <c r="Q56">
        <v>126</v>
      </c>
      <c r="T56">
        <v>9</v>
      </c>
      <c r="V56" t="s">
        <v>120</v>
      </c>
      <c r="Y56" s="38">
        <v>0.29166666666666669</v>
      </c>
      <c r="Z56" s="38">
        <v>0.79166666666666663</v>
      </c>
      <c r="AA56" t="s">
        <v>117</v>
      </c>
      <c r="AC56" t="s">
        <v>118</v>
      </c>
      <c r="AK56">
        <v>0.5</v>
      </c>
      <c r="AL56">
        <v>0.5</v>
      </c>
      <c r="AQ56">
        <v>0.16669999999999999</v>
      </c>
      <c r="BI56">
        <v>0.5</v>
      </c>
      <c r="BK56">
        <f>0</f>
        <v>0</v>
      </c>
      <c r="BL56">
        <f t="shared" si="0"/>
        <v>1.6667000000000001</v>
      </c>
      <c r="BM56">
        <f t="shared" si="1"/>
        <v>0</v>
      </c>
      <c r="BN56">
        <f t="shared" si="2"/>
        <v>0</v>
      </c>
      <c r="BO56">
        <f t="shared" si="3"/>
        <v>1</v>
      </c>
      <c r="BP56" s="37">
        <f>IF($F56="","",IFERROR(INDEX(Familias!$C$5:$C$300,MATCH($F56,Familias!$A$5:$A$300,0)),""))</f>
        <v>2990</v>
      </c>
      <c r="BQ56" s="37">
        <f t="shared" si="4"/>
        <v>27518</v>
      </c>
      <c r="BR56" s="36">
        <f t="shared" si="5"/>
        <v>12</v>
      </c>
      <c r="BS56" s="36">
        <f t="shared" si="6"/>
        <v>1.6667000000000001</v>
      </c>
      <c r="BT56" s="36">
        <f t="shared" si="7"/>
        <v>10.333299999999999</v>
      </c>
      <c r="BU56" s="36">
        <f t="shared" si="8"/>
        <v>9.2033000000000005</v>
      </c>
      <c r="BV56" s="39">
        <f t="shared" si="9"/>
        <v>0.89064480853164052</v>
      </c>
      <c r="BW56" s="39">
        <f t="shared" si="10"/>
        <v>0.99934588269496327</v>
      </c>
      <c r="BX56" s="40">
        <f t="shared" si="11"/>
        <v>2.3266354434204564E-2</v>
      </c>
      <c r="BY56" s="40">
        <f t="shared" si="12"/>
        <v>1.9036108173440095E-2</v>
      </c>
      <c r="BZ56" t="str">
        <f t="shared" si="13"/>
        <v>OK</v>
      </c>
      <c r="CA56">
        <f t="shared" si="14"/>
        <v>1</v>
      </c>
    </row>
    <row r="57" spans="1:80" x14ac:dyDescent="0.25">
      <c r="A57" s="35">
        <v>45813</v>
      </c>
      <c r="B57" s="36">
        <v>12</v>
      </c>
      <c r="C57" t="s">
        <v>119</v>
      </c>
      <c r="D57" t="s">
        <v>6</v>
      </c>
      <c r="E57" t="s">
        <v>114</v>
      </c>
      <c r="F57" t="s">
        <v>114</v>
      </c>
      <c r="G57">
        <v>24573</v>
      </c>
      <c r="H57">
        <v>2140110699</v>
      </c>
      <c r="I57" t="s">
        <v>115</v>
      </c>
      <c r="J57" s="37">
        <v>29700</v>
      </c>
      <c r="K57" s="37">
        <v>15</v>
      </c>
      <c r="M57">
        <v>7226</v>
      </c>
      <c r="N57">
        <v>241.49380500000001</v>
      </c>
      <c r="O57">
        <v>220</v>
      </c>
      <c r="P57">
        <v>48</v>
      </c>
      <c r="Q57">
        <v>93</v>
      </c>
      <c r="T57">
        <v>11</v>
      </c>
      <c r="V57" t="s">
        <v>116</v>
      </c>
      <c r="Y57" s="38">
        <v>0.79166666666666663</v>
      </c>
      <c r="Z57" s="38">
        <v>0.29166666666666669</v>
      </c>
      <c r="AA57" t="s">
        <v>117</v>
      </c>
      <c r="AC57" t="s">
        <v>118</v>
      </c>
      <c r="AQ57">
        <v>0.25</v>
      </c>
      <c r="AR57">
        <v>0.75</v>
      </c>
      <c r="BI57">
        <v>0.33329999999999999</v>
      </c>
      <c r="BK57">
        <f>0</f>
        <v>0</v>
      </c>
      <c r="BL57">
        <f t="shared" si="0"/>
        <v>1.3332999999999999</v>
      </c>
      <c r="BM57">
        <f t="shared" si="1"/>
        <v>0</v>
      </c>
      <c r="BN57">
        <f t="shared" si="2"/>
        <v>0</v>
      </c>
      <c r="BO57">
        <f t="shared" si="3"/>
        <v>1</v>
      </c>
      <c r="BP57" s="37">
        <f>IF($F57="","",IFERROR(INDEX(Familias!$C$5:$C$300,MATCH($F57,Familias!$A$5:$A$300,0)),""))</f>
        <v>2990</v>
      </c>
      <c r="BQ57" s="37">
        <f t="shared" si="4"/>
        <v>29715</v>
      </c>
      <c r="BR57" s="36">
        <f t="shared" si="5"/>
        <v>12</v>
      </c>
      <c r="BS57" s="36">
        <f t="shared" si="6"/>
        <v>1.3332999999999999</v>
      </c>
      <c r="BT57" s="36">
        <f t="shared" si="7"/>
        <v>10.666700000000001</v>
      </c>
      <c r="BU57" s="36">
        <f t="shared" si="8"/>
        <v>9.9381000000000004</v>
      </c>
      <c r="BV57" s="39">
        <f t="shared" si="9"/>
        <v>0.93169396345636424</v>
      </c>
      <c r="BW57" s="39">
        <f t="shared" si="10"/>
        <v>0.99949520444220086</v>
      </c>
      <c r="BX57" s="40">
        <f t="shared" si="11"/>
        <v>3.7088292277885411E-2</v>
      </c>
      <c r="BY57" s="40">
        <f t="shared" si="12"/>
        <v>1.2870190977027402E-2</v>
      </c>
      <c r="BZ57" t="str">
        <f t="shared" si="13"/>
        <v>OK</v>
      </c>
      <c r="CA57">
        <f t="shared" si="14"/>
        <v>1</v>
      </c>
    </row>
    <row r="58" spans="1:80" x14ac:dyDescent="0.25">
      <c r="A58" s="35">
        <v>45814</v>
      </c>
      <c r="B58" s="36">
        <v>12</v>
      </c>
      <c r="C58" t="s">
        <v>113</v>
      </c>
      <c r="D58" t="s">
        <v>6</v>
      </c>
      <c r="E58" t="s">
        <v>114</v>
      </c>
      <c r="F58" t="s">
        <v>114</v>
      </c>
      <c r="G58">
        <v>24573</v>
      </c>
      <c r="H58">
        <v>2140110699</v>
      </c>
      <c r="I58" t="s">
        <v>115</v>
      </c>
      <c r="J58" s="37">
        <v>32750</v>
      </c>
      <c r="K58" s="37">
        <v>15</v>
      </c>
      <c r="M58">
        <v>7752</v>
      </c>
      <c r="N58">
        <v>266.28115500000001</v>
      </c>
      <c r="O58">
        <v>100</v>
      </c>
      <c r="P58">
        <v>64</v>
      </c>
      <c r="Q58">
        <v>65</v>
      </c>
      <c r="V58" t="s">
        <v>120</v>
      </c>
      <c r="Y58" s="38">
        <v>0.29166666666666669</v>
      </c>
      <c r="Z58" s="38">
        <v>0.79166666666666663</v>
      </c>
      <c r="AA58" t="s">
        <v>117</v>
      </c>
      <c r="AC58" t="s">
        <v>118</v>
      </c>
      <c r="AQ58">
        <v>0.16669999999999999</v>
      </c>
      <c r="BI58">
        <v>0.5</v>
      </c>
      <c r="BK58">
        <f>0</f>
        <v>0</v>
      </c>
      <c r="BL58">
        <f t="shared" si="0"/>
        <v>0.66669999999999996</v>
      </c>
      <c r="BM58">
        <f t="shared" si="1"/>
        <v>0</v>
      </c>
      <c r="BN58">
        <f t="shared" si="2"/>
        <v>0</v>
      </c>
      <c r="BO58">
        <f t="shared" si="3"/>
        <v>1</v>
      </c>
      <c r="BP58" s="37">
        <f>IF($F58="","",IFERROR(INDEX(Familias!$C$5:$C$300,MATCH($F58,Familias!$A$5:$A$300,0)),""))</f>
        <v>2990</v>
      </c>
      <c r="BQ58" s="37">
        <f t="shared" si="4"/>
        <v>32765</v>
      </c>
      <c r="BR58" s="36">
        <f t="shared" si="5"/>
        <v>12</v>
      </c>
      <c r="BS58" s="36">
        <f t="shared" si="6"/>
        <v>0.66669999999999996</v>
      </c>
      <c r="BT58" s="36">
        <f t="shared" si="7"/>
        <v>11.333299999999999</v>
      </c>
      <c r="BU58" s="36">
        <f t="shared" si="8"/>
        <v>10.9582</v>
      </c>
      <c r="BV58" s="39">
        <f t="shared" si="9"/>
        <v>0.96690284383189362</v>
      </c>
      <c r="BW58" s="39">
        <f t="shared" si="10"/>
        <v>0.99954219441477188</v>
      </c>
      <c r="BX58" s="40">
        <f t="shared" si="11"/>
        <v>2.1155830753353973E-2</v>
      </c>
      <c r="BY58" s="40">
        <f t="shared" si="12"/>
        <v>8.384932920536636E-3</v>
      </c>
      <c r="BZ58" t="str">
        <f t="shared" si="13"/>
        <v>OK</v>
      </c>
      <c r="CA58">
        <f t="shared" si="14"/>
        <v>1</v>
      </c>
    </row>
    <row r="59" spans="1:80" x14ac:dyDescent="0.25">
      <c r="A59" s="35">
        <v>45814</v>
      </c>
      <c r="B59" s="36">
        <v>12</v>
      </c>
      <c r="C59" t="s">
        <v>119</v>
      </c>
      <c r="D59" t="s">
        <v>6</v>
      </c>
      <c r="E59" t="s">
        <v>114</v>
      </c>
      <c r="F59" t="s">
        <v>114</v>
      </c>
      <c r="G59">
        <v>24573</v>
      </c>
      <c r="H59">
        <v>2140110699</v>
      </c>
      <c r="I59" t="s">
        <v>115</v>
      </c>
      <c r="J59" s="37">
        <v>24100</v>
      </c>
      <c r="K59" s="37">
        <v>6</v>
      </c>
      <c r="M59">
        <v>5944</v>
      </c>
      <c r="N59">
        <v>195.90946199999999</v>
      </c>
      <c r="O59">
        <v>70</v>
      </c>
      <c r="P59">
        <v>26</v>
      </c>
      <c r="Q59">
        <v>359</v>
      </c>
      <c r="T59">
        <v>9</v>
      </c>
      <c r="V59" t="s">
        <v>116</v>
      </c>
      <c r="Y59" s="38">
        <v>0.79166666666666663</v>
      </c>
      <c r="Z59" s="38">
        <v>0.29166666666666669</v>
      </c>
      <c r="AA59" t="s">
        <v>117</v>
      </c>
      <c r="AC59" t="s">
        <v>118</v>
      </c>
      <c r="AJ59">
        <v>0.41670000000000001</v>
      </c>
      <c r="AR59">
        <v>0.75</v>
      </c>
      <c r="BC59">
        <v>2</v>
      </c>
      <c r="BI59">
        <v>0.5</v>
      </c>
      <c r="BK59">
        <f>0</f>
        <v>0</v>
      </c>
      <c r="BL59">
        <f t="shared" si="0"/>
        <v>3.6667000000000001</v>
      </c>
      <c r="BM59">
        <f t="shared" si="1"/>
        <v>0</v>
      </c>
      <c r="BN59">
        <f t="shared" si="2"/>
        <v>0</v>
      </c>
      <c r="BO59">
        <f t="shared" si="3"/>
        <v>1</v>
      </c>
      <c r="BP59" s="37">
        <f>IF($F59="","",IFERROR(INDEX(Familias!$C$5:$C$300,MATCH($F59,Familias!$A$5:$A$300,0)),""))</f>
        <v>2990</v>
      </c>
      <c r="BQ59" s="37">
        <f t="shared" si="4"/>
        <v>24106</v>
      </c>
      <c r="BR59" s="36">
        <f t="shared" si="5"/>
        <v>12</v>
      </c>
      <c r="BS59" s="36">
        <f t="shared" si="6"/>
        <v>3.6667000000000001</v>
      </c>
      <c r="BT59" s="36">
        <f t="shared" si="7"/>
        <v>8.3332999999999995</v>
      </c>
      <c r="BU59" s="36">
        <f t="shared" si="8"/>
        <v>8.0622000000000007</v>
      </c>
      <c r="BV59" s="39">
        <f t="shared" si="9"/>
        <v>0.96746786987147959</v>
      </c>
      <c r="BW59" s="39">
        <f t="shared" si="10"/>
        <v>0.99975109931137474</v>
      </c>
      <c r="BX59" s="40">
        <f t="shared" si="11"/>
        <v>1.6150740242261104E-2</v>
      </c>
      <c r="BY59" s="40">
        <f t="shared" si="12"/>
        <v>6.0397039030955585E-2</v>
      </c>
      <c r="BZ59" t="str">
        <f t="shared" si="13"/>
        <v>OK</v>
      </c>
      <c r="CA59">
        <f t="shared" si="14"/>
        <v>1</v>
      </c>
    </row>
    <row r="60" spans="1:80" x14ac:dyDescent="0.25">
      <c r="A60" s="35">
        <v>45817</v>
      </c>
      <c r="B60" s="36">
        <v>12</v>
      </c>
      <c r="C60" t="s">
        <v>113</v>
      </c>
      <c r="D60" t="s">
        <v>6</v>
      </c>
      <c r="E60" t="s">
        <v>114</v>
      </c>
      <c r="F60" t="s">
        <v>114</v>
      </c>
      <c r="G60">
        <v>24573</v>
      </c>
      <c r="H60">
        <v>2140110699</v>
      </c>
      <c r="I60" t="s">
        <v>115</v>
      </c>
      <c r="J60" s="37">
        <v>30550</v>
      </c>
      <c r="K60" s="37">
        <v>15</v>
      </c>
      <c r="M60">
        <v>7465</v>
      </c>
      <c r="N60">
        <v>248.40175500000001</v>
      </c>
      <c r="O60">
        <v>220</v>
      </c>
      <c r="P60">
        <v>56</v>
      </c>
      <c r="Q60">
        <v>175</v>
      </c>
      <c r="T60">
        <v>11</v>
      </c>
      <c r="V60" t="s">
        <v>116</v>
      </c>
      <c r="Y60" s="38">
        <v>0.29166666666666669</v>
      </c>
      <c r="Z60" s="38">
        <v>0.79166666666666663</v>
      </c>
      <c r="AA60" t="s">
        <v>117</v>
      </c>
      <c r="AC60" t="s">
        <v>118</v>
      </c>
      <c r="AD60">
        <v>1</v>
      </c>
      <c r="AQ60">
        <v>0.25</v>
      </c>
      <c r="BJ60">
        <v>0.25</v>
      </c>
      <c r="BK60">
        <f>0</f>
        <v>0</v>
      </c>
      <c r="BL60">
        <f t="shared" si="0"/>
        <v>1.5</v>
      </c>
      <c r="BM60">
        <f t="shared" si="1"/>
        <v>0</v>
      </c>
      <c r="BN60">
        <f t="shared" si="2"/>
        <v>0</v>
      </c>
      <c r="BO60">
        <f t="shared" si="3"/>
        <v>1</v>
      </c>
      <c r="BP60" s="37">
        <f>IF($F60="","",IFERROR(INDEX(Familias!$C$5:$C$300,MATCH($F60,Familias!$A$5:$A$300,0)),""))</f>
        <v>2990</v>
      </c>
      <c r="BQ60" s="37">
        <f t="shared" si="4"/>
        <v>30565</v>
      </c>
      <c r="BR60" s="36">
        <f t="shared" si="5"/>
        <v>12</v>
      </c>
      <c r="BS60" s="36">
        <f t="shared" si="6"/>
        <v>1.5</v>
      </c>
      <c r="BT60" s="36">
        <f t="shared" si="7"/>
        <v>10.5</v>
      </c>
      <c r="BU60" s="36">
        <f t="shared" si="8"/>
        <v>10.2224</v>
      </c>
      <c r="BV60" s="39">
        <f t="shared" si="9"/>
        <v>0.97356190476190485</v>
      </c>
      <c r="BW60" s="39">
        <f t="shared" si="10"/>
        <v>0.99950924259774254</v>
      </c>
      <c r="BX60" s="40">
        <f t="shared" si="11"/>
        <v>3.6972538513060954E-2</v>
      </c>
      <c r="BY60" s="40">
        <f t="shared" si="12"/>
        <v>2.3442732752846619E-2</v>
      </c>
      <c r="BZ60" t="str">
        <f t="shared" si="13"/>
        <v>OK</v>
      </c>
      <c r="CA60">
        <f t="shared" si="14"/>
        <v>1</v>
      </c>
    </row>
    <row r="61" spans="1:80" x14ac:dyDescent="0.25">
      <c r="A61" s="35">
        <v>45817</v>
      </c>
      <c r="B61" s="36">
        <v>12</v>
      </c>
      <c r="C61" t="s">
        <v>119</v>
      </c>
      <c r="D61" t="s">
        <v>6</v>
      </c>
      <c r="E61" t="s">
        <v>114</v>
      </c>
      <c r="F61" t="s">
        <v>114</v>
      </c>
      <c r="G61">
        <v>24573</v>
      </c>
      <c r="H61">
        <v>2140110699</v>
      </c>
      <c r="I61" t="s">
        <v>115</v>
      </c>
      <c r="J61" s="37">
        <v>31350</v>
      </c>
      <c r="K61" s="37">
        <v>15</v>
      </c>
      <c r="M61">
        <v>7511</v>
      </c>
      <c r="N61">
        <v>254.903355</v>
      </c>
      <c r="O61">
        <v>170</v>
      </c>
      <c r="P61">
        <v>66</v>
      </c>
      <c r="Q61">
        <v>105</v>
      </c>
      <c r="V61" t="s">
        <v>120</v>
      </c>
      <c r="Y61" s="38">
        <v>0.79166666666666663</v>
      </c>
      <c r="Z61" s="38">
        <v>0.29166666666666669</v>
      </c>
      <c r="AA61" t="s">
        <v>117</v>
      </c>
      <c r="AC61" t="s">
        <v>118</v>
      </c>
      <c r="AQ61">
        <v>0.25</v>
      </c>
      <c r="AR61">
        <v>0.75</v>
      </c>
      <c r="BI61">
        <v>0.5</v>
      </c>
      <c r="BK61">
        <f>0</f>
        <v>0</v>
      </c>
      <c r="BL61">
        <f t="shared" si="0"/>
        <v>1.5</v>
      </c>
      <c r="BM61">
        <f t="shared" si="1"/>
        <v>0</v>
      </c>
      <c r="BN61">
        <f t="shared" si="2"/>
        <v>0</v>
      </c>
      <c r="BO61">
        <f t="shared" si="3"/>
        <v>1</v>
      </c>
      <c r="BP61" s="37">
        <f>IF($F61="","",IFERROR(INDEX(Familias!$C$5:$C$300,MATCH($F61,Familias!$A$5:$A$300,0)),""))</f>
        <v>2990</v>
      </c>
      <c r="BQ61" s="37">
        <f t="shared" si="4"/>
        <v>31365</v>
      </c>
      <c r="BR61" s="36">
        <f t="shared" si="5"/>
        <v>12</v>
      </c>
      <c r="BS61" s="36">
        <f t="shared" si="6"/>
        <v>1.5</v>
      </c>
      <c r="BT61" s="36">
        <f t="shared" si="7"/>
        <v>10.5</v>
      </c>
      <c r="BU61" s="36">
        <f t="shared" si="8"/>
        <v>10.49</v>
      </c>
      <c r="BV61" s="39">
        <f t="shared" si="9"/>
        <v>0.99904761904761907</v>
      </c>
      <c r="BW61" s="39">
        <f t="shared" si="10"/>
        <v>0.99952175992348158</v>
      </c>
      <c r="BX61" s="40">
        <f t="shared" si="11"/>
        <v>3.1420583144721077E-2</v>
      </c>
      <c r="BY61" s="40">
        <f t="shared" si="12"/>
        <v>1.3979496738117428E-2</v>
      </c>
      <c r="BZ61" t="str">
        <f t="shared" si="13"/>
        <v>OK</v>
      </c>
      <c r="CA61">
        <f t="shared" si="14"/>
        <v>1</v>
      </c>
    </row>
    <row r="62" spans="1:80" x14ac:dyDescent="0.25">
      <c r="A62" s="35">
        <v>45818</v>
      </c>
      <c r="B62" s="36">
        <v>7.1634000000000002</v>
      </c>
      <c r="C62" t="s">
        <v>113</v>
      </c>
      <c r="D62" t="s">
        <v>6</v>
      </c>
      <c r="E62" t="s">
        <v>114</v>
      </c>
      <c r="F62" t="s">
        <v>114</v>
      </c>
      <c r="G62">
        <v>24573</v>
      </c>
      <c r="H62">
        <v>2140110699</v>
      </c>
      <c r="I62" t="s">
        <v>115</v>
      </c>
      <c r="J62" s="37">
        <v>18450</v>
      </c>
      <c r="K62" s="37">
        <v>12</v>
      </c>
      <c r="M62">
        <v>4331</v>
      </c>
      <c r="N62">
        <v>150.040674</v>
      </c>
      <c r="O62">
        <v>45</v>
      </c>
      <c r="P62">
        <v>24</v>
      </c>
      <c r="Q62">
        <v>113</v>
      </c>
      <c r="T62">
        <v>6</v>
      </c>
      <c r="V62" t="s">
        <v>116</v>
      </c>
      <c r="Y62" s="38">
        <v>0.29166666666666669</v>
      </c>
      <c r="Z62" s="38">
        <v>0.59027777777777779</v>
      </c>
      <c r="AA62" t="s">
        <v>117</v>
      </c>
      <c r="AC62" t="s">
        <v>121</v>
      </c>
      <c r="AE62">
        <v>0.4975</v>
      </c>
      <c r="AQ62">
        <v>0.1492</v>
      </c>
      <c r="BI62">
        <v>0.29849999999999999</v>
      </c>
      <c r="BK62">
        <f>0</f>
        <v>0</v>
      </c>
      <c r="BL62">
        <f t="shared" si="0"/>
        <v>0.94520000000000004</v>
      </c>
      <c r="BM62">
        <f t="shared" si="1"/>
        <v>0</v>
      </c>
      <c r="BN62">
        <f t="shared" si="2"/>
        <v>0</v>
      </c>
      <c r="BO62">
        <f t="shared" si="3"/>
        <v>1</v>
      </c>
      <c r="BP62" s="37">
        <f>IF($F62="","",IFERROR(INDEX(Familias!$C$5:$C$300,MATCH($F62,Familias!$A$5:$A$300,0)),""))</f>
        <v>2990</v>
      </c>
      <c r="BQ62" s="37">
        <f t="shared" si="4"/>
        <v>18462</v>
      </c>
      <c r="BR62" s="36">
        <f t="shared" si="5"/>
        <v>7.1634000000000002</v>
      </c>
      <c r="BS62" s="36">
        <f t="shared" si="6"/>
        <v>0.94520000000000004</v>
      </c>
      <c r="BT62" s="36">
        <f t="shared" si="7"/>
        <v>6.2182000000000004</v>
      </c>
      <c r="BU62" s="36">
        <f t="shared" si="8"/>
        <v>6.1745999999999999</v>
      </c>
      <c r="BV62" s="39">
        <f t="shared" si="9"/>
        <v>0.99298832459554198</v>
      </c>
      <c r="BW62" s="39">
        <f t="shared" si="10"/>
        <v>0.99935001624959374</v>
      </c>
      <c r="BX62" s="40">
        <f t="shared" si="11"/>
        <v>1.593165550681136E-2</v>
      </c>
      <c r="BY62" s="40">
        <f t="shared" si="12"/>
        <v>2.6090972061879474E-2</v>
      </c>
      <c r="BZ62" t="str">
        <f t="shared" si="13"/>
        <v>OK</v>
      </c>
      <c r="CA62">
        <f t="shared" si="14"/>
        <v>1</v>
      </c>
    </row>
    <row r="63" spans="1:80" x14ac:dyDescent="0.25">
      <c r="A63" s="35">
        <v>45818</v>
      </c>
      <c r="B63" s="36">
        <v>4.8365999999999998</v>
      </c>
      <c r="C63" t="s">
        <v>113</v>
      </c>
      <c r="D63" t="s">
        <v>6</v>
      </c>
      <c r="E63" t="s">
        <v>114</v>
      </c>
      <c r="F63" t="s">
        <v>114</v>
      </c>
      <c r="G63">
        <v>24573</v>
      </c>
      <c r="H63">
        <v>2140110700</v>
      </c>
      <c r="I63" t="s">
        <v>122</v>
      </c>
      <c r="J63" s="37">
        <v>12450</v>
      </c>
      <c r="K63" s="37">
        <v>15</v>
      </c>
      <c r="M63">
        <v>3068</v>
      </c>
      <c r="N63">
        <v>101.303055</v>
      </c>
      <c r="O63">
        <v>30</v>
      </c>
      <c r="P63">
        <v>16</v>
      </c>
      <c r="Q63">
        <v>75</v>
      </c>
      <c r="R63">
        <v>45</v>
      </c>
      <c r="T63">
        <v>4</v>
      </c>
      <c r="V63" t="s">
        <v>116</v>
      </c>
      <c r="Y63" s="38">
        <v>0.59027777777777779</v>
      </c>
      <c r="Z63" s="38">
        <v>0.79166666666666663</v>
      </c>
      <c r="AA63" t="s">
        <v>117</v>
      </c>
      <c r="AC63" t="s">
        <v>121</v>
      </c>
      <c r="AE63">
        <v>0.33589999999999998</v>
      </c>
      <c r="AQ63">
        <v>0.1008</v>
      </c>
      <c r="BI63">
        <v>0.20150000000000001</v>
      </c>
      <c r="BK63">
        <f>0</f>
        <v>0</v>
      </c>
      <c r="BL63">
        <f t="shared" si="0"/>
        <v>0.63819999999999999</v>
      </c>
      <c r="BM63">
        <f t="shared" si="1"/>
        <v>0</v>
      </c>
      <c r="BN63">
        <f t="shared" si="2"/>
        <v>0</v>
      </c>
      <c r="BO63">
        <f t="shared" si="3"/>
        <v>1</v>
      </c>
      <c r="BP63" s="37">
        <f>IF($F63="","",IFERROR(INDEX(Familias!$C$5:$C$300,MATCH($F63,Familias!$A$5:$A$300,0)),""))</f>
        <v>2990</v>
      </c>
      <c r="BQ63" s="37">
        <f t="shared" si="4"/>
        <v>12465</v>
      </c>
      <c r="BR63" s="36">
        <f t="shared" si="5"/>
        <v>4.8365999999999998</v>
      </c>
      <c r="BS63" s="36">
        <f t="shared" si="6"/>
        <v>0.63819999999999999</v>
      </c>
      <c r="BT63" s="36">
        <f t="shared" si="7"/>
        <v>4.1984000000000004</v>
      </c>
      <c r="BU63" s="36">
        <f t="shared" si="8"/>
        <v>4.1688999999999998</v>
      </c>
      <c r="BV63" s="39">
        <f t="shared" si="9"/>
        <v>0.99297351371951204</v>
      </c>
      <c r="BW63" s="39">
        <f t="shared" si="10"/>
        <v>0.99879663056558365</v>
      </c>
      <c r="BX63" s="40">
        <f t="shared" si="11"/>
        <v>2.9661016949152543E-2</v>
      </c>
      <c r="BY63" s="40">
        <f t="shared" si="12"/>
        <v>2.4445893089960886E-2</v>
      </c>
      <c r="BZ63" t="str">
        <f t="shared" si="13"/>
        <v>OK</v>
      </c>
      <c r="CA63">
        <f t="shared" si="14"/>
        <v>1</v>
      </c>
    </row>
    <row r="64" spans="1:80" x14ac:dyDescent="0.25">
      <c r="A64" s="35">
        <v>45818</v>
      </c>
      <c r="B64" s="36">
        <v>12</v>
      </c>
      <c r="C64" t="s">
        <v>119</v>
      </c>
      <c r="D64" t="s">
        <v>6</v>
      </c>
      <c r="E64" t="s">
        <v>114</v>
      </c>
      <c r="F64" t="s">
        <v>114</v>
      </c>
      <c r="G64">
        <v>24573</v>
      </c>
      <c r="H64">
        <v>2140110700</v>
      </c>
      <c r="I64" t="s">
        <v>122</v>
      </c>
      <c r="J64" s="37">
        <v>20750</v>
      </c>
      <c r="K64" s="37">
        <v>10</v>
      </c>
      <c r="M64">
        <v>7438</v>
      </c>
      <c r="N64">
        <v>168.71652</v>
      </c>
      <c r="O64">
        <v>172</v>
      </c>
      <c r="P64">
        <v>72</v>
      </c>
      <c r="Q64">
        <v>88</v>
      </c>
      <c r="R64">
        <v>75</v>
      </c>
      <c r="T64">
        <v>11</v>
      </c>
      <c r="V64" t="s">
        <v>120</v>
      </c>
      <c r="Y64" s="38">
        <v>0.79166666666666663</v>
      </c>
      <c r="Z64" s="38">
        <v>0.29166666666666669</v>
      </c>
      <c r="AA64" t="s">
        <v>117</v>
      </c>
      <c r="AC64" t="s">
        <v>118</v>
      </c>
      <c r="AQ64">
        <v>0.25</v>
      </c>
      <c r="AR64">
        <v>0.75</v>
      </c>
      <c r="BI64">
        <v>0.5</v>
      </c>
      <c r="BK64">
        <f>0</f>
        <v>0</v>
      </c>
      <c r="BL64">
        <f t="shared" si="0"/>
        <v>1.5</v>
      </c>
      <c r="BM64">
        <f t="shared" si="1"/>
        <v>0</v>
      </c>
      <c r="BN64">
        <f t="shared" si="2"/>
        <v>0</v>
      </c>
      <c r="BO64">
        <f t="shared" si="3"/>
        <v>1</v>
      </c>
      <c r="BP64" s="37">
        <f>IF($F64="","",IFERROR(INDEX(Familias!$C$5:$C$300,MATCH($F64,Familias!$A$5:$A$300,0)),""))</f>
        <v>2990</v>
      </c>
      <c r="BQ64" s="37">
        <f t="shared" si="4"/>
        <v>20760</v>
      </c>
      <c r="BR64" s="36">
        <f t="shared" si="5"/>
        <v>12</v>
      </c>
      <c r="BS64" s="36">
        <f t="shared" si="6"/>
        <v>1.5</v>
      </c>
      <c r="BT64" s="36">
        <f t="shared" si="7"/>
        <v>10.5</v>
      </c>
      <c r="BU64" s="36">
        <f t="shared" si="8"/>
        <v>6.9431000000000003</v>
      </c>
      <c r="BV64" s="39">
        <f t="shared" si="9"/>
        <v>0.66124761904761908</v>
      </c>
      <c r="BW64" s="39">
        <f t="shared" si="10"/>
        <v>0.99951830443159928</v>
      </c>
      <c r="BX64" s="40">
        <f t="shared" si="11"/>
        <v>4.2887873084162406E-2</v>
      </c>
      <c r="BY64" s="40">
        <f t="shared" si="12"/>
        <v>1.1831137402527562E-2</v>
      </c>
      <c r="BZ64" t="str">
        <f t="shared" si="13"/>
        <v>OK</v>
      </c>
      <c r="CA64">
        <f t="shared" si="14"/>
        <v>1</v>
      </c>
    </row>
    <row r="65" spans="1:80" x14ac:dyDescent="0.25">
      <c r="A65" s="35">
        <v>45819</v>
      </c>
      <c r="B65" s="36">
        <v>11.3485</v>
      </c>
      <c r="C65" t="s">
        <v>113</v>
      </c>
      <c r="D65" t="s">
        <v>6</v>
      </c>
      <c r="E65" t="s">
        <v>114</v>
      </c>
      <c r="F65" t="s">
        <v>114</v>
      </c>
      <c r="G65">
        <v>24573</v>
      </c>
      <c r="H65">
        <v>2140110700</v>
      </c>
      <c r="I65" t="s">
        <v>122</v>
      </c>
      <c r="J65" s="37">
        <v>27250</v>
      </c>
      <c r="K65" s="37">
        <v>10</v>
      </c>
      <c r="M65">
        <v>6584</v>
      </c>
      <c r="N65">
        <v>221.54202000000001</v>
      </c>
      <c r="O65">
        <v>65</v>
      </c>
      <c r="P65">
        <v>56</v>
      </c>
      <c r="Q65">
        <v>257</v>
      </c>
      <c r="V65" t="s">
        <v>116</v>
      </c>
      <c r="Y65" s="38">
        <v>0.29166666666666669</v>
      </c>
      <c r="Z65" s="38">
        <v>0.76458333333333328</v>
      </c>
      <c r="AA65" t="s">
        <v>117</v>
      </c>
      <c r="AC65" t="s">
        <v>121</v>
      </c>
      <c r="AD65">
        <v>0.2364</v>
      </c>
      <c r="AE65">
        <v>0.94569999999999999</v>
      </c>
      <c r="AJ65">
        <v>0.15759999999999999</v>
      </c>
      <c r="AQ65">
        <v>0.2364</v>
      </c>
      <c r="BK65">
        <f>0</f>
        <v>0</v>
      </c>
      <c r="BL65">
        <f t="shared" si="0"/>
        <v>1.5760999999999998</v>
      </c>
      <c r="BM65">
        <f t="shared" si="1"/>
        <v>0</v>
      </c>
      <c r="BN65">
        <f t="shared" si="2"/>
        <v>0</v>
      </c>
      <c r="BO65">
        <f t="shared" si="3"/>
        <v>1</v>
      </c>
      <c r="BP65" s="37">
        <f>IF($F65="","",IFERROR(INDEX(Familias!$C$5:$C$300,MATCH($F65,Familias!$A$5:$A$300,0)),""))</f>
        <v>2990</v>
      </c>
      <c r="BQ65" s="37">
        <f t="shared" si="4"/>
        <v>27260</v>
      </c>
      <c r="BR65" s="36">
        <f t="shared" si="5"/>
        <v>11.3485</v>
      </c>
      <c r="BS65" s="36">
        <f t="shared" si="6"/>
        <v>1.5761000000000001</v>
      </c>
      <c r="BT65" s="36">
        <f t="shared" si="7"/>
        <v>9.7723999999999993</v>
      </c>
      <c r="BU65" s="36">
        <f t="shared" si="8"/>
        <v>9.1171000000000006</v>
      </c>
      <c r="BV65" s="39">
        <f t="shared" si="9"/>
        <v>0.93294380090868168</v>
      </c>
      <c r="BW65" s="39">
        <f t="shared" si="10"/>
        <v>0.99963316214233311</v>
      </c>
      <c r="BX65" s="40">
        <f t="shared" si="11"/>
        <v>1.8377885783718104E-2</v>
      </c>
      <c r="BY65" s="40">
        <f t="shared" si="12"/>
        <v>3.9034021871202917E-2</v>
      </c>
      <c r="BZ65" t="str">
        <f t="shared" si="13"/>
        <v>OK</v>
      </c>
      <c r="CA65">
        <f t="shared" si="14"/>
        <v>1</v>
      </c>
    </row>
    <row r="66" spans="1:80" x14ac:dyDescent="0.25">
      <c r="A66" s="35">
        <v>45819</v>
      </c>
      <c r="B66" s="36">
        <v>0.65149999999999997</v>
      </c>
      <c r="C66" t="s">
        <v>113</v>
      </c>
      <c r="D66" t="s">
        <v>6</v>
      </c>
      <c r="E66" t="s">
        <v>114</v>
      </c>
      <c r="F66" t="s">
        <v>114</v>
      </c>
      <c r="G66">
        <v>24573</v>
      </c>
      <c r="H66">
        <v>2140110701</v>
      </c>
      <c r="I66" t="s">
        <v>123</v>
      </c>
      <c r="J66" s="37">
        <v>1550</v>
      </c>
      <c r="K66" s="37">
        <v>15</v>
      </c>
      <c r="M66">
        <v>547</v>
      </c>
      <c r="N66">
        <v>12.718755</v>
      </c>
      <c r="O66">
        <v>15</v>
      </c>
      <c r="R66">
        <v>130</v>
      </c>
      <c r="T66">
        <v>1</v>
      </c>
      <c r="V66" t="s">
        <v>116</v>
      </c>
      <c r="Y66" s="38">
        <v>0.76458333333333328</v>
      </c>
      <c r="Z66" s="38">
        <v>0.79166666666666663</v>
      </c>
      <c r="AA66" t="s">
        <v>117</v>
      </c>
      <c r="AC66" t="s">
        <v>121</v>
      </c>
      <c r="AD66">
        <v>1.3599999999999999E-2</v>
      </c>
      <c r="AE66">
        <v>5.4300000000000001E-2</v>
      </c>
      <c r="AJ66">
        <v>8.9999999999999993E-3</v>
      </c>
      <c r="AQ66">
        <v>1.3599999999999999E-2</v>
      </c>
      <c r="BK66">
        <f>0</f>
        <v>0</v>
      </c>
      <c r="BL66">
        <f t="shared" ref="BL66:BL129" si="15">N(AD66)+N(AE66)+N(AF66)+N(AG66)+N(AH66)+N(AI66)+N(AJ66)+N(AK66)+N(AL66)+N(AM66)+N(AN66)+N(AO66)+N(AP66)+N(AQ66)+N(AR66)+N(AS66)+N(AT66)+N(AU66)+N(AW66)+N(AX66)+N(AY66)+N(BC66)+N(BE66)+N(BF66)+N(BH66)+N(BI66)+N(BJ66)</f>
        <v>9.0499999999999997E-2</v>
      </c>
      <c r="BM66">
        <f t="shared" ref="BM66:BM129" si="16">N(AZ66)+N(BA66)+N(BB66)+N(BD66)</f>
        <v>0</v>
      </c>
      <c r="BN66">
        <f t="shared" ref="BN66:BN129" si="17">N(AV66)+N(BG66)</f>
        <v>0</v>
      </c>
      <c r="BO66">
        <f t="shared" ref="BO66:BO129" si="18">IF($A66="","",IF(WEEKDAY($A66,2)=7,0,1))</f>
        <v>1</v>
      </c>
      <c r="BP66" s="37">
        <f>IF($F66="","",IFERROR(INDEX(Familias!$C$5:$C$300,MATCH($F66,Familias!$A$5:$A$300,0)),""))</f>
        <v>2990</v>
      </c>
      <c r="BQ66" s="37">
        <f t="shared" ref="BQ66:BQ129" si="19">IF(AND($J66="",$K66=""),"",N($J66)+N($K66))</f>
        <v>1565</v>
      </c>
      <c r="BR66" s="36">
        <f t="shared" ref="BR66:BR129" si="20">IF($A66="","",ROUND(N($B66),4))</f>
        <v>0.65149999999999997</v>
      </c>
      <c r="BS66" s="36">
        <f t="shared" ref="BS66:BS129" si="21">IF($A66="","",ROUND(SUM($AD66:$BJ66),4))</f>
        <v>9.0499999999999997E-2</v>
      </c>
      <c r="BT66" s="36">
        <f t="shared" ref="BT66:BT129" si="22">IF($A66="","",ROUND(MAX(0,$BR66-$BS66),4))</f>
        <v>0.56100000000000005</v>
      </c>
      <c r="BU66" s="36">
        <f t="shared" ref="BU66:BU129" si="23">IF(OR($BQ66="",$BP66="",N($BP66)=0),"",ROUND($BQ66/$BP66,4))</f>
        <v>0.52339999999999998</v>
      </c>
      <c r="BV66" s="39">
        <f t="shared" ref="BV66:BV129" si="24">IF(OR($BU66="",N($BT66)=0),"",$BU66/$BT66)</f>
        <v>0.93297682709447405</v>
      </c>
      <c r="BW66" s="39">
        <f t="shared" ref="BW66:BW129" si="25">IF(N($BQ66)&gt;0,N($J66)/$BQ66,"")</f>
        <v>0.99041533546325877</v>
      </c>
      <c r="BX66" s="40">
        <f t="shared" ref="BX66:BX129" si="26">IF(N($M66)&gt;0,(N($P66)+N($O66)+N($R66))/$M66,"")</f>
        <v>0.26508226691042047</v>
      </c>
      <c r="BY66" s="40">
        <f t="shared" ref="BY66:BY129" si="27">IF(N($M66)&gt;0,N($Q66)/$M66,"")</f>
        <v>0</v>
      </c>
      <c r="BZ66" t="str">
        <f t="shared" ref="BZ66:BZ129" si="28">IF($A66="","",IF($BO66=0,"Domingo",IF($AA66&lt;&gt;"Sí","Paradas no digitadas",IF($BQ66="",IF(N($BT66)&gt;0,"Sin producción","Parada total"),IF($F66="","Sin familia",IF($BP66="","Familia sin estándar",IF(AND($BV66&lt;&gt;"",N($BV66)&gt;1.1),"Revisar rendimiento","OK")))))))</f>
        <v>OK</v>
      </c>
      <c r="CA66">
        <f t="shared" ref="CA66:CA129" si="29">IF(OR($BU66="",$BO66&lt;&gt;1,$AA66&lt;&gt;"Sí"),0,1)</f>
        <v>1</v>
      </c>
    </row>
    <row r="67" spans="1:80" x14ac:dyDescent="0.25">
      <c r="A67" s="35">
        <v>45819</v>
      </c>
      <c r="B67" s="36">
        <v>12</v>
      </c>
      <c r="C67" t="s">
        <v>119</v>
      </c>
      <c r="D67" t="s">
        <v>6</v>
      </c>
      <c r="E67" t="s">
        <v>114</v>
      </c>
      <c r="F67" t="s">
        <v>114</v>
      </c>
      <c r="G67">
        <v>24573</v>
      </c>
      <c r="H67">
        <v>2140110701</v>
      </c>
      <c r="I67" t="s">
        <v>123</v>
      </c>
      <c r="J67" s="37">
        <v>28750</v>
      </c>
      <c r="K67" s="37">
        <v>10</v>
      </c>
      <c r="M67">
        <v>6904</v>
      </c>
      <c r="N67">
        <v>233.73251999999999</v>
      </c>
      <c r="O67">
        <v>100</v>
      </c>
      <c r="P67">
        <v>50</v>
      </c>
      <c r="Q67">
        <v>80</v>
      </c>
      <c r="R67">
        <v>41</v>
      </c>
      <c r="T67">
        <v>10</v>
      </c>
      <c r="V67" t="s">
        <v>120</v>
      </c>
      <c r="Y67" s="38">
        <v>0.79166666666666663</v>
      </c>
      <c r="Z67" s="38">
        <v>0.29166666666666669</v>
      </c>
      <c r="AA67" t="s">
        <v>117</v>
      </c>
      <c r="AC67" t="s">
        <v>118</v>
      </c>
      <c r="AF67">
        <v>0.91669999999999996</v>
      </c>
      <c r="AQ67">
        <v>0.25</v>
      </c>
      <c r="AR67">
        <v>0.75</v>
      </c>
      <c r="BI67">
        <v>0.33329999999999999</v>
      </c>
      <c r="BK67">
        <f>0</f>
        <v>0</v>
      </c>
      <c r="BL67">
        <f t="shared" si="15"/>
        <v>2.25</v>
      </c>
      <c r="BM67">
        <f t="shared" si="16"/>
        <v>0</v>
      </c>
      <c r="BN67">
        <f t="shared" si="17"/>
        <v>0</v>
      </c>
      <c r="BO67">
        <f t="shared" si="18"/>
        <v>1</v>
      </c>
      <c r="BP67" s="37">
        <f>IF($F67="","",IFERROR(INDEX(Familias!$C$5:$C$300,MATCH($F67,Familias!$A$5:$A$300,0)),""))</f>
        <v>2990</v>
      </c>
      <c r="BQ67" s="37">
        <f t="shared" si="19"/>
        <v>28760</v>
      </c>
      <c r="BR67" s="36">
        <f t="shared" si="20"/>
        <v>12</v>
      </c>
      <c r="BS67" s="36">
        <f t="shared" si="21"/>
        <v>2.25</v>
      </c>
      <c r="BT67" s="36">
        <f t="shared" si="22"/>
        <v>9.75</v>
      </c>
      <c r="BU67" s="36">
        <f t="shared" si="23"/>
        <v>9.6187000000000005</v>
      </c>
      <c r="BV67" s="39">
        <f t="shared" si="24"/>
        <v>0.98653333333333337</v>
      </c>
      <c r="BW67" s="39">
        <f t="shared" si="25"/>
        <v>0.99965229485396379</v>
      </c>
      <c r="BX67" s="40">
        <f t="shared" si="26"/>
        <v>2.7665121668597914E-2</v>
      </c>
      <c r="BY67" s="40">
        <f t="shared" si="27"/>
        <v>1.1587485515643106E-2</v>
      </c>
      <c r="BZ67" t="str">
        <f t="shared" si="28"/>
        <v>OK</v>
      </c>
      <c r="CA67">
        <f t="shared" si="29"/>
        <v>1</v>
      </c>
    </row>
    <row r="68" spans="1:80" x14ac:dyDescent="0.25">
      <c r="A68" s="35">
        <v>45820</v>
      </c>
      <c r="B68" s="36">
        <v>12</v>
      </c>
      <c r="C68" t="s">
        <v>113</v>
      </c>
      <c r="D68" t="s">
        <v>6</v>
      </c>
      <c r="E68" t="s">
        <v>114</v>
      </c>
      <c r="F68" t="s">
        <v>114</v>
      </c>
      <c r="G68">
        <v>24573</v>
      </c>
      <c r="H68">
        <v>2140110701</v>
      </c>
      <c r="I68" t="s">
        <v>123</v>
      </c>
      <c r="J68" s="37">
        <v>27950</v>
      </c>
      <c r="K68" s="37">
        <v>30</v>
      </c>
      <c r="M68">
        <v>6915</v>
      </c>
      <c r="N68">
        <v>227.39346</v>
      </c>
      <c r="O68">
        <v>110</v>
      </c>
      <c r="P68">
        <v>84</v>
      </c>
      <c r="Q68">
        <v>200</v>
      </c>
      <c r="V68" t="s">
        <v>116</v>
      </c>
      <c r="Y68" s="38">
        <v>0.29166666666666669</v>
      </c>
      <c r="Z68" s="38">
        <v>0.79166666666666663</v>
      </c>
      <c r="AA68" t="s">
        <v>117</v>
      </c>
      <c r="AC68" t="s">
        <v>118</v>
      </c>
      <c r="AF68">
        <v>1.5</v>
      </c>
      <c r="AQ68">
        <v>0.25</v>
      </c>
      <c r="BK68">
        <f>0</f>
        <v>0</v>
      </c>
      <c r="BL68">
        <f t="shared" si="15"/>
        <v>1.75</v>
      </c>
      <c r="BM68">
        <f t="shared" si="16"/>
        <v>0</v>
      </c>
      <c r="BN68">
        <f t="shared" si="17"/>
        <v>0</v>
      </c>
      <c r="BO68">
        <f t="shared" si="18"/>
        <v>1</v>
      </c>
      <c r="BP68" s="37">
        <f>IF($F68="","",IFERROR(INDEX(Familias!$C$5:$C$300,MATCH($F68,Familias!$A$5:$A$300,0)),""))</f>
        <v>2990</v>
      </c>
      <c r="BQ68" s="37">
        <f t="shared" si="19"/>
        <v>27980</v>
      </c>
      <c r="BR68" s="36">
        <f t="shared" si="20"/>
        <v>12</v>
      </c>
      <c r="BS68" s="36">
        <f t="shared" si="21"/>
        <v>1.75</v>
      </c>
      <c r="BT68" s="36">
        <f t="shared" si="22"/>
        <v>10.25</v>
      </c>
      <c r="BU68" s="36">
        <f t="shared" si="23"/>
        <v>9.3579000000000008</v>
      </c>
      <c r="BV68" s="39">
        <f t="shared" si="24"/>
        <v>0.91296585365853666</v>
      </c>
      <c r="BW68" s="39">
        <f t="shared" si="25"/>
        <v>0.99892780557541105</v>
      </c>
      <c r="BX68" s="40">
        <f t="shared" si="26"/>
        <v>2.8054953000723064E-2</v>
      </c>
      <c r="BY68" s="40">
        <f t="shared" si="27"/>
        <v>2.8922631959508314E-2</v>
      </c>
      <c r="BZ68" t="str">
        <f t="shared" si="28"/>
        <v>OK</v>
      </c>
      <c r="CA68">
        <f t="shared" si="29"/>
        <v>1</v>
      </c>
    </row>
    <row r="69" spans="1:80" x14ac:dyDescent="0.25">
      <c r="A69" s="35">
        <v>45820</v>
      </c>
      <c r="B69" s="36">
        <v>12</v>
      </c>
      <c r="C69" t="s">
        <v>119</v>
      </c>
      <c r="D69" t="s">
        <v>6</v>
      </c>
      <c r="E69" t="s">
        <v>114</v>
      </c>
      <c r="F69" t="s">
        <v>114</v>
      </c>
      <c r="G69">
        <v>24573</v>
      </c>
      <c r="H69">
        <v>2140110701</v>
      </c>
      <c r="I69" t="s">
        <v>123</v>
      </c>
      <c r="J69" s="37">
        <v>30250</v>
      </c>
      <c r="K69" s="37">
        <v>15</v>
      </c>
      <c r="M69">
        <v>7439</v>
      </c>
      <c r="N69">
        <v>245.96365499999999</v>
      </c>
      <c r="O69">
        <v>80</v>
      </c>
      <c r="P69">
        <v>80</v>
      </c>
      <c r="Q69">
        <v>235</v>
      </c>
      <c r="V69" t="s">
        <v>120</v>
      </c>
      <c r="Y69" s="38">
        <v>0.79166666666666663</v>
      </c>
      <c r="Z69" s="38">
        <v>0.29166666666666669</v>
      </c>
      <c r="AA69" t="s">
        <v>117</v>
      </c>
      <c r="AC69" t="s">
        <v>118</v>
      </c>
      <c r="AQ69">
        <v>0.25</v>
      </c>
      <c r="AR69">
        <v>0.75</v>
      </c>
      <c r="BI69">
        <v>0.5</v>
      </c>
      <c r="BK69">
        <f>0</f>
        <v>0</v>
      </c>
      <c r="BL69">
        <f t="shared" si="15"/>
        <v>1.5</v>
      </c>
      <c r="BM69">
        <f t="shared" si="16"/>
        <v>0</v>
      </c>
      <c r="BN69">
        <f t="shared" si="17"/>
        <v>0</v>
      </c>
      <c r="BO69">
        <f t="shared" si="18"/>
        <v>1</v>
      </c>
      <c r="BP69" s="37">
        <f>IF($F69="","",IFERROR(INDEX(Familias!$C$5:$C$300,MATCH($F69,Familias!$A$5:$A$300,0)),""))</f>
        <v>2990</v>
      </c>
      <c r="BQ69" s="37">
        <f t="shared" si="19"/>
        <v>30265</v>
      </c>
      <c r="BR69" s="36">
        <f t="shared" si="20"/>
        <v>12</v>
      </c>
      <c r="BS69" s="36">
        <f t="shared" si="21"/>
        <v>1.5</v>
      </c>
      <c r="BT69" s="36">
        <f t="shared" si="22"/>
        <v>10.5</v>
      </c>
      <c r="BU69" s="36">
        <f t="shared" si="23"/>
        <v>10.1221</v>
      </c>
      <c r="BV69" s="39">
        <f t="shared" si="24"/>
        <v>0.96400952380952376</v>
      </c>
      <c r="BW69" s="39">
        <f t="shared" si="25"/>
        <v>0.99950437799438296</v>
      </c>
      <c r="BX69" s="40">
        <f t="shared" si="26"/>
        <v>2.1508267240220459E-2</v>
      </c>
      <c r="BY69" s="40">
        <f t="shared" si="27"/>
        <v>3.1590267509073802E-2</v>
      </c>
      <c r="BZ69" t="str">
        <f t="shared" si="28"/>
        <v>OK</v>
      </c>
      <c r="CA69">
        <f t="shared" si="29"/>
        <v>1</v>
      </c>
    </row>
    <row r="70" spans="1:80" x14ac:dyDescent="0.25">
      <c r="A70" s="35">
        <v>45821</v>
      </c>
      <c r="B70" s="36">
        <v>12</v>
      </c>
      <c r="C70" t="s">
        <v>113</v>
      </c>
      <c r="D70" t="s">
        <v>6</v>
      </c>
      <c r="E70" t="s">
        <v>114</v>
      </c>
      <c r="F70" t="s">
        <v>114</v>
      </c>
      <c r="G70">
        <v>24573</v>
      </c>
      <c r="H70">
        <v>2140110701</v>
      </c>
      <c r="I70" t="s">
        <v>123</v>
      </c>
      <c r="J70" s="37">
        <v>31700</v>
      </c>
      <c r="K70" s="37">
        <v>20</v>
      </c>
      <c r="M70">
        <v>7357</v>
      </c>
      <c r="N70">
        <v>257.78843999999998</v>
      </c>
      <c r="O70">
        <v>62</v>
      </c>
      <c r="P70">
        <v>40</v>
      </c>
      <c r="Q70">
        <v>236</v>
      </c>
      <c r="V70" t="s">
        <v>116</v>
      </c>
      <c r="Y70" s="38">
        <v>0.29166666666666669</v>
      </c>
      <c r="Z70" s="38">
        <v>0.79166666666666663</v>
      </c>
      <c r="AA70" t="s">
        <v>117</v>
      </c>
      <c r="AC70" t="s">
        <v>118</v>
      </c>
      <c r="AD70">
        <v>0.33329999999999999</v>
      </c>
      <c r="AQ70">
        <v>0.25</v>
      </c>
      <c r="AR70">
        <v>0.75</v>
      </c>
      <c r="BK70">
        <f>0</f>
        <v>0</v>
      </c>
      <c r="BL70">
        <f t="shared" si="15"/>
        <v>1.3332999999999999</v>
      </c>
      <c r="BM70">
        <f t="shared" si="16"/>
        <v>0</v>
      </c>
      <c r="BN70">
        <f t="shared" si="17"/>
        <v>0</v>
      </c>
      <c r="BO70">
        <f t="shared" si="18"/>
        <v>1</v>
      </c>
      <c r="BP70" s="37">
        <f>IF($F70="","",IFERROR(INDEX(Familias!$C$5:$C$300,MATCH($F70,Familias!$A$5:$A$300,0)),""))</f>
        <v>2990</v>
      </c>
      <c r="BQ70" s="37">
        <f t="shared" si="19"/>
        <v>31720</v>
      </c>
      <c r="BR70" s="36">
        <f t="shared" si="20"/>
        <v>12</v>
      </c>
      <c r="BS70" s="36">
        <f t="shared" si="21"/>
        <v>1.3332999999999999</v>
      </c>
      <c r="BT70" s="36">
        <f t="shared" si="22"/>
        <v>10.666700000000001</v>
      </c>
      <c r="BU70" s="36">
        <f t="shared" si="23"/>
        <v>10.608700000000001</v>
      </c>
      <c r="BV70" s="39">
        <f t="shared" si="24"/>
        <v>0.99456251699213438</v>
      </c>
      <c r="BW70" s="39">
        <f t="shared" si="25"/>
        <v>0.99936948297604034</v>
      </c>
      <c r="BX70" s="40">
        <f t="shared" si="26"/>
        <v>1.3864346880521952E-2</v>
      </c>
      <c r="BY70" s="40">
        <f t="shared" si="27"/>
        <v>3.2078292782384124E-2</v>
      </c>
      <c r="BZ70" t="str">
        <f t="shared" si="28"/>
        <v>OK</v>
      </c>
      <c r="CA70">
        <f t="shared" si="29"/>
        <v>1</v>
      </c>
    </row>
    <row r="71" spans="1:80" x14ac:dyDescent="0.25">
      <c r="A71" s="35">
        <v>45821</v>
      </c>
      <c r="B71" s="36">
        <v>7.8814000000000002</v>
      </c>
      <c r="C71" t="s">
        <v>119</v>
      </c>
      <c r="D71" t="s">
        <v>6</v>
      </c>
      <c r="E71" t="s">
        <v>114</v>
      </c>
      <c r="F71" t="s">
        <v>114</v>
      </c>
      <c r="G71">
        <v>24573</v>
      </c>
      <c r="H71">
        <v>2140110701</v>
      </c>
      <c r="I71" t="s">
        <v>123</v>
      </c>
      <c r="J71" s="37">
        <v>4950</v>
      </c>
      <c r="K71" s="37">
        <v>1</v>
      </c>
      <c r="M71">
        <v>1373</v>
      </c>
      <c r="N71">
        <v>40.236776999999996</v>
      </c>
      <c r="O71">
        <v>90</v>
      </c>
      <c r="P71">
        <v>20</v>
      </c>
      <c r="Q71">
        <v>100</v>
      </c>
      <c r="T71">
        <v>2</v>
      </c>
      <c r="V71" t="s">
        <v>120</v>
      </c>
      <c r="Y71" s="38">
        <v>0.79166666666666663</v>
      </c>
      <c r="Z71" s="38">
        <v>0.12013888888888891</v>
      </c>
      <c r="AA71" t="s">
        <v>117</v>
      </c>
      <c r="AC71" t="s">
        <v>121</v>
      </c>
      <c r="AE71">
        <v>4.8163999999999998</v>
      </c>
      <c r="AQ71">
        <v>0.16420000000000001</v>
      </c>
      <c r="AR71">
        <v>0.49259999999999998</v>
      </c>
      <c r="BI71">
        <v>0.21890000000000001</v>
      </c>
      <c r="BK71">
        <f>0</f>
        <v>0</v>
      </c>
      <c r="BL71">
        <f t="shared" si="15"/>
        <v>5.6920999999999999</v>
      </c>
      <c r="BM71">
        <f t="shared" si="16"/>
        <v>0</v>
      </c>
      <c r="BN71">
        <f t="shared" si="17"/>
        <v>0</v>
      </c>
      <c r="BO71">
        <f t="shared" si="18"/>
        <v>1</v>
      </c>
      <c r="BP71" s="37">
        <f>IF($F71="","",IFERROR(INDEX(Familias!$C$5:$C$300,MATCH($F71,Familias!$A$5:$A$300,0)),""))</f>
        <v>2990</v>
      </c>
      <c r="BQ71" s="37">
        <f t="shared" si="19"/>
        <v>4951</v>
      </c>
      <c r="BR71" s="36">
        <f t="shared" si="20"/>
        <v>7.8814000000000002</v>
      </c>
      <c r="BS71" s="36">
        <f t="shared" si="21"/>
        <v>5.6920999999999999</v>
      </c>
      <c r="BT71" s="36">
        <f t="shared" si="22"/>
        <v>2.1892999999999998</v>
      </c>
      <c r="BU71" s="36">
        <f t="shared" si="23"/>
        <v>1.6558999999999999</v>
      </c>
      <c r="BV71" s="39">
        <f t="shared" si="24"/>
        <v>0.75636048051888738</v>
      </c>
      <c r="BW71" s="39">
        <f t="shared" si="25"/>
        <v>0.9997980206018986</v>
      </c>
      <c r="BX71" s="40">
        <f t="shared" si="26"/>
        <v>8.0116533139111434E-2</v>
      </c>
      <c r="BY71" s="40">
        <f t="shared" si="27"/>
        <v>7.2833211944646759E-2</v>
      </c>
      <c r="BZ71" t="str">
        <f t="shared" si="28"/>
        <v>OK</v>
      </c>
      <c r="CA71">
        <f t="shared" si="29"/>
        <v>1</v>
      </c>
    </row>
    <row r="72" spans="1:80" x14ac:dyDescent="0.25">
      <c r="A72" s="35">
        <v>45821</v>
      </c>
      <c r="B72" s="36">
        <v>4.1185999999999998</v>
      </c>
      <c r="C72" t="s">
        <v>119</v>
      </c>
      <c r="D72" t="s">
        <v>6</v>
      </c>
      <c r="E72" t="s">
        <v>126</v>
      </c>
      <c r="F72" t="s">
        <v>127</v>
      </c>
      <c r="G72">
        <v>24615</v>
      </c>
      <c r="H72">
        <v>2140110610</v>
      </c>
      <c r="I72" t="s">
        <v>128</v>
      </c>
      <c r="J72" s="37">
        <v>2100</v>
      </c>
      <c r="K72" s="37">
        <v>20</v>
      </c>
      <c r="M72">
        <v>1105</v>
      </c>
      <c r="N72">
        <v>19.646251999999588</v>
      </c>
      <c r="O72">
        <v>90</v>
      </c>
      <c r="P72">
        <v>16</v>
      </c>
      <c r="R72">
        <v>190</v>
      </c>
      <c r="V72" t="s">
        <v>120</v>
      </c>
      <c r="Y72" s="38">
        <v>0.12013888888888891</v>
      </c>
      <c r="Z72" s="38">
        <v>0.29166666666666669</v>
      </c>
      <c r="AA72" t="s">
        <v>117</v>
      </c>
      <c r="AC72" t="s">
        <v>121</v>
      </c>
      <c r="AE72">
        <v>2.5169000000000001</v>
      </c>
      <c r="AQ72">
        <v>8.5800000000000001E-2</v>
      </c>
      <c r="AR72">
        <v>0.25740000000000002</v>
      </c>
      <c r="BI72">
        <v>0.1144</v>
      </c>
      <c r="BK72">
        <f>0</f>
        <v>0</v>
      </c>
      <c r="BL72">
        <f t="shared" si="15"/>
        <v>2.9744999999999999</v>
      </c>
      <c r="BM72">
        <f t="shared" si="16"/>
        <v>0</v>
      </c>
      <c r="BN72">
        <f t="shared" si="17"/>
        <v>0</v>
      </c>
      <c r="BO72">
        <f t="shared" si="18"/>
        <v>1</v>
      </c>
      <c r="BP72" s="37">
        <f>IF($F72="","",IFERROR(INDEX(Familias!$C$5:$C$300,MATCH($F72,Familias!$A$5:$A$300,0)),""))</f>
        <v>2450</v>
      </c>
      <c r="BQ72" s="37">
        <f t="shared" si="19"/>
        <v>2120</v>
      </c>
      <c r="BR72" s="36">
        <f t="shared" si="20"/>
        <v>4.1185999999999998</v>
      </c>
      <c r="BS72" s="36">
        <f t="shared" si="21"/>
        <v>2.9744999999999999</v>
      </c>
      <c r="BT72" s="36">
        <f t="shared" si="22"/>
        <v>1.1440999999999999</v>
      </c>
      <c r="BU72" s="36">
        <f t="shared" si="23"/>
        <v>0.86529999999999996</v>
      </c>
      <c r="BV72" s="39">
        <f t="shared" si="24"/>
        <v>0.75631500742942048</v>
      </c>
      <c r="BW72" s="39">
        <f t="shared" si="25"/>
        <v>0.99056603773584906</v>
      </c>
      <c r="BX72" s="40">
        <f t="shared" si="26"/>
        <v>0.26787330316742081</v>
      </c>
      <c r="BY72" s="40">
        <f t="shared" si="27"/>
        <v>0</v>
      </c>
      <c r="BZ72" t="str">
        <f t="shared" si="28"/>
        <v>OK</v>
      </c>
      <c r="CA72">
        <f t="shared" si="29"/>
        <v>1</v>
      </c>
    </row>
    <row r="73" spans="1:80" x14ac:dyDescent="0.25">
      <c r="A73" s="35">
        <v>45822</v>
      </c>
      <c r="B73" s="36">
        <v>12</v>
      </c>
      <c r="C73" t="s">
        <v>113</v>
      </c>
      <c r="D73" t="s">
        <v>6</v>
      </c>
      <c r="E73" t="s">
        <v>126</v>
      </c>
      <c r="F73" t="s">
        <v>127</v>
      </c>
      <c r="G73">
        <v>24615</v>
      </c>
      <c r="H73">
        <v>2140110610</v>
      </c>
      <c r="I73" t="s">
        <v>128</v>
      </c>
      <c r="J73" s="37">
        <v>12375</v>
      </c>
      <c r="K73" s="37">
        <v>25</v>
      </c>
      <c r="M73">
        <v>5438</v>
      </c>
      <c r="N73">
        <v>114.9120399999976</v>
      </c>
      <c r="O73">
        <v>160</v>
      </c>
      <c r="P73">
        <v>78</v>
      </c>
      <c r="T73">
        <v>10</v>
      </c>
      <c r="V73" t="s">
        <v>116</v>
      </c>
      <c r="Y73" s="38">
        <v>0.29166666666666669</v>
      </c>
      <c r="Z73" s="38">
        <v>0.79166666666666663</v>
      </c>
      <c r="AA73" t="s">
        <v>117</v>
      </c>
      <c r="AC73" t="s">
        <v>118</v>
      </c>
      <c r="AL73">
        <v>1.5</v>
      </c>
      <c r="AO73">
        <v>1.3332999999999999</v>
      </c>
      <c r="AQ73">
        <v>0.33329999999999999</v>
      </c>
      <c r="AR73">
        <v>0.75</v>
      </c>
      <c r="BK73">
        <f>0</f>
        <v>0</v>
      </c>
      <c r="BL73">
        <f t="shared" si="15"/>
        <v>3.9165999999999999</v>
      </c>
      <c r="BM73">
        <f t="shared" si="16"/>
        <v>0</v>
      </c>
      <c r="BN73">
        <f t="shared" si="17"/>
        <v>0</v>
      </c>
      <c r="BO73">
        <f t="shared" si="18"/>
        <v>1</v>
      </c>
      <c r="BP73" s="37">
        <f>IF($F73="","",IFERROR(INDEX(Familias!$C$5:$C$300,MATCH($F73,Familias!$A$5:$A$300,0)),""))</f>
        <v>2450</v>
      </c>
      <c r="BQ73" s="37">
        <f t="shared" si="19"/>
        <v>12400</v>
      </c>
      <c r="BR73" s="36">
        <f t="shared" si="20"/>
        <v>12</v>
      </c>
      <c r="BS73" s="36">
        <f t="shared" si="21"/>
        <v>3.9165999999999999</v>
      </c>
      <c r="BT73" s="36">
        <f t="shared" si="22"/>
        <v>8.0833999999999993</v>
      </c>
      <c r="BU73" s="36">
        <f t="shared" si="23"/>
        <v>5.0612000000000004</v>
      </c>
      <c r="BV73" s="39">
        <f t="shared" si="24"/>
        <v>0.62612267115322773</v>
      </c>
      <c r="BW73" s="39">
        <f t="shared" si="25"/>
        <v>0.99798387096774188</v>
      </c>
      <c r="BX73" s="40">
        <f t="shared" si="26"/>
        <v>4.3766090474439134E-2</v>
      </c>
      <c r="BY73" s="40">
        <f t="shared" si="27"/>
        <v>0</v>
      </c>
      <c r="BZ73" t="str">
        <f t="shared" si="28"/>
        <v>OK</v>
      </c>
      <c r="CA73">
        <f t="shared" si="29"/>
        <v>1</v>
      </c>
    </row>
    <row r="74" spans="1:80" x14ac:dyDescent="0.25">
      <c r="A74" s="35">
        <v>45822</v>
      </c>
      <c r="B74" s="36">
        <v>12</v>
      </c>
      <c r="C74" t="s">
        <v>119</v>
      </c>
      <c r="D74" t="s">
        <v>6</v>
      </c>
      <c r="E74" t="s">
        <v>126</v>
      </c>
      <c r="F74" t="s">
        <v>127</v>
      </c>
      <c r="G74">
        <v>24615</v>
      </c>
      <c r="H74">
        <v>2140110610</v>
      </c>
      <c r="I74" t="s">
        <v>128</v>
      </c>
      <c r="J74" s="37">
        <v>19375</v>
      </c>
      <c r="K74" s="37">
        <v>10</v>
      </c>
      <c r="M74">
        <v>7260</v>
      </c>
      <c r="N74">
        <v>179.6427334999963</v>
      </c>
      <c r="O74">
        <v>110</v>
      </c>
      <c r="P74">
        <v>104</v>
      </c>
      <c r="Q74">
        <v>17</v>
      </c>
      <c r="T74">
        <v>13</v>
      </c>
      <c r="V74" t="s">
        <v>120</v>
      </c>
      <c r="Y74" s="38">
        <v>0.79166666666666663</v>
      </c>
      <c r="Z74" s="38">
        <v>0.29166666666666669</v>
      </c>
      <c r="AA74" t="s">
        <v>117</v>
      </c>
      <c r="AC74" t="s">
        <v>118</v>
      </c>
      <c r="AQ74">
        <v>0.5</v>
      </c>
      <c r="AR74">
        <v>0.75</v>
      </c>
      <c r="BI74">
        <v>0.5</v>
      </c>
      <c r="BK74">
        <f>0</f>
        <v>0</v>
      </c>
      <c r="BL74">
        <f t="shared" si="15"/>
        <v>1.75</v>
      </c>
      <c r="BM74">
        <f t="shared" si="16"/>
        <v>0</v>
      </c>
      <c r="BN74">
        <f t="shared" si="17"/>
        <v>0</v>
      </c>
      <c r="BO74">
        <f t="shared" si="18"/>
        <v>1</v>
      </c>
      <c r="BP74" s="37">
        <f>IF($F74="","",IFERROR(INDEX(Familias!$C$5:$C$300,MATCH($F74,Familias!$A$5:$A$300,0)),""))</f>
        <v>2450</v>
      </c>
      <c r="BQ74" s="37">
        <f t="shared" si="19"/>
        <v>19385</v>
      </c>
      <c r="BR74" s="36">
        <f t="shared" si="20"/>
        <v>12</v>
      </c>
      <c r="BS74" s="36">
        <f t="shared" si="21"/>
        <v>1.75</v>
      </c>
      <c r="BT74" s="36">
        <f t="shared" si="22"/>
        <v>10.25</v>
      </c>
      <c r="BU74" s="36">
        <f t="shared" si="23"/>
        <v>7.9122000000000003</v>
      </c>
      <c r="BV74" s="39">
        <f t="shared" si="24"/>
        <v>0.77192195121951224</v>
      </c>
      <c r="BW74" s="39">
        <f t="shared" si="25"/>
        <v>0.99948413721949958</v>
      </c>
      <c r="BX74" s="40">
        <f t="shared" si="26"/>
        <v>2.9476584022038569E-2</v>
      </c>
      <c r="BY74" s="40">
        <f t="shared" si="27"/>
        <v>2.3415977961432507E-3</v>
      </c>
      <c r="BZ74" t="str">
        <f t="shared" si="28"/>
        <v>OK</v>
      </c>
      <c r="CA74">
        <f t="shared" si="29"/>
        <v>1</v>
      </c>
    </row>
    <row r="75" spans="1:80" x14ac:dyDescent="0.25">
      <c r="A75" s="35">
        <v>45824</v>
      </c>
      <c r="B75" s="36">
        <v>12</v>
      </c>
      <c r="C75" t="s">
        <v>113</v>
      </c>
      <c r="D75" t="s">
        <v>6</v>
      </c>
      <c r="E75" t="s">
        <v>126</v>
      </c>
      <c r="F75" t="s">
        <v>127</v>
      </c>
      <c r="G75">
        <v>24615</v>
      </c>
      <c r="H75">
        <v>2140110610</v>
      </c>
      <c r="I75" t="s">
        <v>128</v>
      </c>
      <c r="J75" s="37">
        <v>13825</v>
      </c>
      <c r="K75" s="37">
        <v>15</v>
      </c>
      <c r="M75">
        <v>5227</v>
      </c>
      <c r="N75">
        <v>128.2566639999973</v>
      </c>
      <c r="O75">
        <v>120</v>
      </c>
      <c r="P75">
        <v>80</v>
      </c>
      <c r="Q75">
        <v>52</v>
      </c>
      <c r="T75">
        <v>10</v>
      </c>
      <c r="V75" t="s">
        <v>120</v>
      </c>
      <c r="Y75" s="38">
        <v>0.29166666666666669</v>
      </c>
      <c r="Z75" s="38">
        <v>0.79166666666666663</v>
      </c>
      <c r="AA75" t="s">
        <v>117</v>
      </c>
      <c r="AC75" t="s">
        <v>118</v>
      </c>
      <c r="AQ75">
        <v>0.25</v>
      </c>
      <c r="AR75">
        <v>0.75</v>
      </c>
      <c r="BC75">
        <v>1.3332999999999999</v>
      </c>
      <c r="BJ75">
        <v>1.5</v>
      </c>
      <c r="BK75">
        <f>0</f>
        <v>0</v>
      </c>
      <c r="BL75">
        <f t="shared" si="15"/>
        <v>3.8332999999999999</v>
      </c>
      <c r="BM75">
        <f t="shared" si="16"/>
        <v>0</v>
      </c>
      <c r="BN75">
        <f t="shared" si="17"/>
        <v>0</v>
      </c>
      <c r="BO75">
        <f t="shared" si="18"/>
        <v>1</v>
      </c>
      <c r="BP75" s="37">
        <f>IF($F75="","",IFERROR(INDEX(Familias!$C$5:$C$300,MATCH($F75,Familias!$A$5:$A$300,0)),""))</f>
        <v>2450</v>
      </c>
      <c r="BQ75" s="37">
        <f t="shared" si="19"/>
        <v>13840</v>
      </c>
      <c r="BR75" s="36">
        <f t="shared" si="20"/>
        <v>12</v>
      </c>
      <c r="BS75" s="36">
        <f t="shared" si="21"/>
        <v>3.8332999999999999</v>
      </c>
      <c r="BT75" s="36">
        <f t="shared" si="22"/>
        <v>8.1667000000000005</v>
      </c>
      <c r="BU75" s="36">
        <f t="shared" si="23"/>
        <v>5.649</v>
      </c>
      <c r="BV75" s="39">
        <f t="shared" si="24"/>
        <v>0.69171146240219428</v>
      </c>
      <c r="BW75" s="39">
        <f t="shared" si="25"/>
        <v>0.99891618497109824</v>
      </c>
      <c r="BX75" s="40">
        <f t="shared" si="26"/>
        <v>3.8262865888655059E-2</v>
      </c>
      <c r="BY75" s="40">
        <f t="shared" si="27"/>
        <v>9.9483451310503155E-3</v>
      </c>
      <c r="BZ75" t="str">
        <f t="shared" si="28"/>
        <v>OK</v>
      </c>
      <c r="CA75">
        <f t="shared" si="29"/>
        <v>1</v>
      </c>
    </row>
    <row r="76" spans="1:80" x14ac:dyDescent="0.25">
      <c r="A76" s="35">
        <v>45824</v>
      </c>
      <c r="B76" s="36">
        <v>12</v>
      </c>
      <c r="C76" t="s">
        <v>119</v>
      </c>
      <c r="D76" t="s">
        <v>6</v>
      </c>
      <c r="E76" t="s">
        <v>126</v>
      </c>
      <c r="F76" t="s">
        <v>127</v>
      </c>
      <c r="G76">
        <v>24615</v>
      </c>
      <c r="H76">
        <v>2140110610</v>
      </c>
      <c r="I76" t="s">
        <v>128</v>
      </c>
      <c r="J76" s="37">
        <v>21625</v>
      </c>
      <c r="K76" s="37">
        <v>10</v>
      </c>
      <c r="M76">
        <v>7952</v>
      </c>
      <c r="N76">
        <v>200.49370849999579</v>
      </c>
      <c r="O76">
        <v>100</v>
      </c>
      <c r="P76">
        <v>68</v>
      </c>
      <c r="Q76">
        <v>18</v>
      </c>
      <c r="V76" t="s">
        <v>116</v>
      </c>
      <c r="Y76" s="38">
        <v>0.79166666666666663</v>
      </c>
      <c r="Z76" s="38">
        <v>0.29166666666666669</v>
      </c>
      <c r="AA76" t="s">
        <v>117</v>
      </c>
      <c r="AC76" t="s">
        <v>118</v>
      </c>
      <c r="AD76">
        <v>0.25</v>
      </c>
      <c r="AQ76">
        <v>0.25</v>
      </c>
      <c r="AR76">
        <v>0.75</v>
      </c>
      <c r="BK76">
        <f>0</f>
        <v>0</v>
      </c>
      <c r="BL76">
        <f t="shared" si="15"/>
        <v>1.25</v>
      </c>
      <c r="BM76">
        <f t="shared" si="16"/>
        <v>0</v>
      </c>
      <c r="BN76">
        <f t="shared" si="17"/>
        <v>0</v>
      </c>
      <c r="BO76">
        <f t="shared" si="18"/>
        <v>1</v>
      </c>
      <c r="BP76" s="37">
        <f>IF($F76="","",IFERROR(INDEX(Familias!$C$5:$C$300,MATCH($F76,Familias!$A$5:$A$300,0)),""))</f>
        <v>2450</v>
      </c>
      <c r="BQ76" s="37">
        <f t="shared" si="19"/>
        <v>21635</v>
      </c>
      <c r="BR76" s="36">
        <f t="shared" si="20"/>
        <v>12</v>
      </c>
      <c r="BS76" s="36">
        <f t="shared" si="21"/>
        <v>1.25</v>
      </c>
      <c r="BT76" s="36">
        <f t="shared" si="22"/>
        <v>10.75</v>
      </c>
      <c r="BU76" s="36">
        <f t="shared" si="23"/>
        <v>8.8306000000000004</v>
      </c>
      <c r="BV76" s="39">
        <f t="shared" si="24"/>
        <v>0.82145116279069774</v>
      </c>
      <c r="BW76" s="39">
        <f t="shared" si="25"/>
        <v>0.99953778599491561</v>
      </c>
      <c r="BX76" s="40">
        <f t="shared" si="26"/>
        <v>2.1126760563380281E-2</v>
      </c>
      <c r="BY76" s="40">
        <f t="shared" si="27"/>
        <v>2.2635814889336017E-3</v>
      </c>
      <c r="BZ76" t="str">
        <f t="shared" si="28"/>
        <v>OK</v>
      </c>
      <c r="CA76">
        <f t="shared" si="29"/>
        <v>1</v>
      </c>
    </row>
    <row r="77" spans="1:80" x14ac:dyDescent="0.25">
      <c r="A77" s="35">
        <v>45825</v>
      </c>
      <c r="B77" s="36">
        <v>12</v>
      </c>
      <c r="C77" t="s">
        <v>113</v>
      </c>
      <c r="D77" t="s">
        <v>6</v>
      </c>
      <c r="E77" t="s">
        <v>126</v>
      </c>
      <c r="F77" t="s">
        <v>127</v>
      </c>
      <c r="G77">
        <v>24615</v>
      </c>
      <c r="H77">
        <v>2140110610</v>
      </c>
      <c r="I77" t="s">
        <v>128</v>
      </c>
      <c r="J77" s="37">
        <v>21775</v>
      </c>
      <c r="K77" s="37">
        <v>10</v>
      </c>
      <c r="M77">
        <v>8089</v>
      </c>
      <c r="N77">
        <v>201.88377349999581</v>
      </c>
      <c r="O77">
        <v>150</v>
      </c>
      <c r="P77">
        <v>80</v>
      </c>
      <c r="Q77">
        <v>49</v>
      </c>
      <c r="T77">
        <v>10</v>
      </c>
      <c r="V77" t="s">
        <v>120</v>
      </c>
      <c r="Y77" s="38">
        <v>0.29166666666666669</v>
      </c>
      <c r="Z77" s="38">
        <v>0.79166666666666663</v>
      </c>
      <c r="AA77" t="s">
        <v>117</v>
      </c>
      <c r="AC77" t="s">
        <v>118</v>
      </c>
      <c r="AO77">
        <v>1</v>
      </c>
      <c r="AQ77">
        <v>0.25</v>
      </c>
      <c r="BI77">
        <v>0.33329999999999999</v>
      </c>
      <c r="BK77">
        <f>0</f>
        <v>0</v>
      </c>
      <c r="BL77">
        <f t="shared" si="15"/>
        <v>1.5832999999999999</v>
      </c>
      <c r="BM77">
        <f t="shared" si="16"/>
        <v>0</v>
      </c>
      <c r="BN77">
        <f t="shared" si="17"/>
        <v>0</v>
      </c>
      <c r="BO77">
        <f t="shared" si="18"/>
        <v>1</v>
      </c>
      <c r="BP77" s="37">
        <f>IF($F77="","",IFERROR(INDEX(Familias!$C$5:$C$300,MATCH($F77,Familias!$A$5:$A$300,0)),""))</f>
        <v>2450</v>
      </c>
      <c r="BQ77" s="37">
        <f t="shared" si="19"/>
        <v>21785</v>
      </c>
      <c r="BR77" s="36">
        <f t="shared" si="20"/>
        <v>12</v>
      </c>
      <c r="BS77" s="36">
        <f t="shared" si="21"/>
        <v>1.5832999999999999</v>
      </c>
      <c r="BT77" s="36">
        <f t="shared" si="22"/>
        <v>10.416700000000001</v>
      </c>
      <c r="BU77" s="36">
        <f t="shared" si="23"/>
        <v>8.8917999999999999</v>
      </c>
      <c r="BV77" s="39">
        <f t="shared" si="24"/>
        <v>0.85361006844778087</v>
      </c>
      <c r="BW77" s="39">
        <f t="shared" si="25"/>
        <v>0.99954096855634611</v>
      </c>
      <c r="BX77" s="40">
        <f t="shared" si="26"/>
        <v>2.8433675361602177E-2</v>
      </c>
      <c r="BY77" s="40">
        <f t="shared" si="27"/>
        <v>6.057609098776116E-3</v>
      </c>
      <c r="BZ77" t="str">
        <f t="shared" si="28"/>
        <v>OK</v>
      </c>
      <c r="CA77">
        <f t="shared" si="29"/>
        <v>1</v>
      </c>
    </row>
    <row r="78" spans="1:80" x14ac:dyDescent="0.25">
      <c r="A78" s="35">
        <v>45825</v>
      </c>
      <c r="B78" s="36">
        <v>12</v>
      </c>
      <c r="C78" t="s">
        <v>119</v>
      </c>
      <c r="D78" t="s">
        <v>6</v>
      </c>
      <c r="E78" t="s">
        <v>126</v>
      </c>
      <c r="F78" t="s">
        <v>127</v>
      </c>
      <c r="G78">
        <v>24615</v>
      </c>
      <c r="H78">
        <v>2140110610</v>
      </c>
      <c r="I78" t="s">
        <v>128</v>
      </c>
      <c r="J78" s="37">
        <v>23225</v>
      </c>
      <c r="K78" s="37">
        <v>20</v>
      </c>
      <c r="M78">
        <v>8275</v>
      </c>
      <c r="N78">
        <v>215.4137394999955</v>
      </c>
      <c r="O78">
        <v>60</v>
      </c>
      <c r="P78">
        <v>80</v>
      </c>
      <c r="Q78">
        <v>28</v>
      </c>
      <c r="T78">
        <v>11</v>
      </c>
      <c r="V78" t="s">
        <v>116</v>
      </c>
      <c r="Y78" s="38">
        <v>0.79166666666666663</v>
      </c>
      <c r="Z78" s="38">
        <v>0.29166666666666669</v>
      </c>
      <c r="AA78" t="s">
        <v>117</v>
      </c>
      <c r="AC78" t="s">
        <v>118</v>
      </c>
      <c r="AD78">
        <v>0.33329999999999999</v>
      </c>
      <c r="AJ78">
        <v>0.25</v>
      </c>
      <c r="AQ78">
        <v>0.25</v>
      </c>
      <c r="AR78">
        <v>0.75</v>
      </c>
      <c r="BK78">
        <f>0</f>
        <v>0</v>
      </c>
      <c r="BL78">
        <f t="shared" si="15"/>
        <v>1.5832999999999999</v>
      </c>
      <c r="BM78">
        <f t="shared" si="16"/>
        <v>0</v>
      </c>
      <c r="BN78">
        <f t="shared" si="17"/>
        <v>0</v>
      </c>
      <c r="BO78">
        <f t="shared" si="18"/>
        <v>1</v>
      </c>
      <c r="BP78" s="37">
        <f>IF($F78="","",IFERROR(INDEX(Familias!$C$5:$C$300,MATCH($F78,Familias!$A$5:$A$300,0)),""))</f>
        <v>2450</v>
      </c>
      <c r="BQ78" s="37">
        <f t="shared" si="19"/>
        <v>23245</v>
      </c>
      <c r="BR78" s="36">
        <f t="shared" si="20"/>
        <v>12</v>
      </c>
      <c r="BS78" s="36">
        <f t="shared" si="21"/>
        <v>1.5832999999999999</v>
      </c>
      <c r="BT78" s="36">
        <f t="shared" si="22"/>
        <v>10.416700000000001</v>
      </c>
      <c r="BU78" s="36">
        <f t="shared" si="23"/>
        <v>9.4878</v>
      </c>
      <c r="BV78" s="39">
        <f t="shared" si="24"/>
        <v>0.9108258853571668</v>
      </c>
      <c r="BW78" s="39">
        <f t="shared" si="25"/>
        <v>0.99913959991395995</v>
      </c>
      <c r="BX78" s="40">
        <f t="shared" si="26"/>
        <v>1.6918429003021148E-2</v>
      </c>
      <c r="BY78" s="40">
        <f t="shared" si="27"/>
        <v>3.3836858006042296E-3</v>
      </c>
      <c r="BZ78" t="str">
        <f t="shared" si="28"/>
        <v>OK</v>
      </c>
      <c r="CA78">
        <f t="shared" si="29"/>
        <v>1</v>
      </c>
    </row>
    <row r="79" spans="1:80" x14ac:dyDescent="0.25">
      <c r="A79" s="35">
        <v>45849</v>
      </c>
      <c r="B79" s="36">
        <v>12</v>
      </c>
      <c r="C79" t="s">
        <v>113</v>
      </c>
      <c r="D79" t="s">
        <v>6</v>
      </c>
      <c r="E79" t="s">
        <v>126</v>
      </c>
      <c r="F79" t="s">
        <v>127</v>
      </c>
      <c r="G79">
        <v>115</v>
      </c>
      <c r="H79">
        <v>2140110610</v>
      </c>
      <c r="I79" t="s">
        <v>128</v>
      </c>
      <c r="J79" s="37">
        <v>22500</v>
      </c>
      <c r="K79" s="37">
        <v>15</v>
      </c>
      <c r="M79">
        <v>8227</v>
      </c>
      <c r="N79">
        <v>208.6487564999957</v>
      </c>
      <c r="O79">
        <v>60</v>
      </c>
      <c r="P79">
        <v>88</v>
      </c>
      <c r="Q79">
        <v>68</v>
      </c>
      <c r="T79">
        <v>10</v>
      </c>
      <c r="V79" t="s">
        <v>116</v>
      </c>
      <c r="Y79" s="38">
        <v>0.29166666666666669</v>
      </c>
      <c r="Z79" s="38">
        <v>0.79166666666666663</v>
      </c>
      <c r="AA79" t="s">
        <v>117</v>
      </c>
      <c r="AC79" t="s">
        <v>118</v>
      </c>
      <c r="AK79">
        <v>3.25</v>
      </c>
      <c r="AO79">
        <v>0.33329999999999999</v>
      </c>
      <c r="AQ79">
        <v>0.25</v>
      </c>
      <c r="AR79">
        <v>0.75</v>
      </c>
      <c r="BK79">
        <f>0</f>
        <v>0</v>
      </c>
      <c r="BL79">
        <f t="shared" si="15"/>
        <v>4.5832999999999995</v>
      </c>
      <c r="BM79">
        <f t="shared" si="16"/>
        <v>0</v>
      </c>
      <c r="BN79">
        <f t="shared" si="17"/>
        <v>0</v>
      </c>
      <c r="BO79">
        <f t="shared" si="18"/>
        <v>1</v>
      </c>
      <c r="BP79" s="37">
        <f>IF($F79="","",IFERROR(INDEX(Familias!$C$5:$C$300,MATCH($F79,Familias!$A$5:$A$300,0)),""))</f>
        <v>2450</v>
      </c>
      <c r="BQ79" s="37">
        <f t="shared" si="19"/>
        <v>22515</v>
      </c>
      <c r="BR79" s="36">
        <f t="shared" si="20"/>
        <v>12</v>
      </c>
      <c r="BS79" s="36">
        <f t="shared" si="21"/>
        <v>4.5833000000000004</v>
      </c>
      <c r="BT79" s="36">
        <f t="shared" si="22"/>
        <v>7.4166999999999996</v>
      </c>
      <c r="BU79" s="36">
        <f t="shared" si="23"/>
        <v>9.1898</v>
      </c>
      <c r="BV79" s="39">
        <f t="shared" si="24"/>
        <v>1.2390685884557824</v>
      </c>
      <c r="BW79" s="39">
        <f t="shared" si="25"/>
        <v>0.99933377748167884</v>
      </c>
      <c r="BX79" s="40">
        <f t="shared" si="26"/>
        <v>1.798954661480491E-2</v>
      </c>
      <c r="BY79" s="40">
        <f t="shared" si="27"/>
        <v>8.2654673635590131E-3</v>
      </c>
      <c r="BZ79" t="str">
        <f t="shared" si="28"/>
        <v>Revisar rendimiento</v>
      </c>
      <c r="CA79">
        <f t="shared" si="29"/>
        <v>1</v>
      </c>
    </row>
    <row r="80" spans="1:80" x14ac:dyDescent="0.25">
      <c r="A80" s="35">
        <v>45849</v>
      </c>
      <c r="B80" s="36">
        <v>12</v>
      </c>
      <c r="C80" t="s">
        <v>119</v>
      </c>
      <c r="D80" t="s">
        <v>6</v>
      </c>
      <c r="E80" t="s">
        <v>126</v>
      </c>
      <c r="F80" t="s">
        <v>127</v>
      </c>
      <c r="G80">
        <v>115</v>
      </c>
      <c r="H80">
        <v>2140110610</v>
      </c>
      <c r="I80" t="s">
        <v>128</v>
      </c>
      <c r="J80" s="37">
        <v>6925</v>
      </c>
      <c r="K80" s="37">
        <v>50</v>
      </c>
      <c r="M80">
        <v>2776</v>
      </c>
      <c r="N80">
        <v>64.638022499998655</v>
      </c>
      <c r="O80">
        <v>90</v>
      </c>
      <c r="P80">
        <v>16</v>
      </c>
      <c r="Q80">
        <v>88</v>
      </c>
      <c r="R80">
        <v>110</v>
      </c>
      <c r="T80">
        <v>4</v>
      </c>
      <c r="V80" t="s">
        <v>120</v>
      </c>
      <c r="Y80" s="38">
        <v>0.79166666666666663</v>
      </c>
      <c r="Z80" s="38">
        <v>0.29166666666666669</v>
      </c>
      <c r="AA80" t="s">
        <v>117</v>
      </c>
      <c r="AC80" t="s">
        <v>118</v>
      </c>
      <c r="AQ80">
        <v>0.25</v>
      </c>
      <c r="AR80">
        <v>0.75</v>
      </c>
      <c r="BI80">
        <v>0.5</v>
      </c>
      <c r="BK80">
        <f>0</f>
        <v>0</v>
      </c>
      <c r="BL80">
        <f t="shared" si="15"/>
        <v>1.5</v>
      </c>
      <c r="BM80">
        <f t="shared" si="16"/>
        <v>0</v>
      </c>
      <c r="BN80">
        <f t="shared" si="17"/>
        <v>0</v>
      </c>
      <c r="BO80">
        <f t="shared" si="18"/>
        <v>1</v>
      </c>
      <c r="BP80" s="37">
        <f>IF($F80="","",IFERROR(INDEX(Familias!$C$5:$C$300,MATCH($F80,Familias!$A$5:$A$300,0)),""))</f>
        <v>2450</v>
      </c>
      <c r="BQ80" s="37">
        <f t="shared" si="19"/>
        <v>6975</v>
      </c>
      <c r="BR80" s="36">
        <f t="shared" si="20"/>
        <v>12</v>
      </c>
      <c r="BS80" s="36">
        <f t="shared" si="21"/>
        <v>1.5</v>
      </c>
      <c r="BT80" s="36">
        <f t="shared" si="22"/>
        <v>10.5</v>
      </c>
      <c r="BU80" s="36">
        <f t="shared" si="23"/>
        <v>2.8469000000000002</v>
      </c>
      <c r="BV80" s="39">
        <f t="shared" si="24"/>
        <v>0.27113333333333334</v>
      </c>
      <c r="BW80" s="39">
        <f t="shared" si="25"/>
        <v>0.99283154121863804</v>
      </c>
      <c r="BX80" s="40">
        <f t="shared" si="26"/>
        <v>7.7809798270893377E-2</v>
      </c>
      <c r="BY80" s="40">
        <f t="shared" si="27"/>
        <v>3.1700288184438041E-2</v>
      </c>
      <c r="BZ80" t="str">
        <f t="shared" si="28"/>
        <v>OK</v>
      </c>
      <c r="CA80">
        <f t="shared" si="29"/>
        <v>1</v>
      </c>
    </row>
    <row r="81" spans="1:80" x14ac:dyDescent="0.25">
      <c r="A81" s="35">
        <v>45850</v>
      </c>
      <c r="B81" s="36">
        <v>12</v>
      </c>
      <c r="C81" t="s">
        <v>113</v>
      </c>
      <c r="D81" t="s">
        <v>6</v>
      </c>
      <c r="E81" t="s">
        <v>126</v>
      </c>
      <c r="F81" t="s">
        <v>127</v>
      </c>
      <c r="G81">
        <v>115</v>
      </c>
      <c r="H81">
        <v>2140110610</v>
      </c>
      <c r="I81" t="s">
        <v>128</v>
      </c>
      <c r="J81" s="37">
        <v>17300</v>
      </c>
      <c r="K81" s="37">
        <v>15</v>
      </c>
      <c r="M81">
        <v>6393</v>
      </c>
      <c r="N81">
        <v>160.4598364999967</v>
      </c>
      <c r="O81">
        <v>160</v>
      </c>
      <c r="P81">
        <v>42</v>
      </c>
      <c r="Q81">
        <v>44</v>
      </c>
      <c r="T81">
        <v>8</v>
      </c>
      <c r="V81" t="s">
        <v>116</v>
      </c>
      <c r="Y81" s="38">
        <v>0.29166666666666669</v>
      </c>
      <c r="Z81" s="38">
        <v>0.79166666666666663</v>
      </c>
      <c r="AA81" t="s">
        <v>117</v>
      </c>
      <c r="AC81" t="s">
        <v>118</v>
      </c>
      <c r="AO81">
        <v>0.33329999999999999</v>
      </c>
      <c r="AQ81">
        <v>0.25</v>
      </c>
      <c r="AR81">
        <v>0.75</v>
      </c>
      <c r="BI81">
        <v>0.5</v>
      </c>
      <c r="BJ81">
        <v>1.5</v>
      </c>
      <c r="BK81">
        <f>0</f>
        <v>0</v>
      </c>
      <c r="BL81">
        <f t="shared" si="15"/>
        <v>3.3332999999999999</v>
      </c>
      <c r="BM81">
        <f t="shared" si="16"/>
        <v>0</v>
      </c>
      <c r="BN81">
        <f t="shared" si="17"/>
        <v>0</v>
      </c>
      <c r="BO81">
        <f t="shared" si="18"/>
        <v>1</v>
      </c>
      <c r="BP81" s="37">
        <f>IF($F81="","",IFERROR(INDEX(Familias!$C$5:$C$300,MATCH($F81,Familias!$A$5:$A$300,0)),""))</f>
        <v>2450</v>
      </c>
      <c r="BQ81" s="37">
        <f t="shared" si="19"/>
        <v>17315</v>
      </c>
      <c r="BR81" s="36">
        <f t="shared" si="20"/>
        <v>12</v>
      </c>
      <c r="BS81" s="36">
        <f t="shared" si="21"/>
        <v>3.3332999999999999</v>
      </c>
      <c r="BT81" s="36">
        <f t="shared" si="22"/>
        <v>8.6667000000000005</v>
      </c>
      <c r="BU81" s="36">
        <f t="shared" si="23"/>
        <v>7.0673000000000004</v>
      </c>
      <c r="BV81" s="39">
        <f t="shared" si="24"/>
        <v>0.81545455594401561</v>
      </c>
      <c r="BW81" s="39">
        <f t="shared" si="25"/>
        <v>0.99913369910482241</v>
      </c>
      <c r="BX81" s="40">
        <f t="shared" si="26"/>
        <v>3.1597059283591425E-2</v>
      </c>
      <c r="BY81" s="40">
        <f t="shared" si="27"/>
        <v>6.882527764742687E-3</v>
      </c>
      <c r="BZ81" t="str">
        <f t="shared" si="28"/>
        <v>OK</v>
      </c>
      <c r="CA81">
        <f t="shared" si="29"/>
        <v>1</v>
      </c>
    </row>
    <row r="82" spans="1:80" x14ac:dyDescent="0.25">
      <c r="A82" s="35">
        <v>45850</v>
      </c>
      <c r="B82" s="36">
        <v>12</v>
      </c>
      <c r="C82" t="s">
        <v>119</v>
      </c>
      <c r="D82" t="s">
        <v>6</v>
      </c>
      <c r="E82" t="s">
        <v>126</v>
      </c>
      <c r="F82" t="s">
        <v>127</v>
      </c>
      <c r="G82">
        <v>115</v>
      </c>
      <c r="H82">
        <v>2140110610</v>
      </c>
      <c r="I82" t="s">
        <v>128</v>
      </c>
      <c r="J82" s="37">
        <v>16725</v>
      </c>
      <c r="K82" s="37">
        <v>5</v>
      </c>
      <c r="M82">
        <v>6119</v>
      </c>
      <c r="N82">
        <v>155.03858299999681</v>
      </c>
      <c r="O82">
        <v>50</v>
      </c>
      <c r="P82">
        <v>56</v>
      </c>
      <c r="Q82">
        <v>93</v>
      </c>
      <c r="T82">
        <v>7</v>
      </c>
      <c r="V82" t="s">
        <v>120</v>
      </c>
      <c r="Y82" s="38">
        <v>0.79166666666666663</v>
      </c>
      <c r="Z82" s="38">
        <v>0.29166666666666669</v>
      </c>
      <c r="AA82" t="s">
        <v>117</v>
      </c>
      <c r="AC82" t="s">
        <v>118</v>
      </c>
      <c r="AJ82">
        <v>0.66669999999999996</v>
      </c>
      <c r="AR82">
        <v>0.75</v>
      </c>
      <c r="BC82">
        <v>3.8332999999999999</v>
      </c>
      <c r="BI82">
        <v>0.5</v>
      </c>
      <c r="BK82">
        <f>0</f>
        <v>0</v>
      </c>
      <c r="BL82">
        <f t="shared" si="15"/>
        <v>5.75</v>
      </c>
      <c r="BM82">
        <f t="shared" si="16"/>
        <v>0</v>
      </c>
      <c r="BN82">
        <f t="shared" si="17"/>
        <v>0</v>
      </c>
      <c r="BO82">
        <f t="shared" si="18"/>
        <v>1</v>
      </c>
      <c r="BP82" s="37">
        <f>IF($F82="","",IFERROR(INDEX(Familias!$C$5:$C$300,MATCH($F82,Familias!$A$5:$A$300,0)),""))</f>
        <v>2450</v>
      </c>
      <c r="BQ82" s="37">
        <f t="shared" si="19"/>
        <v>16730</v>
      </c>
      <c r="BR82" s="36">
        <f t="shared" si="20"/>
        <v>12</v>
      </c>
      <c r="BS82" s="36">
        <f t="shared" si="21"/>
        <v>5.75</v>
      </c>
      <c r="BT82" s="36">
        <f t="shared" si="22"/>
        <v>6.25</v>
      </c>
      <c r="BU82" s="36">
        <f t="shared" si="23"/>
        <v>6.8285999999999998</v>
      </c>
      <c r="BV82" s="39">
        <f t="shared" si="24"/>
        <v>1.092576</v>
      </c>
      <c r="BW82" s="39">
        <f t="shared" si="25"/>
        <v>0.99970113568439933</v>
      </c>
      <c r="BX82" s="40">
        <f t="shared" si="26"/>
        <v>1.7323092008498121E-2</v>
      </c>
      <c r="BY82" s="40">
        <f t="shared" si="27"/>
        <v>1.5198561856512503E-2</v>
      </c>
      <c r="BZ82" t="str">
        <f t="shared" si="28"/>
        <v>OK</v>
      </c>
      <c r="CA82">
        <f t="shared" si="29"/>
        <v>1</v>
      </c>
    </row>
    <row r="83" spans="1:80" x14ac:dyDescent="0.25">
      <c r="A83" s="35">
        <v>45852</v>
      </c>
      <c r="B83" s="36">
        <v>12</v>
      </c>
      <c r="C83" t="s">
        <v>113</v>
      </c>
      <c r="D83" t="s">
        <v>6</v>
      </c>
      <c r="E83" t="s">
        <v>126</v>
      </c>
      <c r="F83" t="s">
        <v>127</v>
      </c>
      <c r="G83">
        <v>115</v>
      </c>
      <c r="H83">
        <v>2140110610</v>
      </c>
      <c r="I83" t="s">
        <v>128</v>
      </c>
      <c r="J83" s="37">
        <v>6750</v>
      </c>
      <c r="K83" s="37">
        <v>37</v>
      </c>
      <c r="M83">
        <v>2887</v>
      </c>
      <c r="N83">
        <v>62.895807699998699</v>
      </c>
      <c r="O83">
        <v>190</v>
      </c>
      <c r="P83">
        <v>32</v>
      </c>
      <c r="Q83">
        <v>163</v>
      </c>
      <c r="T83">
        <v>3</v>
      </c>
      <c r="V83" t="s">
        <v>120</v>
      </c>
      <c r="Y83" s="38">
        <v>0.29166666666666669</v>
      </c>
      <c r="Z83" s="38">
        <v>0.79166666666666663</v>
      </c>
      <c r="AA83" t="s">
        <v>117</v>
      </c>
      <c r="AC83" t="s">
        <v>118</v>
      </c>
      <c r="AD83">
        <v>1</v>
      </c>
      <c r="AK83">
        <v>0.66669999999999996</v>
      </c>
      <c r="AO83">
        <v>1</v>
      </c>
      <c r="AQ83">
        <v>0.25</v>
      </c>
      <c r="AR83">
        <v>0.75</v>
      </c>
      <c r="BA83">
        <v>3.25</v>
      </c>
      <c r="BK83">
        <f>0</f>
        <v>0</v>
      </c>
      <c r="BL83">
        <f t="shared" si="15"/>
        <v>3.6667000000000001</v>
      </c>
      <c r="BM83">
        <f t="shared" si="16"/>
        <v>3.25</v>
      </c>
      <c r="BN83">
        <f t="shared" si="17"/>
        <v>0</v>
      </c>
      <c r="BO83">
        <f t="shared" si="18"/>
        <v>1</v>
      </c>
      <c r="BP83" s="37">
        <f>IF($F83="","",IFERROR(INDEX(Familias!$C$5:$C$300,MATCH($F83,Familias!$A$5:$A$300,0)),""))</f>
        <v>2450</v>
      </c>
      <c r="BQ83" s="37">
        <f t="shared" si="19"/>
        <v>6787</v>
      </c>
      <c r="BR83" s="36">
        <f t="shared" si="20"/>
        <v>12</v>
      </c>
      <c r="BS83" s="36">
        <f t="shared" si="21"/>
        <v>6.9166999999999996</v>
      </c>
      <c r="BT83" s="36">
        <f t="shared" si="22"/>
        <v>5.0833000000000004</v>
      </c>
      <c r="BU83" s="36">
        <f t="shared" si="23"/>
        <v>2.7702</v>
      </c>
      <c r="BV83" s="39">
        <f t="shared" si="24"/>
        <v>0.54496095056361016</v>
      </c>
      <c r="BW83" s="39">
        <f t="shared" si="25"/>
        <v>0.99454840135553269</v>
      </c>
      <c r="BX83" s="40">
        <f t="shared" si="26"/>
        <v>7.6896432282646351E-2</v>
      </c>
      <c r="BY83" s="40">
        <f t="shared" si="27"/>
        <v>5.6459993072393487E-2</v>
      </c>
      <c r="BZ83" t="str">
        <f t="shared" si="28"/>
        <v>OK</v>
      </c>
      <c r="CA83">
        <f t="shared" si="29"/>
        <v>1</v>
      </c>
    </row>
    <row r="84" spans="1:80" x14ac:dyDescent="0.25">
      <c r="A84" s="35">
        <v>45852</v>
      </c>
      <c r="B84" s="36">
        <v>12</v>
      </c>
      <c r="C84" t="s">
        <v>119</v>
      </c>
      <c r="D84" t="s">
        <v>6</v>
      </c>
      <c r="E84" t="s">
        <v>126</v>
      </c>
      <c r="F84" t="s">
        <v>127</v>
      </c>
      <c r="G84">
        <v>115</v>
      </c>
      <c r="H84">
        <v>2140110610</v>
      </c>
      <c r="I84" t="s">
        <v>128</v>
      </c>
      <c r="J84" s="37">
        <v>17725</v>
      </c>
      <c r="K84" s="37">
        <v>35</v>
      </c>
      <c r="M84">
        <v>6595</v>
      </c>
      <c r="N84">
        <v>164.58369599999659</v>
      </c>
      <c r="O84">
        <v>170</v>
      </c>
      <c r="P84">
        <v>66</v>
      </c>
      <c r="Q84">
        <v>20</v>
      </c>
      <c r="T84">
        <v>9</v>
      </c>
      <c r="V84" t="s">
        <v>116</v>
      </c>
      <c r="Y84" s="38">
        <v>0.79166666666666663</v>
      </c>
      <c r="Z84" s="38">
        <v>0.29166666666666669</v>
      </c>
      <c r="AA84" t="s">
        <v>117</v>
      </c>
      <c r="AC84" t="s">
        <v>118</v>
      </c>
      <c r="AK84">
        <v>1.75</v>
      </c>
      <c r="AQ84">
        <v>0.25</v>
      </c>
      <c r="AR84">
        <v>0.75</v>
      </c>
      <c r="BK84">
        <f>0</f>
        <v>0</v>
      </c>
      <c r="BL84">
        <f t="shared" si="15"/>
        <v>2.75</v>
      </c>
      <c r="BM84">
        <f t="shared" si="16"/>
        <v>0</v>
      </c>
      <c r="BN84">
        <f t="shared" si="17"/>
        <v>0</v>
      </c>
      <c r="BO84">
        <f t="shared" si="18"/>
        <v>1</v>
      </c>
      <c r="BP84" s="37">
        <f>IF($F84="","",IFERROR(INDEX(Familias!$C$5:$C$300,MATCH($F84,Familias!$A$5:$A$300,0)),""))</f>
        <v>2450</v>
      </c>
      <c r="BQ84" s="37">
        <f t="shared" si="19"/>
        <v>17760</v>
      </c>
      <c r="BR84" s="36">
        <f t="shared" si="20"/>
        <v>12</v>
      </c>
      <c r="BS84" s="36">
        <f t="shared" si="21"/>
        <v>2.75</v>
      </c>
      <c r="BT84" s="36">
        <f t="shared" si="22"/>
        <v>9.25</v>
      </c>
      <c r="BU84" s="36">
        <f t="shared" si="23"/>
        <v>7.2489999999999997</v>
      </c>
      <c r="BV84" s="39">
        <f t="shared" si="24"/>
        <v>0.78367567567567564</v>
      </c>
      <c r="BW84" s="39">
        <f t="shared" si="25"/>
        <v>0.99802927927927931</v>
      </c>
      <c r="BX84" s="40">
        <f t="shared" si="26"/>
        <v>3.5784685367702802E-2</v>
      </c>
      <c r="BY84" s="40">
        <f t="shared" si="27"/>
        <v>3.0326004548900682E-3</v>
      </c>
      <c r="BZ84" t="str">
        <f t="shared" si="28"/>
        <v>OK</v>
      </c>
      <c r="CA84">
        <f t="shared" si="29"/>
        <v>1</v>
      </c>
    </row>
    <row r="85" spans="1:80" x14ac:dyDescent="0.25">
      <c r="A85" s="35">
        <v>45853</v>
      </c>
      <c r="B85" s="36">
        <v>12</v>
      </c>
      <c r="C85" t="s">
        <v>113</v>
      </c>
      <c r="D85" t="s">
        <v>6</v>
      </c>
      <c r="E85" t="s">
        <v>126</v>
      </c>
      <c r="F85" t="s">
        <v>127</v>
      </c>
      <c r="G85">
        <v>115</v>
      </c>
      <c r="H85">
        <v>2140110610</v>
      </c>
      <c r="I85" t="s">
        <v>128</v>
      </c>
      <c r="J85" s="37">
        <v>19250</v>
      </c>
      <c r="K85" s="37">
        <v>20</v>
      </c>
      <c r="M85">
        <v>7435</v>
      </c>
      <c r="N85">
        <v>178.57701699999629</v>
      </c>
      <c r="O85">
        <v>200</v>
      </c>
      <c r="P85">
        <v>80</v>
      </c>
      <c r="Q85">
        <v>81</v>
      </c>
      <c r="T85">
        <v>10</v>
      </c>
      <c r="V85" t="s">
        <v>120</v>
      </c>
      <c r="Y85" s="38">
        <v>0.29166666666666669</v>
      </c>
      <c r="Z85" s="38">
        <v>0.79166666666666663</v>
      </c>
      <c r="AA85" t="s">
        <v>117</v>
      </c>
      <c r="AC85" t="s">
        <v>118</v>
      </c>
      <c r="AO85">
        <v>0.5</v>
      </c>
      <c r="AQ85">
        <v>0.25</v>
      </c>
      <c r="AR85">
        <v>0.75</v>
      </c>
      <c r="BI85">
        <v>0.5</v>
      </c>
      <c r="BK85">
        <f>0</f>
        <v>0</v>
      </c>
      <c r="BL85">
        <f t="shared" si="15"/>
        <v>2</v>
      </c>
      <c r="BM85">
        <f t="shared" si="16"/>
        <v>0</v>
      </c>
      <c r="BN85">
        <f t="shared" si="17"/>
        <v>0</v>
      </c>
      <c r="BO85">
        <f t="shared" si="18"/>
        <v>1</v>
      </c>
      <c r="BP85" s="37">
        <f>IF($F85="","",IFERROR(INDEX(Familias!$C$5:$C$300,MATCH($F85,Familias!$A$5:$A$300,0)),""))</f>
        <v>2450</v>
      </c>
      <c r="BQ85" s="37">
        <f t="shared" si="19"/>
        <v>19270</v>
      </c>
      <c r="BR85" s="36">
        <f t="shared" si="20"/>
        <v>12</v>
      </c>
      <c r="BS85" s="36">
        <f t="shared" si="21"/>
        <v>2</v>
      </c>
      <c r="BT85" s="36">
        <f t="shared" si="22"/>
        <v>10</v>
      </c>
      <c r="BU85" s="36">
        <f t="shared" si="23"/>
        <v>7.8653000000000004</v>
      </c>
      <c r="BV85" s="39">
        <f t="shared" si="24"/>
        <v>0.78653000000000006</v>
      </c>
      <c r="BW85" s="39">
        <f t="shared" si="25"/>
        <v>0.99896211728074724</v>
      </c>
      <c r="BX85" s="40">
        <f t="shared" si="26"/>
        <v>3.765971755211836E-2</v>
      </c>
      <c r="BY85" s="40">
        <f t="shared" si="27"/>
        <v>1.0894418291862811E-2</v>
      </c>
      <c r="BZ85" t="str">
        <f t="shared" si="28"/>
        <v>OK</v>
      </c>
      <c r="CA85">
        <f t="shared" si="29"/>
        <v>1</v>
      </c>
    </row>
    <row r="86" spans="1:80" x14ac:dyDescent="0.25">
      <c r="A86" s="35">
        <v>45853</v>
      </c>
      <c r="B86" s="36">
        <v>12</v>
      </c>
      <c r="C86" t="s">
        <v>119</v>
      </c>
      <c r="D86" t="s">
        <v>6</v>
      </c>
      <c r="E86" t="s">
        <v>126</v>
      </c>
      <c r="F86" t="s">
        <v>127</v>
      </c>
      <c r="G86">
        <v>115</v>
      </c>
      <c r="H86">
        <v>2140110610</v>
      </c>
      <c r="I86" t="s">
        <v>128</v>
      </c>
      <c r="J86" s="37">
        <v>20800</v>
      </c>
      <c r="K86" s="37">
        <v>10</v>
      </c>
      <c r="M86">
        <v>7635</v>
      </c>
      <c r="N86">
        <v>192.848350999996</v>
      </c>
      <c r="O86">
        <v>92</v>
      </c>
      <c r="P86">
        <v>80</v>
      </c>
      <c r="V86" t="s">
        <v>116</v>
      </c>
      <c r="Y86" s="38">
        <v>0.79166666666666663</v>
      </c>
      <c r="Z86" s="38">
        <v>0.29166666666666669</v>
      </c>
      <c r="AA86" t="s">
        <v>117</v>
      </c>
      <c r="AC86" t="s">
        <v>118</v>
      </c>
      <c r="AQ86">
        <v>0.25</v>
      </c>
      <c r="AR86">
        <v>0.75</v>
      </c>
      <c r="BI86">
        <v>0.5</v>
      </c>
      <c r="BK86">
        <f>0</f>
        <v>0</v>
      </c>
      <c r="BL86">
        <f t="shared" si="15"/>
        <v>1.5</v>
      </c>
      <c r="BM86">
        <f t="shared" si="16"/>
        <v>0</v>
      </c>
      <c r="BN86">
        <f t="shared" si="17"/>
        <v>0</v>
      </c>
      <c r="BO86">
        <f t="shared" si="18"/>
        <v>1</v>
      </c>
      <c r="BP86" s="37">
        <f>IF($F86="","",IFERROR(INDEX(Familias!$C$5:$C$300,MATCH($F86,Familias!$A$5:$A$300,0)),""))</f>
        <v>2450</v>
      </c>
      <c r="BQ86" s="37">
        <f t="shared" si="19"/>
        <v>20810</v>
      </c>
      <c r="BR86" s="36">
        <f t="shared" si="20"/>
        <v>12</v>
      </c>
      <c r="BS86" s="36">
        <f t="shared" si="21"/>
        <v>1.5</v>
      </c>
      <c r="BT86" s="36">
        <f t="shared" si="22"/>
        <v>10.5</v>
      </c>
      <c r="BU86" s="36">
        <f t="shared" si="23"/>
        <v>8.4939</v>
      </c>
      <c r="BV86" s="39">
        <f t="shared" si="24"/>
        <v>0.80894285714285719</v>
      </c>
      <c r="BW86" s="39">
        <f t="shared" si="25"/>
        <v>0.99951946179721285</v>
      </c>
      <c r="BX86" s="40">
        <f t="shared" si="26"/>
        <v>2.2527832351015062E-2</v>
      </c>
      <c r="BY86" s="40">
        <f t="shared" si="27"/>
        <v>0</v>
      </c>
      <c r="BZ86" t="str">
        <f t="shared" si="28"/>
        <v>OK</v>
      </c>
      <c r="CA86">
        <f t="shared" si="29"/>
        <v>1</v>
      </c>
    </row>
    <row r="87" spans="1:80" x14ac:dyDescent="0.25">
      <c r="A87" s="35">
        <v>45854</v>
      </c>
      <c r="B87" s="36">
        <v>12</v>
      </c>
      <c r="C87" t="s">
        <v>113</v>
      </c>
      <c r="D87" t="s">
        <v>6</v>
      </c>
      <c r="E87" t="s">
        <v>126</v>
      </c>
      <c r="F87" t="s">
        <v>127</v>
      </c>
      <c r="G87">
        <v>115</v>
      </c>
      <c r="H87">
        <v>2140110610</v>
      </c>
      <c r="I87" t="s">
        <v>128</v>
      </c>
      <c r="J87" s="37">
        <v>20975</v>
      </c>
      <c r="K87" s="37">
        <v>15</v>
      </c>
      <c r="M87">
        <v>7854</v>
      </c>
      <c r="N87">
        <v>194.51642899999601</v>
      </c>
      <c r="O87">
        <v>150</v>
      </c>
      <c r="P87">
        <v>88</v>
      </c>
      <c r="Q87">
        <v>71</v>
      </c>
      <c r="T87">
        <v>11</v>
      </c>
      <c r="V87" t="s">
        <v>120</v>
      </c>
      <c r="Y87" s="38">
        <v>0.29166666666666669</v>
      </c>
      <c r="Z87" s="38">
        <v>0.79166666666666663</v>
      </c>
      <c r="AA87" t="s">
        <v>117</v>
      </c>
      <c r="AC87" t="s">
        <v>118</v>
      </c>
      <c r="AO87">
        <v>0.5</v>
      </c>
      <c r="AQ87">
        <v>0.25</v>
      </c>
      <c r="AR87">
        <v>0.75</v>
      </c>
      <c r="BI87">
        <v>0.5</v>
      </c>
      <c r="BK87">
        <f>0</f>
        <v>0</v>
      </c>
      <c r="BL87">
        <f t="shared" si="15"/>
        <v>2</v>
      </c>
      <c r="BM87">
        <f t="shared" si="16"/>
        <v>0</v>
      </c>
      <c r="BN87">
        <f t="shared" si="17"/>
        <v>0</v>
      </c>
      <c r="BO87">
        <f t="shared" si="18"/>
        <v>1</v>
      </c>
      <c r="BP87" s="37">
        <f>IF($F87="","",IFERROR(INDEX(Familias!$C$5:$C$300,MATCH($F87,Familias!$A$5:$A$300,0)),""))</f>
        <v>2450</v>
      </c>
      <c r="BQ87" s="37">
        <f t="shared" si="19"/>
        <v>20990</v>
      </c>
      <c r="BR87" s="36">
        <f t="shared" si="20"/>
        <v>12</v>
      </c>
      <c r="BS87" s="36">
        <f t="shared" si="21"/>
        <v>2</v>
      </c>
      <c r="BT87" s="36">
        <f t="shared" si="22"/>
        <v>10</v>
      </c>
      <c r="BU87" s="36">
        <f t="shared" si="23"/>
        <v>8.5672999999999995</v>
      </c>
      <c r="BV87" s="39">
        <f t="shared" si="24"/>
        <v>0.85672999999999999</v>
      </c>
      <c r="BW87" s="39">
        <f t="shared" si="25"/>
        <v>0.99928537398761319</v>
      </c>
      <c r="BX87" s="40">
        <f t="shared" si="26"/>
        <v>3.0303030303030304E-2</v>
      </c>
      <c r="BY87" s="40">
        <f t="shared" si="27"/>
        <v>9.0399796282149229E-3</v>
      </c>
      <c r="BZ87" t="str">
        <f t="shared" si="28"/>
        <v>OK</v>
      </c>
      <c r="CA87">
        <f t="shared" si="29"/>
        <v>1</v>
      </c>
    </row>
    <row r="88" spans="1:80" x14ac:dyDescent="0.25">
      <c r="A88" s="35">
        <v>45854</v>
      </c>
      <c r="B88" s="36">
        <v>12</v>
      </c>
      <c r="C88" t="s">
        <v>119</v>
      </c>
      <c r="D88" t="s">
        <v>6</v>
      </c>
      <c r="E88" t="s">
        <v>126</v>
      </c>
      <c r="F88" t="s">
        <v>127</v>
      </c>
      <c r="G88">
        <v>115</v>
      </c>
      <c r="H88">
        <v>2140110610</v>
      </c>
      <c r="I88" t="s">
        <v>128</v>
      </c>
      <c r="J88" s="37">
        <v>20700</v>
      </c>
      <c r="K88" s="37">
        <v>6</v>
      </c>
      <c r="M88">
        <v>7571</v>
      </c>
      <c r="N88">
        <v>191.88457259999601</v>
      </c>
      <c r="O88">
        <v>93</v>
      </c>
      <c r="P88">
        <v>82</v>
      </c>
      <c r="T88">
        <v>10</v>
      </c>
      <c r="V88" t="s">
        <v>116</v>
      </c>
      <c r="Y88" s="38">
        <v>0.79166666666666663</v>
      </c>
      <c r="Z88" s="38">
        <v>0.29166666666666669</v>
      </c>
      <c r="AA88" t="s">
        <v>117</v>
      </c>
      <c r="AC88" t="s">
        <v>118</v>
      </c>
      <c r="AR88">
        <v>0.75</v>
      </c>
      <c r="AW88">
        <v>0.66669999999999996</v>
      </c>
      <c r="BI88">
        <v>0.5</v>
      </c>
      <c r="BK88">
        <f>0</f>
        <v>0</v>
      </c>
      <c r="BL88">
        <f t="shared" si="15"/>
        <v>1.9167000000000001</v>
      </c>
      <c r="BM88">
        <f t="shared" si="16"/>
        <v>0</v>
      </c>
      <c r="BN88">
        <f t="shared" si="17"/>
        <v>0</v>
      </c>
      <c r="BO88">
        <f t="shared" si="18"/>
        <v>1</v>
      </c>
      <c r="BP88" s="37">
        <f>IF($F88="","",IFERROR(INDEX(Familias!$C$5:$C$300,MATCH($F88,Familias!$A$5:$A$300,0)),""))</f>
        <v>2450</v>
      </c>
      <c r="BQ88" s="37">
        <f t="shared" si="19"/>
        <v>20706</v>
      </c>
      <c r="BR88" s="36">
        <f t="shared" si="20"/>
        <v>12</v>
      </c>
      <c r="BS88" s="36">
        <f t="shared" si="21"/>
        <v>1.9167000000000001</v>
      </c>
      <c r="BT88" s="36">
        <f t="shared" si="22"/>
        <v>10.083299999999999</v>
      </c>
      <c r="BU88" s="36">
        <f t="shared" si="23"/>
        <v>8.4513999999999996</v>
      </c>
      <c r="BV88" s="39">
        <f t="shared" si="24"/>
        <v>0.83815814267154598</v>
      </c>
      <c r="BW88" s="39">
        <f t="shared" si="25"/>
        <v>0.99971022891915384</v>
      </c>
      <c r="BX88" s="40">
        <f t="shared" si="26"/>
        <v>2.3114515915995244E-2</v>
      </c>
      <c r="BY88" s="40">
        <f t="shared" si="27"/>
        <v>0</v>
      </c>
      <c r="BZ88" t="str">
        <f t="shared" si="28"/>
        <v>OK</v>
      </c>
      <c r="CA88">
        <f t="shared" si="29"/>
        <v>1</v>
      </c>
    </row>
    <row r="89" spans="1:80" x14ac:dyDescent="0.25">
      <c r="A89" s="35">
        <v>45855</v>
      </c>
      <c r="B89" s="36">
        <v>12</v>
      </c>
      <c r="C89" t="s">
        <v>113</v>
      </c>
      <c r="D89" t="s">
        <v>6</v>
      </c>
      <c r="E89" t="s">
        <v>126</v>
      </c>
      <c r="F89" t="s">
        <v>144</v>
      </c>
      <c r="G89">
        <v>253</v>
      </c>
      <c r="H89">
        <v>2140110524</v>
      </c>
      <c r="I89" t="s">
        <v>145</v>
      </c>
      <c r="J89" s="37">
        <v>16850</v>
      </c>
      <c r="K89" s="37">
        <v>26</v>
      </c>
      <c r="M89">
        <v>6184</v>
      </c>
      <c r="N89">
        <v>145.96052399999999</v>
      </c>
      <c r="O89">
        <v>200</v>
      </c>
      <c r="P89">
        <v>153</v>
      </c>
      <c r="R89">
        <v>200</v>
      </c>
      <c r="T89">
        <v>9</v>
      </c>
      <c r="V89" t="s">
        <v>120</v>
      </c>
      <c r="Y89" s="38">
        <v>0.29166666666666669</v>
      </c>
      <c r="Z89" s="38">
        <v>0.79166666666666663</v>
      </c>
      <c r="AA89" t="s">
        <v>117</v>
      </c>
      <c r="AC89" t="s">
        <v>118</v>
      </c>
      <c r="AE89">
        <v>1</v>
      </c>
      <c r="AO89">
        <v>0.66669999999999996</v>
      </c>
      <c r="AQ89">
        <v>0.25</v>
      </c>
      <c r="AR89">
        <v>0.75</v>
      </c>
      <c r="BK89">
        <f>0</f>
        <v>0</v>
      </c>
      <c r="BL89">
        <f t="shared" si="15"/>
        <v>2.6667000000000001</v>
      </c>
      <c r="BM89">
        <f t="shared" si="16"/>
        <v>0</v>
      </c>
      <c r="BN89">
        <f t="shared" si="17"/>
        <v>0</v>
      </c>
      <c r="BO89">
        <f t="shared" si="18"/>
        <v>1</v>
      </c>
      <c r="BP89" s="37">
        <f>IF($F89="","",IFERROR(INDEX(Familias!$C$5:$C$300,MATCH($F89,Familias!$A$5:$A$300,0)),""))</f>
        <v>2040</v>
      </c>
      <c r="BQ89" s="37">
        <f t="shared" si="19"/>
        <v>16876</v>
      </c>
      <c r="BR89" s="36">
        <f t="shared" si="20"/>
        <v>12</v>
      </c>
      <c r="BS89" s="36">
        <f t="shared" si="21"/>
        <v>2.6667000000000001</v>
      </c>
      <c r="BT89" s="36">
        <f t="shared" si="22"/>
        <v>9.3332999999999995</v>
      </c>
      <c r="BU89" s="36">
        <f t="shared" si="23"/>
        <v>8.2725000000000009</v>
      </c>
      <c r="BV89" s="39">
        <f t="shared" si="24"/>
        <v>0.88634245122304023</v>
      </c>
      <c r="BW89" s="39">
        <f t="shared" si="25"/>
        <v>0.99845935055700408</v>
      </c>
      <c r="BX89" s="40">
        <f t="shared" si="26"/>
        <v>8.9424320827943077E-2</v>
      </c>
      <c r="BY89" s="40">
        <f t="shared" si="27"/>
        <v>0</v>
      </c>
      <c r="BZ89" t="str">
        <f t="shared" si="28"/>
        <v>OK</v>
      </c>
      <c r="CA89">
        <f t="shared" si="29"/>
        <v>1</v>
      </c>
    </row>
    <row r="90" spans="1:80" x14ac:dyDescent="0.25">
      <c r="A90" s="35">
        <v>45855</v>
      </c>
      <c r="B90" s="36">
        <v>12</v>
      </c>
      <c r="C90" t="s">
        <v>119</v>
      </c>
      <c r="D90" t="s">
        <v>6</v>
      </c>
      <c r="E90" t="s">
        <v>126</v>
      </c>
      <c r="F90" t="s">
        <v>144</v>
      </c>
      <c r="G90">
        <v>253</v>
      </c>
      <c r="H90">
        <v>2140110524</v>
      </c>
      <c r="I90" t="s">
        <v>145</v>
      </c>
      <c r="J90" s="37">
        <v>20350</v>
      </c>
      <c r="K90" s="37">
        <v>30</v>
      </c>
      <c r="M90">
        <v>7616</v>
      </c>
      <c r="N90">
        <v>176.26661999999999</v>
      </c>
      <c r="O90">
        <v>335</v>
      </c>
      <c r="P90">
        <v>48</v>
      </c>
      <c r="Q90">
        <v>300</v>
      </c>
      <c r="V90" t="s">
        <v>116</v>
      </c>
      <c r="Y90" s="38">
        <v>0.79166666666666663</v>
      </c>
      <c r="Z90" s="38">
        <v>0.29166666666666669</v>
      </c>
      <c r="AA90" t="s">
        <v>117</v>
      </c>
      <c r="AC90" t="s">
        <v>118</v>
      </c>
      <c r="AJ90">
        <v>0.33329999999999999</v>
      </c>
      <c r="AO90">
        <v>0.25</v>
      </c>
      <c r="AQ90">
        <v>0.25</v>
      </c>
      <c r="AR90">
        <v>0.75</v>
      </c>
      <c r="BI90">
        <v>0.5</v>
      </c>
      <c r="BK90">
        <f>0</f>
        <v>0</v>
      </c>
      <c r="BL90">
        <f t="shared" si="15"/>
        <v>2.0832999999999999</v>
      </c>
      <c r="BM90">
        <f t="shared" si="16"/>
        <v>0</v>
      </c>
      <c r="BN90">
        <f t="shared" si="17"/>
        <v>0</v>
      </c>
      <c r="BO90">
        <f t="shared" si="18"/>
        <v>1</v>
      </c>
      <c r="BP90" s="37">
        <f>IF($F90="","",IFERROR(INDEX(Familias!$C$5:$C$300,MATCH($F90,Familias!$A$5:$A$300,0)),""))</f>
        <v>2040</v>
      </c>
      <c r="BQ90" s="37">
        <f t="shared" si="19"/>
        <v>20380</v>
      </c>
      <c r="BR90" s="36">
        <f t="shared" si="20"/>
        <v>12</v>
      </c>
      <c r="BS90" s="36">
        <f t="shared" si="21"/>
        <v>2.0832999999999999</v>
      </c>
      <c r="BT90" s="36">
        <f t="shared" si="22"/>
        <v>9.9167000000000005</v>
      </c>
      <c r="BU90" s="36">
        <f t="shared" si="23"/>
        <v>9.9901999999999997</v>
      </c>
      <c r="BV90" s="39">
        <f t="shared" si="24"/>
        <v>1.0074117397924711</v>
      </c>
      <c r="BW90" s="39">
        <f t="shared" si="25"/>
        <v>0.99852796859666337</v>
      </c>
      <c r="BX90" s="40">
        <f t="shared" si="26"/>
        <v>5.0288865546218489E-2</v>
      </c>
      <c r="BY90" s="40">
        <f t="shared" si="27"/>
        <v>3.9390756302521007E-2</v>
      </c>
      <c r="BZ90" t="str">
        <f t="shared" si="28"/>
        <v>OK</v>
      </c>
      <c r="CA90">
        <f t="shared" si="29"/>
        <v>1</v>
      </c>
    </row>
    <row r="91" spans="1:80" x14ac:dyDescent="0.25">
      <c r="A91" s="35">
        <v>45856</v>
      </c>
      <c r="B91" s="36">
        <v>12</v>
      </c>
      <c r="C91" t="s">
        <v>113</v>
      </c>
      <c r="D91" t="s">
        <v>6</v>
      </c>
      <c r="E91" t="s">
        <v>126</v>
      </c>
      <c r="F91" t="s">
        <v>144</v>
      </c>
      <c r="G91">
        <v>253</v>
      </c>
      <c r="H91">
        <v>2140110524</v>
      </c>
      <c r="I91" t="s">
        <v>145</v>
      </c>
      <c r="J91" s="37">
        <v>21150</v>
      </c>
      <c r="K91" s="37">
        <v>10</v>
      </c>
      <c r="M91">
        <v>7604</v>
      </c>
      <c r="N91">
        <v>183.01284000000001</v>
      </c>
      <c r="O91">
        <v>50</v>
      </c>
      <c r="P91">
        <v>80</v>
      </c>
      <c r="Q91">
        <v>300</v>
      </c>
      <c r="T91">
        <v>11</v>
      </c>
      <c r="V91" t="s">
        <v>120</v>
      </c>
      <c r="Y91" s="38">
        <v>0.29166666666666669</v>
      </c>
      <c r="Z91" s="38">
        <v>0.79166666666666663</v>
      </c>
      <c r="AA91" t="s">
        <v>117</v>
      </c>
      <c r="AC91" t="s">
        <v>118</v>
      </c>
      <c r="AQ91">
        <v>0.25</v>
      </c>
      <c r="AR91">
        <v>0.75</v>
      </c>
      <c r="BI91">
        <v>0.5</v>
      </c>
      <c r="BK91">
        <f>0</f>
        <v>0</v>
      </c>
      <c r="BL91">
        <f t="shared" si="15"/>
        <v>1.5</v>
      </c>
      <c r="BM91">
        <f t="shared" si="16"/>
        <v>0</v>
      </c>
      <c r="BN91">
        <f t="shared" si="17"/>
        <v>0</v>
      </c>
      <c r="BO91">
        <f t="shared" si="18"/>
        <v>1</v>
      </c>
      <c r="BP91" s="37">
        <f>IF($F91="","",IFERROR(INDEX(Familias!$C$5:$C$300,MATCH($F91,Familias!$A$5:$A$300,0)),""))</f>
        <v>2040</v>
      </c>
      <c r="BQ91" s="37">
        <f t="shared" si="19"/>
        <v>21160</v>
      </c>
      <c r="BR91" s="36">
        <f t="shared" si="20"/>
        <v>12</v>
      </c>
      <c r="BS91" s="36">
        <f t="shared" si="21"/>
        <v>1.5</v>
      </c>
      <c r="BT91" s="36">
        <f t="shared" si="22"/>
        <v>10.5</v>
      </c>
      <c r="BU91" s="36">
        <f t="shared" si="23"/>
        <v>10.3725</v>
      </c>
      <c r="BV91" s="39">
        <f t="shared" si="24"/>
        <v>0.98785714285714288</v>
      </c>
      <c r="BW91" s="39">
        <f t="shared" si="25"/>
        <v>0.99952741020793956</v>
      </c>
      <c r="BX91" s="40">
        <f t="shared" si="26"/>
        <v>1.7096265123619149E-2</v>
      </c>
      <c r="BY91" s="40">
        <f t="shared" si="27"/>
        <v>3.945291951604419E-2</v>
      </c>
      <c r="BZ91" t="str">
        <f t="shared" si="28"/>
        <v>OK</v>
      </c>
      <c r="CA91">
        <f t="shared" si="29"/>
        <v>1</v>
      </c>
    </row>
    <row r="92" spans="1:80" x14ac:dyDescent="0.25">
      <c r="A92" s="35">
        <v>45856</v>
      </c>
      <c r="B92" s="36">
        <v>6.1566000000000001</v>
      </c>
      <c r="C92" t="s">
        <v>119</v>
      </c>
      <c r="D92" t="s">
        <v>6</v>
      </c>
      <c r="E92" t="s">
        <v>126</v>
      </c>
      <c r="F92" t="s">
        <v>144</v>
      </c>
      <c r="G92">
        <v>240</v>
      </c>
      <c r="H92">
        <v>2140110526</v>
      </c>
      <c r="I92" t="s">
        <v>146</v>
      </c>
      <c r="J92" s="37">
        <v>10425</v>
      </c>
      <c r="K92" s="37">
        <v>11</v>
      </c>
      <c r="M92">
        <v>3569</v>
      </c>
      <c r="N92">
        <v>90.260964000000001</v>
      </c>
      <c r="O92">
        <v>35</v>
      </c>
      <c r="P92">
        <v>40</v>
      </c>
      <c r="Q92">
        <v>20</v>
      </c>
      <c r="T92">
        <v>5</v>
      </c>
      <c r="V92" t="s">
        <v>116</v>
      </c>
      <c r="Y92" s="38">
        <v>0.79166666666666663</v>
      </c>
      <c r="Z92" s="38">
        <v>4.791666666666667E-2</v>
      </c>
      <c r="AA92" t="s">
        <v>117</v>
      </c>
      <c r="AC92" t="s">
        <v>121</v>
      </c>
      <c r="AE92">
        <v>0.17100000000000001</v>
      </c>
      <c r="AQ92">
        <v>0.1283</v>
      </c>
      <c r="AR92">
        <v>0.38479999999999998</v>
      </c>
      <c r="BI92">
        <v>0.17100000000000001</v>
      </c>
      <c r="BK92">
        <f>0</f>
        <v>0</v>
      </c>
      <c r="BL92">
        <f t="shared" si="15"/>
        <v>0.85509999999999997</v>
      </c>
      <c r="BM92">
        <f t="shared" si="16"/>
        <v>0</v>
      </c>
      <c r="BN92">
        <f t="shared" si="17"/>
        <v>0</v>
      </c>
      <c r="BO92">
        <f t="shared" si="18"/>
        <v>1</v>
      </c>
      <c r="BP92" s="37">
        <f>IF($F92="","",IFERROR(INDEX(Familias!$C$5:$C$300,MATCH($F92,Familias!$A$5:$A$300,0)),""))</f>
        <v>2040</v>
      </c>
      <c r="BQ92" s="37">
        <f t="shared" si="19"/>
        <v>10436</v>
      </c>
      <c r="BR92" s="36">
        <f t="shared" si="20"/>
        <v>6.1566000000000001</v>
      </c>
      <c r="BS92" s="36">
        <f t="shared" si="21"/>
        <v>0.85509999999999997</v>
      </c>
      <c r="BT92" s="36">
        <f t="shared" si="22"/>
        <v>5.3014999999999999</v>
      </c>
      <c r="BU92" s="36">
        <f t="shared" si="23"/>
        <v>5.1157000000000004</v>
      </c>
      <c r="BV92" s="39">
        <f t="shared" si="24"/>
        <v>0.96495331509950022</v>
      </c>
      <c r="BW92" s="39">
        <f t="shared" si="25"/>
        <v>0.99894595630509775</v>
      </c>
      <c r="BX92" s="40">
        <f t="shared" si="26"/>
        <v>2.1014289717007566E-2</v>
      </c>
      <c r="BY92" s="40">
        <f t="shared" si="27"/>
        <v>5.6038105912020178E-3</v>
      </c>
      <c r="BZ92" t="str">
        <f t="shared" si="28"/>
        <v>OK</v>
      </c>
      <c r="CA92">
        <f t="shared" si="29"/>
        <v>1</v>
      </c>
    </row>
    <row r="93" spans="1:80" x14ac:dyDescent="0.25">
      <c r="A93" s="35">
        <v>45856</v>
      </c>
      <c r="B93" s="36">
        <v>5.8433999999999999</v>
      </c>
      <c r="C93" t="s">
        <v>119</v>
      </c>
      <c r="D93" t="s">
        <v>6</v>
      </c>
      <c r="E93" t="s">
        <v>126</v>
      </c>
      <c r="F93" t="s">
        <v>144</v>
      </c>
      <c r="G93">
        <v>253</v>
      </c>
      <c r="H93">
        <v>2140110524</v>
      </c>
      <c r="I93" t="s">
        <v>145</v>
      </c>
      <c r="J93" s="37">
        <v>9900</v>
      </c>
      <c r="K93" s="37">
        <v>5</v>
      </c>
      <c r="M93">
        <v>3440</v>
      </c>
      <c r="N93">
        <v>85.668345000000002</v>
      </c>
      <c r="O93">
        <v>85</v>
      </c>
      <c r="P93">
        <v>40</v>
      </c>
      <c r="V93" t="s">
        <v>116</v>
      </c>
      <c r="Y93" s="38">
        <v>4.791666666666667E-2</v>
      </c>
      <c r="Z93" s="38">
        <v>0.29166666666666669</v>
      </c>
      <c r="AA93" t="s">
        <v>117</v>
      </c>
      <c r="AC93" t="s">
        <v>121</v>
      </c>
      <c r="AE93">
        <v>0.1623</v>
      </c>
      <c r="AQ93">
        <v>0.1217</v>
      </c>
      <c r="AR93">
        <v>0.36520000000000002</v>
      </c>
      <c r="BI93">
        <v>0.1623</v>
      </c>
      <c r="BK93">
        <f>0</f>
        <v>0</v>
      </c>
      <c r="BL93">
        <f t="shared" si="15"/>
        <v>0.8115</v>
      </c>
      <c r="BM93">
        <f t="shared" si="16"/>
        <v>0</v>
      </c>
      <c r="BN93">
        <f t="shared" si="17"/>
        <v>0</v>
      </c>
      <c r="BO93">
        <f t="shared" si="18"/>
        <v>1</v>
      </c>
      <c r="BP93" s="37">
        <f>IF($F93="","",IFERROR(INDEX(Familias!$C$5:$C$300,MATCH($F93,Familias!$A$5:$A$300,0)),""))</f>
        <v>2040</v>
      </c>
      <c r="BQ93" s="37">
        <f t="shared" si="19"/>
        <v>9905</v>
      </c>
      <c r="BR93" s="36">
        <f t="shared" si="20"/>
        <v>5.8433999999999999</v>
      </c>
      <c r="BS93" s="36">
        <f t="shared" si="21"/>
        <v>0.8115</v>
      </c>
      <c r="BT93" s="36">
        <f t="shared" si="22"/>
        <v>5.0319000000000003</v>
      </c>
      <c r="BU93" s="36">
        <f t="shared" si="23"/>
        <v>4.8554000000000004</v>
      </c>
      <c r="BV93" s="39">
        <f t="shared" si="24"/>
        <v>0.96492378624376485</v>
      </c>
      <c r="BW93" s="39">
        <f t="shared" si="25"/>
        <v>0.99949520444220086</v>
      </c>
      <c r="BX93" s="40">
        <f t="shared" si="26"/>
        <v>3.6337209302325583E-2</v>
      </c>
      <c r="BY93" s="40">
        <f t="shared" si="27"/>
        <v>0</v>
      </c>
      <c r="BZ93" t="str">
        <f t="shared" si="28"/>
        <v>OK</v>
      </c>
      <c r="CA93">
        <f t="shared" si="29"/>
        <v>1</v>
      </c>
    </row>
    <row r="94" spans="1:80" x14ac:dyDescent="0.25">
      <c r="A94" s="35">
        <v>45857</v>
      </c>
      <c r="B94" s="36">
        <v>2.9051</v>
      </c>
      <c r="C94" t="s">
        <v>113</v>
      </c>
      <c r="D94" t="s">
        <v>6</v>
      </c>
      <c r="E94" t="s">
        <v>126</v>
      </c>
      <c r="F94" t="s">
        <v>144</v>
      </c>
      <c r="G94">
        <v>240</v>
      </c>
      <c r="H94">
        <v>2140110526</v>
      </c>
      <c r="I94" t="s">
        <v>146</v>
      </c>
      <c r="J94" s="37">
        <v>2425</v>
      </c>
      <c r="K94" s="37"/>
      <c r="M94">
        <v>783</v>
      </c>
      <c r="N94">
        <v>20.973825000000001</v>
      </c>
      <c r="O94">
        <v>2</v>
      </c>
      <c r="P94">
        <v>15</v>
      </c>
      <c r="T94">
        <v>1</v>
      </c>
      <c r="V94" t="s">
        <v>120</v>
      </c>
      <c r="Y94" s="38">
        <v>0.29166666666666669</v>
      </c>
      <c r="Z94" s="38">
        <v>0.41249999999999998</v>
      </c>
      <c r="AA94" t="s">
        <v>117</v>
      </c>
      <c r="AC94" t="s">
        <v>121</v>
      </c>
      <c r="AF94">
        <v>0.24210000000000001</v>
      </c>
      <c r="AK94">
        <v>0.20169999999999999</v>
      </c>
      <c r="AQ94">
        <v>6.0499999999999998E-2</v>
      </c>
      <c r="AU94">
        <v>1.2507999999999999</v>
      </c>
      <c r="BI94">
        <v>8.0699999999999994E-2</v>
      </c>
      <c r="BK94">
        <f>0</f>
        <v>0</v>
      </c>
      <c r="BL94">
        <f t="shared" si="15"/>
        <v>1.8357999999999999</v>
      </c>
      <c r="BM94">
        <f t="shared" si="16"/>
        <v>0</v>
      </c>
      <c r="BN94">
        <f t="shared" si="17"/>
        <v>0</v>
      </c>
      <c r="BO94">
        <f t="shared" si="18"/>
        <v>1</v>
      </c>
      <c r="BP94" s="37">
        <f>IF($F94="","",IFERROR(INDEX(Familias!$C$5:$C$300,MATCH($F94,Familias!$A$5:$A$300,0)),""))</f>
        <v>2040</v>
      </c>
      <c r="BQ94" s="37">
        <f t="shared" si="19"/>
        <v>2425</v>
      </c>
      <c r="BR94" s="36">
        <f t="shared" si="20"/>
        <v>2.9051</v>
      </c>
      <c r="BS94" s="36">
        <f t="shared" si="21"/>
        <v>1.8358000000000001</v>
      </c>
      <c r="BT94" s="36">
        <f t="shared" si="22"/>
        <v>1.0692999999999999</v>
      </c>
      <c r="BU94" s="36">
        <f t="shared" si="23"/>
        <v>1.1887000000000001</v>
      </c>
      <c r="BV94" s="39">
        <f t="shared" si="24"/>
        <v>1.1116618348452261</v>
      </c>
      <c r="BW94" s="39">
        <f t="shared" si="25"/>
        <v>1</v>
      </c>
      <c r="BX94" s="40">
        <f t="shared" si="26"/>
        <v>2.1711366538952746E-2</v>
      </c>
      <c r="BY94" s="40">
        <f t="shared" si="27"/>
        <v>0</v>
      </c>
      <c r="BZ94" t="str">
        <f t="shared" si="28"/>
        <v>Revisar rendimiento</v>
      </c>
      <c r="CA94">
        <f t="shared" si="29"/>
        <v>1</v>
      </c>
    </row>
    <row r="95" spans="1:80" x14ac:dyDescent="0.25">
      <c r="A95" s="35">
        <v>45857</v>
      </c>
      <c r="B95" s="36">
        <v>9.0949000000000009</v>
      </c>
      <c r="C95" t="s">
        <v>113</v>
      </c>
      <c r="D95" t="s">
        <v>6</v>
      </c>
      <c r="E95" t="s">
        <v>147</v>
      </c>
      <c r="F95" t="s">
        <v>147</v>
      </c>
      <c r="G95">
        <v>283</v>
      </c>
      <c r="H95">
        <v>2140110663</v>
      </c>
      <c r="I95" t="s">
        <v>148</v>
      </c>
      <c r="J95" s="37">
        <v>8475</v>
      </c>
      <c r="K95" s="37">
        <v>10</v>
      </c>
      <c r="M95">
        <v>3475</v>
      </c>
      <c r="N95">
        <v>62.905074799998502</v>
      </c>
      <c r="O95">
        <v>100</v>
      </c>
      <c r="P95">
        <v>96</v>
      </c>
      <c r="Q95">
        <v>20</v>
      </c>
      <c r="T95">
        <v>4</v>
      </c>
      <c r="V95" t="s">
        <v>120</v>
      </c>
      <c r="Y95" s="38">
        <v>0.41249999999999998</v>
      </c>
      <c r="Z95" s="38">
        <v>0.79166666666666663</v>
      </c>
      <c r="AA95" t="s">
        <v>117</v>
      </c>
      <c r="AC95" t="s">
        <v>121</v>
      </c>
      <c r="AF95">
        <v>0.75790000000000002</v>
      </c>
      <c r="AK95">
        <v>0.63160000000000005</v>
      </c>
      <c r="AQ95">
        <v>0.1895</v>
      </c>
      <c r="AU95">
        <v>3.9159000000000002</v>
      </c>
      <c r="BI95">
        <v>0.25259999999999999</v>
      </c>
      <c r="BK95">
        <f>0</f>
        <v>0</v>
      </c>
      <c r="BL95">
        <f t="shared" si="15"/>
        <v>5.7475000000000005</v>
      </c>
      <c r="BM95">
        <f t="shared" si="16"/>
        <v>0</v>
      </c>
      <c r="BN95">
        <f t="shared" si="17"/>
        <v>0</v>
      </c>
      <c r="BO95">
        <f t="shared" si="18"/>
        <v>1</v>
      </c>
      <c r="BP95" s="37">
        <f>IF($F95="","",IFERROR(INDEX(Familias!$C$5:$C$300,MATCH($F95,Familias!$A$5:$A$300,0)),""))</f>
        <v>2280</v>
      </c>
      <c r="BQ95" s="37">
        <f t="shared" si="19"/>
        <v>8485</v>
      </c>
      <c r="BR95" s="36">
        <f t="shared" si="20"/>
        <v>9.0949000000000009</v>
      </c>
      <c r="BS95" s="36">
        <f t="shared" si="21"/>
        <v>5.7474999999999996</v>
      </c>
      <c r="BT95" s="36">
        <f t="shared" si="22"/>
        <v>3.3473999999999999</v>
      </c>
      <c r="BU95" s="36">
        <f t="shared" si="23"/>
        <v>3.7214999999999998</v>
      </c>
      <c r="BV95" s="39">
        <f t="shared" si="24"/>
        <v>1.111758379637928</v>
      </c>
      <c r="BW95" s="39">
        <f t="shared" si="25"/>
        <v>0.99882144961697117</v>
      </c>
      <c r="BX95" s="40">
        <f t="shared" si="26"/>
        <v>5.6402877697841726E-2</v>
      </c>
      <c r="BY95" s="40">
        <f t="shared" si="27"/>
        <v>5.7553956834532375E-3</v>
      </c>
      <c r="BZ95" t="str">
        <f t="shared" si="28"/>
        <v>Revisar rendimiento</v>
      </c>
      <c r="CA95">
        <f t="shared" si="29"/>
        <v>1</v>
      </c>
    </row>
    <row r="96" spans="1:80" x14ac:dyDescent="0.25">
      <c r="A96" s="35">
        <v>45857</v>
      </c>
      <c r="B96" s="36">
        <v>12</v>
      </c>
      <c r="C96" t="s">
        <v>119</v>
      </c>
      <c r="D96" t="s">
        <v>6</v>
      </c>
      <c r="E96" t="s">
        <v>147</v>
      </c>
      <c r="F96" t="s">
        <v>147</v>
      </c>
      <c r="G96">
        <v>283</v>
      </c>
      <c r="H96">
        <v>2140110663</v>
      </c>
      <c r="I96" t="s">
        <v>148</v>
      </c>
      <c r="J96" s="37">
        <v>18425</v>
      </c>
      <c r="K96" s="37">
        <v>3</v>
      </c>
      <c r="M96">
        <v>5592</v>
      </c>
      <c r="N96">
        <v>136.61929503999681</v>
      </c>
      <c r="O96">
        <v>100</v>
      </c>
      <c r="P96">
        <v>58</v>
      </c>
      <c r="Q96">
        <v>68</v>
      </c>
      <c r="T96">
        <v>8</v>
      </c>
      <c r="V96" t="s">
        <v>116</v>
      </c>
      <c r="Y96" s="38">
        <v>0.79166666666666663</v>
      </c>
      <c r="Z96" s="38">
        <v>0.29166666666666669</v>
      </c>
      <c r="AA96" t="s">
        <v>117</v>
      </c>
      <c r="AC96" t="s">
        <v>118</v>
      </c>
      <c r="AD96">
        <v>0.16669999999999999</v>
      </c>
      <c r="AJ96">
        <v>0.41670000000000001</v>
      </c>
      <c r="AR96">
        <v>0.75</v>
      </c>
      <c r="BC96">
        <v>2</v>
      </c>
      <c r="BK96">
        <f>0</f>
        <v>0</v>
      </c>
      <c r="BL96">
        <f t="shared" si="15"/>
        <v>3.3334000000000001</v>
      </c>
      <c r="BM96">
        <f t="shared" si="16"/>
        <v>0</v>
      </c>
      <c r="BN96">
        <f t="shared" si="17"/>
        <v>0</v>
      </c>
      <c r="BO96">
        <f t="shared" si="18"/>
        <v>1</v>
      </c>
      <c r="BP96" s="37">
        <f>IF($F96="","",IFERROR(INDEX(Familias!$C$5:$C$300,MATCH($F96,Familias!$A$5:$A$300,0)),""))</f>
        <v>2280</v>
      </c>
      <c r="BQ96" s="37">
        <f t="shared" si="19"/>
        <v>18428</v>
      </c>
      <c r="BR96" s="36">
        <f t="shared" si="20"/>
        <v>12</v>
      </c>
      <c r="BS96" s="36">
        <f t="shared" si="21"/>
        <v>3.3334000000000001</v>
      </c>
      <c r="BT96" s="36">
        <f t="shared" si="22"/>
        <v>8.6666000000000007</v>
      </c>
      <c r="BU96" s="36">
        <f t="shared" si="23"/>
        <v>8.0824999999999996</v>
      </c>
      <c r="BV96" s="39">
        <f t="shared" si="24"/>
        <v>0.93260332771790544</v>
      </c>
      <c r="BW96" s="39">
        <f t="shared" si="25"/>
        <v>0.99983720425439548</v>
      </c>
      <c r="BX96" s="40">
        <f t="shared" si="26"/>
        <v>2.8254649499284693E-2</v>
      </c>
      <c r="BY96" s="40">
        <f t="shared" si="27"/>
        <v>1.2160228898426323E-2</v>
      </c>
      <c r="BZ96" t="str">
        <f t="shared" si="28"/>
        <v>OK</v>
      </c>
      <c r="CA96">
        <f t="shared" si="29"/>
        <v>1</v>
      </c>
    </row>
    <row r="97" spans="1:80" x14ac:dyDescent="0.25">
      <c r="A97" s="35">
        <v>45859</v>
      </c>
      <c r="B97" s="36">
        <v>12</v>
      </c>
      <c r="C97" t="s">
        <v>113</v>
      </c>
      <c r="D97" t="s">
        <v>6</v>
      </c>
      <c r="E97" t="s">
        <v>147</v>
      </c>
      <c r="F97" t="s">
        <v>147</v>
      </c>
      <c r="G97">
        <v>283</v>
      </c>
      <c r="H97">
        <v>2140110663</v>
      </c>
      <c r="I97" t="s">
        <v>148</v>
      </c>
      <c r="J97" s="37">
        <v>20250</v>
      </c>
      <c r="K97" s="37">
        <v>3</v>
      </c>
      <c r="M97">
        <v>6046</v>
      </c>
      <c r="N97">
        <v>150.14926103999639</v>
      </c>
      <c r="O97">
        <v>45</v>
      </c>
      <c r="P97">
        <v>64</v>
      </c>
      <c r="Q97">
        <v>58</v>
      </c>
      <c r="V97" t="s">
        <v>116</v>
      </c>
      <c r="Y97" s="38">
        <v>0.29166666666666669</v>
      </c>
      <c r="Z97" s="38">
        <v>0.79166666666666663</v>
      </c>
      <c r="AA97" t="s">
        <v>117</v>
      </c>
      <c r="AC97" t="s">
        <v>118</v>
      </c>
      <c r="AD97">
        <v>1</v>
      </c>
      <c r="AQ97">
        <v>0.25</v>
      </c>
      <c r="AR97">
        <v>0.75</v>
      </c>
      <c r="BK97">
        <f>0</f>
        <v>0</v>
      </c>
      <c r="BL97">
        <f t="shared" si="15"/>
        <v>2</v>
      </c>
      <c r="BM97">
        <f t="shared" si="16"/>
        <v>0</v>
      </c>
      <c r="BN97">
        <f t="shared" si="17"/>
        <v>0</v>
      </c>
      <c r="BO97">
        <f t="shared" si="18"/>
        <v>1</v>
      </c>
      <c r="BP97" s="37">
        <f>IF($F97="","",IFERROR(INDEX(Familias!$C$5:$C$300,MATCH($F97,Familias!$A$5:$A$300,0)),""))</f>
        <v>2280</v>
      </c>
      <c r="BQ97" s="37">
        <f t="shared" si="19"/>
        <v>20253</v>
      </c>
      <c r="BR97" s="36">
        <f t="shared" si="20"/>
        <v>12</v>
      </c>
      <c r="BS97" s="36">
        <f t="shared" si="21"/>
        <v>2</v>
      </c>
      <c r="BT97" s="36">
        <f t="shared" si="22"/>
        <v>10</v>
      </c>
      <c r="BU97" s="36">
        <f t="shared" si="23"/>
        <v>8.8828999999999994</v>
      </c>
      <c r="BV97" s="39">
        <f t="shared" si="24"/>
        <v>0.88828999999999991</v>
      </c>
      <c r="BW97" s="39">
        <f t="shared" si="25"/>
        <v>0.99985187379647456</v>
      </c>
      <c r="BX97" s="40">
        <f t="shared" si="26"/>
        <v>1.8028448561032088E-2</v>
      </c>
      <c r="BY97" s="40">
        <f t="shared" si="27"/>
        <v>9.5931194177968897E-3</v>
      </c>
      <c r="BZ97" t="str">
        <f t="shared" si="28"/>
        <v>OK</v>
      </c>
      <c r="CA97">
        <f t="shared" si="29"/>
        <v>1</v>
      </c>
    </row>
    <row r="98" spans="1:80" x14ac:dyDescent="0.25">
      <c r="A98" s="35">
        <v>45859</v>
      </c>
      <c r="B98" s="36">
        <v>12</v>
      </c>
      <c r="C98" t="s">
        <v>119</v>
      </c>
      <c r="D98" t="s">
        <v>6</v>
      </c>
      <c r="E98" t="s">
        <v>147</v>
      </c>
      <c r="F98" t="s">
        <v>147</v>
      </c>
      <c r="G98">
        <v>283</v>
      </c>
      <c r="H98">
        <v>2140110663</v>
      </c>
      <c r="I98" t="s">
        <v>148</v>
      </c>
      <c r="J98" s="37">
        <v>22375</v>
      </c>
      <c r="K98" s="37">
        <v>11</v>
      </c>
      <c r="M98">
        <v>6611</v>
      </c>
      <c r="N98">
        <v>165.96264047999611</v>
      </c>
      <c r="O98">
        <v>40</v>
      </c>
      <c r="P98">
        <v>72</v>
      </c>
      <c r="Q98">
        <v>74</v>
      </c>
      <c r="V98" t="s">
        <v>120</v>
      </c>
      <c r="Y98" s="38">
        <v>0.79166666666666663</v>
      </c>
      <c r="Z98" s="38">
        <v>0.29166666666666669</v>
      </c>
      <c r="AA98" t="s">
        <v>117</v>
      </c>
      <c r="AC98" t="s">
        <v>118</v>
      </c>
      <c r="AQ98">
        <v>0.25</v>
      </c>
      <c r="AR98">
        <v>0.75</v>
      </c>
      <c r="BI98">
        <v>0.5</v>
      </c>
      <c r="BK98">
        <f>0</f>
        <v>0</v>
      </c>
      <c r="BL98">
        <f t="shared" si="15"/>
        <v>1.5</v>
      </c>
      <c r="BM98">
        <f t="shared" si="16"/>
        <v>0</v>
      </c>
      <c r="BN98">
        <f t="shared" si="17"/>
        <v>0</v>
      </c>
      <c r="BO98">
        <f t="shared" si="18"/>
        <v>1</v>
      </c>
      <c r="BP98" s="37">
        <f>IF($F98="","",IFERROR(INDEX(Familias!$C$5:$C$300,MATCH($F98,Familias!$A$5:$A$300,0)),""))</f>
        <v>2280</v>
      </c>
      <c r="BQ98" s="37">
        <f t="shared" si="19"/>
        <v>22386</v>
      </c>
      <c r="BR98" s="36">
        <f t="shared" si="20"/>
        <v>12</v>
      </c>
      <c r="BS98" s="36">
        <f t="shared" si="21"/>
        <v>1.5</v>
      </c>
      <c r="BT98" s="36">
        <f t="shared" si="22"/>
        <v>10.5</v>
      </c>
      <c r="BU98" s="36">
        <f t="shared" si="23"/>
        <v>9.8184000000000005</v>
      </c>
      <c r="BV98" s="39">
        <f t="shared" si="24"/>
        <v>0.9350857142857143</v>
      </c>
      <c r="BW98" s="39">
        <f t="shared" si="25"/>
        <v>0.99950862145984098</v>
      </c>
      <c r="BX98" s="40">
        <f t="shared" si="26"/>
        <v>1.6941461201028588E-2</v>
      </c>
      <c r="BY98" s="40">
        <f t="shared" si="27"/>
        <v>1.1193465436393889E-2</v>
      </c>
      <c r="BZ98" t="str">
        <f t="shared" si="28"/>
        <v>OK</v>
      </c>
      <c r="CA98">
        <f t="shared" si="29"/>
        <v>1</v>
      </c>
    </row>
    <row r="99" spans="1:80" x14ac:dyDescent="0.25">
      <c r="A99" s="35">
        <v>45860</v>
      </c>
      <c r="B99" s="36">
        <v>12</v>
      </c>
      <c r="C99" t="s">
        <v>113</v>
      </c>
      <c r="D99" t="s">
        <v>6</v>
      </c>
      <c r="E99" t="s">
        <v>147</v>
      </c>
      <c r="F99" t="s">
        <v>147</v>
      </c>
      <c r="G99">
        <v>283</v>
      </c>
      <c r="H99">
        <v>2140110663</v>
      </c>
      <c r="I99" t="s">
        <v>148</v>
      </c>
      <c r="J99" s="37">
        <v>20475</v>
      </c>
      <c r="K99" s="37">
        <v>12</v>
      </c>
      <c r="M99">
        <v>6204</v>
      </c>
      <c r="N99">
        <v>151.8840621599964</v>
      </c>
      <c r="O99">
        <v>47</v>
      </c>
      <c r="P99">
        <v>80</v>
      </c>
      <c r="Q99">
        <v>150</v>
      </c>
      <c r="V99" t="s">
        <v>116</v>
      </c>
      <c r="Y99" s="38">
        <v>0.29166666666666669</v>
      </c>
      <c r="Z99" s="38">
        <v>0.79166666666666663</v>
      </c>
      <c r="AA99" t="s">
        <v>117</v>
      </c>
      <c r="AC99" t="s">
        <v>118</v>
      </c>
      <c r="AQ99">
        <v>0.25</v>
      </c>
      <c r="AR99">
        <v>0.75</v>
      </c>
      <c r="BD99">
        <v>0.33329999999999999</v>
      </c>
      <c r="BI99">
        <v>0.5</v>
      </c>
      <c r="BK99">
        <f>0</f>
        <v>0</v>
      </c>
      <c r="BL99">
        <f t="shared" si="15"/>
        <v>1.5</v>
      </c>
      <c r="BM99">
        <f t="shared" si="16"/>
        <v>0.33329999999999999</v>
      </c>
      <c r="BN99">
        <f t="shared" si="17"/>
        <v>0</v>
      </c>
      <c r="BO99">
        <f t="shared" si="18"/>
        <v>1</v>
      </c>
      <c r="BP99" s="37">
        <f>IF($F99="","",IFERROR(INDEX(Familias!$C$5:$C$300,MATCH($F99,Familias!$A$5:$A$300,0)),""))</f>
        <v>2280</v>
      </c>
      <c r="BQ99" s="37">
        <f t="shared" si="19"/>
        <v>20487</v>
      </c>
      <c r="BR99" s="36">
        <f t="shared" si="20"/>
        <v>12</v>
      </c>
      <c r="BS99" s="36">
        <f t="shared" si="21"/>
        <v>1.8332999999999999</v>
      </c>
      <c r="BT99" s="36">
        <f t="shared" si="22"/>
        <v>10.166700000000001</v>
      </c>
      <c r="BU99" s="36">
        <f t="shared" si="23"/>
        <v>8.9855</v>
      </c>
      <c r="BV99" s="39">
        <f t="shared" si="24"/>
        <v>0.88381677437123152</v>
      </c>
      <c r="BW99" s="39">
        <f t="shared" si="25"/>
        <v>0.99941426270317757</v>
      </c>
      <c r="BX99" s="40">
        <f t="shared" si="26"/>
        <v>2.0470664087685365E-2</v>
      </c>
      <c r="BY99" s="40">
        <f t="shared" si="27"/>
        <v>2.4177949709864602E-2</v>
      </c>
      <c r="BZ99" t="str">
        <f t="shared" si="28"/>
        <v>OK</v>
      </c>
      <c r="CA99">
        <f t="shared" si="29"/>
        <v>1</v>
      </c>
    </row>
    <row r="100" spans="1:80" x14ac:dyDescent="0.25">
      <c r="A100" s="35">
        <v>45860</v>
      </c>
      <c r="B100" s="36">
        <v>12</v>
      </c>
      <c r="C100" t="s">
        <v>119</v>
      </c>
      <c r="D100" t="s">
        <v>6</v>
      </c>
      <c r="E100" t="s">
        <v>147</v>
      </c>
      <c r="F100" t="s">
        <v>147</v>
      </c>
      <c r="G100">
        <v>283</v>
      </c>
      <c r="H100">
        <v>2140110663</v>
      </c>
      <c r="I100" t="s">
        <v>148</v>
      </c>
      <c r="J100" s="37">
        <v>21475</v>
      </c>
      <c r="K100" s="37">
        <v>9</v>
      </c>
      <c r="M100">
        <v>6444</v>
      </c>
      <c r="N100">
        <v>159.27550111999619</v>
      </c>
      <c r="O100">
        <v>80</v>
      </c>
      <c r="P100">
        <v>72</v>
      </c>
      <c r="Q100">
        <v>80</v>
      </c>
      <c r="V100" t="s">
        <v>120</v>
      </c>
      <c r="Y100" s="38">
        <v>0.79166666666666663</v>
      </c>
      <c r="Z100" s="38">
        <v>0.29166666666666669</v>
      </c>
      <c r="AA100" t="s">
        <v>117</v>
      </c>
      <c r="AC100" t="s">
        <v>118</v>
      </c>
      <c r="AQ100">
        <v>0.25</v>
      </c>
      <c r="AR100">
        <v>0.75</v>
      </c>
      <c r="BI100">
        <v>0.5</v>
      </c>
      <c r="BK100">
        <f>0</f>
        <v>0</v>
      </c>
      <c r="BL100">
        <f t="shared" si="15"/>
        <v>1.5</v>
      </c>
      <c r="BM100">
        <f t="shared" si="16"/>
        <v>0</v>
      </c>
      <c r="BN100">
        <f t="shared" si="17"/>
        <v>0</v>
      </c>
      <c r="BO100">
        <f t="shared" si="18"/>
        <v>1</v>
      </c>
      <c r="BP100" s="37">
        <f>IF($F100="","",IFERROR(INDEX(Familias!$C$5:$C$300,MATCH($F100,Familias!$A$5:$A$300,0)),""))</f>
        <v>2280</v>
      </c>
      <c r="BQ100" s="37">
        <f t="shared" si="19"/>
        <v>21484</v>
      </c>
      <c r="BR100" s="36">
        <f t="shared" si="20"/>
        <v>12</v>
      </c>
      <c r="BS100" s="36">
        <f t="shared" si="21"/>
        <v>1.5</v>
      </c>
      <c r="BT100" s="36">
        <f t="shared" si="22"/>
        <v>10.5</v>
      </c>
      <c r="BU100" s="36">
        <f t="shared" si="23"/>
        <v>9.4228000000000005</v>
      </c>
      <c r="BV100" s="39">
        <f t="shared" si="24"/>
        <v>0.89740952380952388</v>
      </c>
      <c r="BW100" s="39">
        <f t="shared" si="25"/>
        <v>0.99958108359709552</v>
      </c>
      <c r="BX100" s="40">
        <f t="shared" si="26"/>
        <v>2.3587833643699565E-2</v>
      </c>
      <c r="BY100" s="40">
        <f t="shared" si="27"/>
        <v>1.2414649286157667E-2</v>
      </c>
      <c r="BZ100" t="str">
        <f t="shared" si="28"/>
        <v>OK</v>
      </c>
      <c r="CA100">
        <f t="shared" si="29"/>
        <v>1</v>
      </c>
    </row>
    <row r="101" spans="1:80" x14ac:dyDescent="0.25">
      <c r="A101" s="35">
        <v>45862</v>
      </c>
      <c r="B101" s="36">
        <v>11.629899999999999</v>
      </c>
      <c r="C101" t="s">
        <v>113</v>
      </c>
      <c r="D101" t="s">
        <v>6</v>
      </c>
      <c r="E101" t="s">
        <v>126</v>
      </c>
      <c r="F101" t="s">
        <v>149</v>
      </c>
      <c r="G101">
        <v>281</v>
      </c>
      <c r="H101">
        <v>2140110613</v>
      </c>
      <c r="I101" t="s">
        <v>150</v>
      </c>
      <c r="J101" s="37">
        <v>11300</v>
      </c>
      <c r="K101" s="37">
        <v>30</v>
      </c>
      <c r="M101">
        <v>4309</v>
      </c>
      <c r="N101">
        <v>93.619789999999995</v>
      </c>
      <c r="O101">
        <v>150</v>
      </c>
      <c r="P101">
        <v>32</v>
      </c>
      <c r="Q101">
        <v>68</v>
      </c>
      <c r="R101">
        <v>200</v>
      </c>
      <c r="T101">
        <v>5</v>
      </c>
      <c r="V101" t="s">
        <v>116</v>
      </c>
      <c r="Y101" s="38">
        <v>0.29166666666666669</v>
      </c>
      <c r="Z101" s="38">
        <v>0.77638888888888891</v>
      </c>
      <c r="AA101" t="s">
        <v>117</v>
      </c>
      <c r="AC101" t="s">
        <v>121</v>
      </c>
      <c r="AF101">
        <v>0.40379999999999999</v>
      </c>
      <c r="AO101">
        <v>3.6343999999999999</v>
      </c>
      <c r="AQ101">
        <v>0.24229999999999999</v>
      </c>
      <c r="AR101">
        <v>0.72689999999999999</v>
      </c>
      <c r="AW101">
        <v>0.72689999999999999</v>
      </c>
      <c r="BK101">
        <f>0</f>
        <v>0</v>
      </c>
      <c r="BL101">
        <f t="shared" si="15"/>
        <v>5.7342999999999993</v>
      </c>
      <c r="BM101">
        <f t="shared" si="16"/>
        <v>0</v>
      </c>
      <c r="BN101">
        <f t="shared" si="17"/>
        <v>0</v>
      </c>
      <c r="BO101">
        <f t="shared" si="18"/>
        <v>1</v>
      </c>
      <c r="BP101" s="37">
        <f>IF($F101="","",IFERROR(INDEX(Familias!$C$5:$C$300,MATCH($F101,Familias!$A$5:$A$300,0)),""))</f>
        <v>2740</v>
      </c>
      <c r="BQ101" s="37">
        <f t="shared" si="19"/>
        <v>11330</v>
      </c>
      <c r="BR101" s="36">
        <f t="shared" si="20"/>
        <v>11.629899999999999</v>
      </c>
      <c r="BS101" s="36">
        <f t="shared" si="21"/>
        <v>5.7343000000000002</v>
      </c>
      <c r="BT101" s="36">
        <f t="shared" si="22"/>
        <v>5.8956</v>
      </c>
      <c r="BU101" s="36">
        <f t="shared" si="23"/>
        <v>4.1349999999999998</v>
      </c>
      <c r="BV101" s="39">
        <f t="shared" si="24"/>
        <v>0.70137051360336522</v>
      </c>
      <c r="BW101" s="39">
        <f t="shared" si="25"/>
        <v>0.99735216240070612</v>
      </c>
      <c r="BX101" s="40">
        <f t="shared" si="26"/>
        <v>8.8651659317707118E-2</v>
      </c>
      <c r="BY101" s="40">
        <f t="shared" si="27"/>
        <v>1.5780923648178232E-2</v>
      </c>
      <c r="BZ101" t="str">
        <f t="shared" si="28"/>
        <v>OK</v>
      </c>
      <c r="CA101">
        <f t="shared" si="29"/>
        <v>1</v>
      </c>
    </row>
    <row r="102" spans="1:80" x14ac:dyDescent="0.25">
      <c r="A102" s="35">
        <v>45862</v>
      </c>
      <c r="B102" s="36">
        <v>0.37009999999999998</v>
      </c>
      <c r="C102" t="s">
        <v>113</v>
      </c>
      <c r="D102" t="s">
        <v>6</v>
      </c>
      <c r="E102" t="s">
        <v>147</v>
      </c>
      <c r="F102" t="s">
        <v>147</v>
      </c>
      <c r="G102">
        <v>283</v>
      </c>
      <c r="H102">
        <v>2140110663</v>
      </c>
      <c r="I102" t="s">
        <v>148</v>
      </c>
      <c r="J102" s="37">
        <v>300</v>
      </c>
      <c r="K102" s="37"/>
      <c r="M102">
        <v>312</v>
      </c>
      <c r="N102">
        <v>2.2241039999999468</v>
      </c>
      <c r="T102">
        <v>0</v>
      </c>
      <c r="V102" t="s">
        <v>116</v>
      </c>
      <c r="Y102" s="38">
        <v>0.77638888888888891</v>
      </c>
      <c r="Z102" s="38">
        <v>0.79166666666666663</v>
      </c>
      <c r="AA102" t="s">
        <v>117</v>
      </c>
      <c r="AC102" t="s">
        <v>121</v>
      </c>
      <c r="AF102">
        <v>1.2800000000000001E-2</v>
      </c>
      <c r="AO102">
        <v>0.11559999999999999</v>
      </c>
      <c r="AQ102">
        <v>7.7000000000000002E-3</v>
      </c>
      <c r="AR102">
        <v>2.3099999999999999E-2</v>
      </c>
      <c r="AW102">
        <v>2.3099999999999999E-2</v>
      </c>
      <c r="BK102">
        <f>0</f>
        <v>0</v>
      </c>
      <c r="BL102">
        <f t="shared" si="15"/>
        <v>0.18230000000000002</v>
      </c>
      <c r="BM102">
        <f t="shared" si="16"/>
        <v>0</v>
      </c>
      <c r="BN102">
        <f t="shared" si="17"/>
        <v>0</v>
      </c>
      <c r="BO102">
        <f t="shared" si="18"/>
        <v>1</v>
      </c>
      <c r="BP102" s="37">
        <f>IF($F102="","",IFERROR(INDEX(Familias!$C$5:$C$300,MATCH($F102,Familias!$A$5:$A$300,0)),""))</f>
        <v>2280</v>
      </c>
      <c r="BQ102" s="37">
        <f t="shared" si="19"/>
        <v>300</v>
      </c>
      <c r="BR102" s="36">
        <f t="shared" si="20"/>
        <v>0.37009999999999998</v>
      </c>
      <c r="BS102" s="36">
        <f t="shared" si="21"/>
        <v>0.18229999999999999</v>
      </c>
      <c r="BT102" s="36">
        <f t="shared" si="22"/>
        <v>0.18779999999999999</v>
      </c>
      <c r="BU102" s="36">
        <f t="shared" si="23"/>
        <v>0.13159999999999999</v>
      </c>
      <c r="BV102" s="39">
        <f t="shared" si="24"/>
        <v>0.70074547390841324</v>
      </c>
      <c r="BW102" s="39">
        <f t="shared" si="25"/>
        <v>1</v>
      </c>
      <c r="BX102" s="40">
        <f t="shared" si="26"/>
        <v>0</v>
      </c>
      <c r="BY102" s="40">
        <f t="shared" si="27"/>
        <v>0</v>
      </c>
      <c r="BZ102" t="str">
        <f t="shared" si="28"/>
        <v>OK</v>
      </c>
      <c r="CA102">
        <f t="shared" si="29"/>
        <v>1</v>
      </c>
    </row>
    <row r="103" spans="1:80" x14ac:dyDescent="0.25">
      <c r="A103" s="35">
        <v>45862</v>
      </c>
      <c r="B103" s="36">
        <v>12</v>
      </c>
      <c r="C103" t="s">
        <v>119</v>
      </c>
      <c r="D103" t="s">
        <v>6</v>
      </c>
      <c r="E103" t="s">
        <v>126</v>
      </c>
      <c r="F103" t="s">
        <v>149</v>
      </c>
      <c r="G103">
        <v>281</v>
      </c>
      <c r="H103">
        <v>2140110613</v>
      </c>
      <c r="I103" t="s">
        <v>150</v>
      </c>
      <c r="J103" s="37">
        <v>22455</v>
      </c>
      <c r="K103" s="37">
        <v>5</v>
      </c>
      <c r="M103">
        <v>7698</v>
      </c>
      <c r="N103">
        <v>185.58698000000001</v>
      </c>
      <c r="O103">
        <v>65</v>
      </c>
      <c r="P103">
        <v>72</v>
      </c>
      <c r="Q103">
        <v>8</v>
      </c>
      <c r="T103">
        <v>9</v>
      </c>
      <c r="V103" t="s">
        <v>120</v>
      </c>
      <c r="Y103" s="38">
        <v>0.79166666666666663</v>
      </c>
      <c r="Z103" s="38">
        <v>0.29166666666666669</v>
      </c>
      <c r="AA103" t="s">
        <v>117</v>
      </c>
      <c r="AC103" t="s">
        <v>118</v>
      </c>
      <c r="AQ103">
        <v>0.25</v>
      </c>
      <c r="AR103">
        <v>0.75</v>
      </c>
      <c r="BI103">
        <v>0.5</v>
      </c>
      <c r="BK103">
        <f>0</f>
        <v>0</v>
      </c>
      <c r="BL103">
        <f t="shared" si="15"/>
        <v>1.5</v>
      </c>
      <c r="BM103">
        <f t="shared" si="16"/>
        <v>0</v>
      </c>
      <c r="BN103">
        <f t="shared" si="17"/>
        <v>0</v>
      </c>
      <c r="BO103">
        <f t="shared" si="18"/>
        <v>1</v>
      </c>
      <c r="BP103" s="37">
        <f>IF($F103="","",IFERROR(INDEX(Familias!$C$5:$C$300,MATCH($F103,Familias!$A$5:$A$300,0)),""))</f>
        <v>2740</v>
      </c>
      <c r="BQ103" s="37">
        <f t="shared" si="19"/>
        <v>22460</v>
      </c>
      <c r="BR103" s="36">
        <f t="shared" si="20"/>
        <v>12</v>
      </c>
      <c r="BS103" s="36">
        <f t="shared" si="21"/>
        <v>1.5</v>
      </c>
      <c r="BT103" s="36">
        <f t="shared" si="22"/>
        <v>10.5</v>
      </c>
      <c r="BU103" s="36">
        <f t="shared" si="23"/>
        <v>8.1971000000000007</v>
      </c>
      <c r="BV103" s="39">
        <f t="shared" si="24"/>
        <v>0.78067619047619052</v>
      </c>
      <c r="BW103" s="39">
        <f t="shared" si="25"/>
        <v>0.99977738201246658</v>
      </c>
      <c r="BX103" s="40">
        <f t="shared" si="26"/>
        <v>1.7796830345544298E-2</v>
      </c>
      <c r="BY103" s="40">
        <f t="shared" si="27"/>
        <v>1.0392309690828788E-3</v>
      </c>
      <c r="BZ103" t="str">
        <f t="shared" si="28"/>
        <v>OK</v>
      </c>
      <c r="CA103">
        <f t="shared" si="29"/>
        <v>1</v>
      </c>
    </row>
    <row r="104" spans="1:80" x14ac:dyDescent="0.25">
      <c r="A104" s="35">
        <v>45863</v>
      </c>
      <c r="B104" s="36">
        <v>1.8440000000000001</v>
      </c>
      <c r="C104" t="s">
        <v>113</v>
      </c>
      <c r="D104" t="s">
        <v>6</v>
      </c>
      <c r="E104" t="s">
        <v>126</v>
      </c>
      <c r="F104" t="s">
        <v>149</v>
      </c>
      <c r="G104">
        <v>281</v>
      </c>
      <c r="H104">
        <v>2140110613</v>
      </c>
      <c r="I104" t="s">
        <v>150</v>
      </c>
      <c r="J104" s="37">
        <v>3125</v>
      </c>
      <c r="K104" s="37">
        <v>3</v>
      </c>
      <c r="M104">
        <v>884</v>
      </c>
      <c r="N104">
        <v>25.846664000000001</v>
      </c>
      <c r="O104">
        <v>6</v>
      </c>
      <c r="T104">
        <v>1</v>
      </c>
      <c r="V104" t="s">
        <v>116</v>
      </c>
      <c r="Y104" s="38">
        <v>0.29166666666666669</v>
      </c>
      <c r="Z104" s="38">
        <v>0.36875000000000002</v>
      </c>
      <c r="AA104" t="s">
        <v>117</v>
      </c>
      <c r="AC104" t="s">
        <v>121</v>
      </c>
      <c r="AD104">
        <v>3.8399999999999997E-2</v>
      </c>
      <c r="AQ104">
        <v>3.8399999999999997E-2</v>
      </c>
      <c r="AR104">
        <v>0.1152</v>
      </c>
      <c r="AW104">
        <v>0.25609999999999999</v>
      </c>
      <c r="BK104">
        <f>0</f>
        <v>0</v>
      </c>
      <c r="BL104">
        <f t="shared" si="15"/>
        <v>0.4481</v>
      </c>
      <c r="BM104">
        <f t="shared" si="16"/>
        <v>0</v>
      </c>
      <c r="BN104">
        <f t="shared" si="17"/>
        <v>0</v>
      </c>
      <c r="BO104">
        <f t="shared" si="18"/>
        <v>1</v>
      </c>
      <c r="BP104" s="37">
        <f>IF($F104="","",IFERROR(INDEX(Familias!$C$5:$C$300,MATCH($F104,Familias!$A$5:$A$300,0)),""))</f>
        <v>2740</v>
      </c>
      <c r="BQ104" s="37">
        <f t="shared" si="19"/>
        <v>3128</v>
      </c>
      <c r="BR104" s="36">
        <f t="shared" si="20"/>
        <v>1.8440000000000001</v>
      </c>
      <c r="BS104" s="36">
        <f t="shared" si="21"/>
        <v>0.4481</v>
      </c>
      <c r="BT104" s="36">
        <f t="shared" si="22"/>
        <v>1.3958999999999999</v>
      </c>
      <c r="BU104" s="36">
        <f t="shared" si="23"/>
        <v>1.1415999999999999</v>
      </c>
      <c r="BV104" s="39">
        <f t="shared" si="24"/>
        <v>0.81782362633426464</v>
      </c>
      <c r="BW104" s="39">
        <f t="shared" si="25"/>
        <v>0.9990409207161125</v>
      </c>
      <c r="BX104" s="40">
        <f t="shared" si="26"/>
        <v>6.7873303167420816E-3</v>
      </c>
      <c r="BY104" s="40">
        <f t="shared" si="27"/>
        <v>0</v>
      </c>
      <c r="BZ104" t="str">
        <f t="shared" si="28"/>
        <v>OK</v>
      </c>
      <c r="CA104">
        <f t="shared" si="29"/>
        <v>1</v>
      </c>
    </row>
    <row r="105" spans="1:80" x14ac:dyDescent="0.25">
      <c r="A105" s="35">
        <v>45863</v>
      </c>
      <c r="B105" s="36">
        <v>10.156000000000001</v>
      </c>
      <c r="C105" t="s">
        <v>113</v>
      </c>
      <c r="D105" t="s">
        <v>6</v>
      </c>
      <c r="E105" t="s">
        <v>126</v>
      </c>
      <c r="F105" t="s">
        <v>149</v>
      </c>
      <c r="G105">
        <v>282</v>
      </c>
      <c r="H105">
        <v>2140110615</v>
      </c>
      <c r="I105" t="s">
        <v>151</v>
      </c>
      <c r="J105" s="37">
        <v>17225</v>
      </c>
      <c r="K105" s="37">
        <v>3</v>
      </c>
      <c r="M105">
        <v>5834</v>
      </c>
      <c r="N105">
        <v>142.354964</v>
      </c>
      <c r="O105">
        <v>35</v>
      </c>
      <c r="P105">
        <v>48</v>
      </c>
      <c r="Q105">
        <v>12</v>
      </c>
      <c r="T105">
        <v>7</v>
      </c>
      <c r="V105" t="s">
        <v>116</v>
      </c>
      <c r="Y105" s="38">
        <v>0.36875000000000002</v>
      </c>
      <c r="Z105" s="38">
        <v>0.79166666666666663</v>
      </c>
      <c r="AA105" t="s">
        <v>117</v>
      </c>
      <c r="AC105" t="s">
        <v>121</v>
      </c>
      <c r="AD105">
        <v>0.21160000000000001</v>
      </c>
      <c r="AQ105">
        <v>0.21160000000000001</v>
      </c>
      <c r="AR105">
        <v>0.63480000000000003</v>
      </c>
      <c r="AW105">
        <v>1.4106000000000001</v>
      </c>
      <c r="BK105">
        <f>0</f>
        <v>0</v>
      </c>
      <c r="BL105">
        <f t="shared" si="15"/>
        <v>2.4686000000000003</v>
      </c>
      <c r="BM105">
        <f t="shared" si="16"/>
        <v>0</v>
      </c>
      <c r="BN105">
        <f t="shared" si="17"/>
        <v>0</v>
      </c>
      <c r="BO105">
        <f t="shared" si="18"/>
        <v>1</v>
      </c>
      <c r="BP105" s="37">
        <f>IF($F105="","",IFERROR(INDEX(Familias!$C$5:$C$300,MATCH($F105,Familias!$A$5:$A$300,0)),""))</f>
        <v>2740</v>
      </c>
      <c r="BQ105" s="37">
        <f t="shared" si="19"/>
        <v>17228</v>
      </c>
      <c r="BR105" s="36">
        <f t="shared" si="20"/>
        <v>10.156000000000001</v>
      </c>
      <c r="BS105" s="36">
        <f t="shared" si="21"/>
        <v>2.4685999999999999</v>
      </c>
      <c r="BT105" s="36">
        <f t="shared" si="22"/>
        <v>7.6874000000000002</v>
      </c>
      <c r="BU105" s="36">
        <f t="shared" si="23"/>
        <v>6.2876000000000003</v>
      </c>
      <c r="BV105" s="39">
        <f t="shared" si="24"/>
        <v>0.81790982646928745</v>
      </c>
      <c r="BW105" s="39">
        <f t="shared" si="25"/>
        <v>0.99982586487114</v>
      </c>
      <c r="BX105" s="40">
        <f t="shared" si="26"/>
        <v>1.4226945491943779E-2</v>
      </c>
      <c r="BY105" s="40">
        <f t="shared" si="27"/>
        <v>2.056907781967775E-3</v>
      </c>
      <c r="BZ105" t="str">
        <f t="shared" si="28"/>
        <v>OK</v>
      </c>
      <c r="CA105">
        <f t="shared" si="29"/>
        <v>1</v>
      </c>
    </row>
    <row r="106" spans="1:80" x14ac:dyDescent="0.25">
      <c r="A106" s="35">
        <v>45863</v>
      </c>
      <c r="B106" s="36">
        <v>2.9634999999999998</v>
      </c>
      <c r="C106" t="s">
        <v>119</v>
      </c>
      <c r="D106" t="s">
        <v>6</v>
      </c>
      <c r="E106" t="s">
        <v>126</v>
      </c>
      <c r="F106" t="s">
        <v>149</v>
      </c>
      <c r="G106">
        <v>282</v>
      </c>
      <c r="H106">
        <v>2140110615</v>
      </c>
      <c r="I106" t="s">
        <v>151</v>
      </c>
      <c r="J106" s="37">
        <v>4875</v>
      </c>
      <c r="K106" s="37"/>
      <c r="M106">
        <v>1626</v>
      </c>
      <c r="N106">
        <v>40.282125000000001</v>
      </c>
      <c r="O106">
        <v>10</v>
      </c>
      <c r="P106">
        <v>16</v>
      </c>
      <c r="T106">
        <v>2</v>
      </c>
      <c r="V106" t="s">
        <v>120</v>
      </c>
      <c r="Y106" s="38">
        <v>0.79166666666666663</v>
      </c>
      <c r="Z106" s="38">
        <v>0.91527777777777775</v>
      </c>
      <c r="AA106" t="s">
        <v>117</v>
      </c>
      <c r="AC106" t="s">
        <v>121</v>
      </c>
      <c r="AQ106">
        <v>6.1699999999999998E-2</v>
      </c>
      <c r="AR106">
        <v>0.1852</v>
      </c>
      <c r="BI106">
        <v>0.1235</v>
      </c>
      <c r="BJ106">
        <v>0.247</v>
      </c>
      <c r="BK106">
        <f>0</f>
        <v>0</v>
      </c>
      <c r="BL106">
        <f t="shared" si="15"/>
        <v>0.61739999999999995</v>
      </c>
      <c r="BM106">
        <f t="shared" si="16"/>
        <v>0</v>
      </c>
      <c r="BN106">
        <f t="shared" si="17"/>
        <v>0</v>
      </c>
      <c r="BO106">
        <f t="shared" si="18"/>
        <v>1</v>
      </c>
      <c r="BP106" s="37">
        <f>IF($F106="","",IFERROR(INDEX(Familias!$C$5:$C$300,MATCH($F106,Familias!$A$5:$A$300,0)),""))</f>
        <v>2740</v>
      </c>
      <c r="BQ106" s="37">
        <f t="shared" si="19"/>
        <v>4875</v>
      </c>
      <c r="BR106" s="36">
        <f t="shared" si="20"/>
        <v>2.9634999999999998</v>
      </c>
      <c r="BS106" s="36">
        <f t="shared" si="21"/>
        <v>0.61739999999999995</v>
      </c>
      <c r="BT106" s="36">
        <f t="shared" si="22"/>
        <v>2.3460999999999999</v>
      </c>
      <c r="BU106" s="36">
        <f t="shared" si="23"/>
        <v>1.7791999999999999</v>
      </c>
      <c r="BV106" s="39">
        <f t="shared" si="24"/>
        <v>0.75836494608072968</v>
      </c>
      <c r="BW106" s="39">
        <f t="shared" si="25"/>
        <v>1</v>
      </c>
      <c r="BX106" s="40">
        <f t="shared" si="26"/>
        <v>1.5990159901599015E-2</v>
      </c>
      <c r="BY106" s="40">
        <f t="shared" si="27"/>
        <v>0</v>
      </c>
      <c r="BZ106" t="str">
        <f t="shared" si="28"/>
        <v>OK</v>
      </c>
      <c r="CA106">
        <f t="shared" si="29"/>
        <v>1</v>
      </c>
    </row>
    <row r="107" spans="1:80" x14ac:dyDescent="0.25">
      <c r="A107" s="35">
        <v>45863</v>
      </c>
      <c r="B107" s="36">
        <v>9.0365000000000002</v>
      </c>
      <c r="C107" t="s">
        <v>119</v>
      </c>
      <c r="D107" t="s">
        <v>6</v>
      </c>
      <c r="E107" t="s">
        <v>126</v>
      </c>
      <c r="F107" t="s">
        <v>149</v>
      </c>
      <c r="G107">
        <v>354</v>
      </c>
      <c r="H107">
        <v>2140110620</v>
      </c>
      <c r="I107" t="s">
        <v>152</v>
      </c>
      <c r="J107" s="37">
        <v>14850</v>
      </c>
      <c r="K107" s="37">
        <v>15</v>
      </c>
      <c r="M107">
        <v>5219</v>
      </c>
      <c r="N107">
        <v>128.567385</v>
      </c>
      <c r="O107">
        <v>35</v>
      </c>
      <c r="P107">
        <v>48</v>
      </c>
      <c r="Q107">
        <v>152</v>
      </c>
      <c r="T107">
        <v>6</v>
      </c>
      <c r="V107" t="s">
        <v>120</v>
      </c>
      <c r="Y107" s="38">
        <v>0.91527777777777775</v>
      </c>
      <c r="Z107" s="38">
        <v>0.29166666666666669</v>
      </c>
      <c r="AA107" t="s">
        <v>117</v>
      </c>
      <c r="AC107" t="s">
        <v>121</v>
      </c>
      <c r="AQ107">
        <v>0.1883</v>
      </c>
      <c r="AR107">
        <v>0.56479999999999997</v>
      </c>
      <c r="BI107">
        <v>0.3765</v>
      </c>
      <c r="BJ107">
        <v>0.753</v>
      </c>
      <c r="BK107">
        <f>0</f>
        <v>0</v>
      </c>
      <c r="BL107">
        <f t="shared" si="15"/>
        <v>1.8826000000000001</v>
      </c>
      <c r="BM107">
        <f t="shared" si="16"/>
        <v>0</v>
      </c>
      <c r="BN107">
        <f t="shared" si="17"/>
        <v>0</v>
      </c>
      <c r="BO107">
        <f t="shared" si="18"/>
        <v>1</v>
      </c>
      <c r="BP107" s="37">
        <f>IF($F107="","",IFERROR(INDEX(Familias!$C$5:$C$300,MATCH($F107,Familias!$A$5:$A$300,0)),""))</f>
        <v>2740</v>
      </c>
      <c r="BQ107" s="37">
        <f t="shared" si="19"/>
        <v>14865</v>
      </c>
      <c r="BR107" s="36">
        <f t="shared" si="20"/>
        <v>9.0365000000000002</v>
      </c>
      <c r="BS107" s="36">
        <f t="shared" si="21"/>
        <v>1.8826000000000001</v>
      </c>
      <c r="BT107" s="36">
        <f t="shared" si="22"/>
        <v>7.1539000000000001</v>
      </c>
      <c r="BU107" s="36">
        <f t="shared" si="23"/>
        <v>5.4252000000000002</v>
      </c>
      <c r="BV107" s="39">
        <f t="shared" si="24"/>
        <v>0.75835558226981092</v>
      </c>
      <c r="BW107" s="39">
        <f t="shared" si="25"/>
        <v>0.99899091826437947</v>
      </c>
      <c r="BX107" s="40">
        <f t="shared" si="26"/>
        <v>1.5903429775819121E-2</v>
      </c>
      <c r="BY107" s="40">
        <f t="shared" si="27"/>
        <v>2.9124353324391648E-2</v>
      </c>
      <c r="BZ107" t="str">
        <f t="shared" si="28"/>
        <v>OK</v>
      </c>
      <c r="CA107">
        <f t="shared" si="29"/>
        <v>1</v>
      </c>
    </row>
    <row r="108" spans="1:80" x14ac:dyDescent="0.25">
      <c r="A108" s="35">
        <v>45864</v>
      </c>
      <c r="B108" s="36">
        <v>9.3787000000000003</v>
      </c>
      <c r="C108" t="s">
        <v>113</v>
      </c>
      <c r="D108" t="s">
        <v>6</v>
      </c>
      <c r="E108" t="s">
        <v>126</v>
      </c>
      <c r="F108" t="s">
        <v>149</v>
      </c>
      <c r="G108">
        <v>354</v>
      </c>
      <c r="H108">
        <v>2140110620</v>
      </c>
      <c r="I108" t="s">
        <v>152</v>
      </c>
      <c r="J108" s="37">
        <v>15200</v>
      </c>
      <c r="K108" s="37">
        <v>6</v>
      </c>
      <c r="M108">
        <v>5216</v>
      </c>
      <c r="N108">
        <v>131.516694</v>
      </c>
      <c r="O108">
        <v>135</v>
      </c>
      <c r="P108">
        <v>16</v>
      </c>
      <c r="V108" t="s">
        <v>116</v>
      </c>
      <c r="Y108" s="38">
        <v>0.29166666666666669</v>
      </c>
      <c r="Z108" s="38">
        <v>0.68263888888888891</v>
      </c>
      <c r="AA108" t="s">
        <v>117</v>
      </c>
      <c r="AC108" t="s">
        <v>121</v>
      </c>
      <c r="AQ108">
        <v>0.19539999999999999</v>
      </c>
      <c r="AR108">
        <v>0.58620000000000005</v>
      </c>
      <c r="BI108">
        <v>0.39079999999999998</v>
      </c>
      <c r="BJ108">
        <v>0.39079999999999998</v>
      </c>
      <c r="BK108">
        <f>0</f>
        <v>0</v>
      </c>
      <c r="BL108">
        <f t="shared" si="15"/>
        <v>1.5632000000000001</v>
      </c>
      <c r="BM108">
        <f t="shared" si="16"/>
        <v>0</v>
      </c>
      <c r="BN108">
        <f t="shared" si="17"/>
        <v>0</v>
      </c>
      <c r="BO108">
        <f t="shared" si="18"/>
        <v>1</v>
      </c>
      <c r="BP108" s="37">
        <f>IF($F108="","",IFERROR(INDEX(Familias!$C$5:$C$300,MATCH($F108,Familias!$A$5:$A$300,0)),""))</f>
        <v>2740</v>
      </c>
      <c r="BQ108" s="37">
        <f t="shared" si="19"/>
        <v>15206</v>
      </c>
      <c r="BR108" s="36">
        <f t="shared" si="20"/>
        <v>9.3787000000000003</v>
      </c>
      <c r="BS108" s="36">
        <f t="shared" si="21"/>
        <v>1.5631999999999999</v>
      </c>
      <c r="BT108" s="36">
        <f t="shared" si="22"/>
        <v>7.8155000000000001</v>
      </c>
      <c r="BU108" s="36">
        <f t="shared" si="23"/>
        <v>5.5495999999999999</v>
      </c>
      <c r="BV108" s="39">
        <f t="shared" si="24"/>
        <v>0.71007613076578591</v>
      </c>
      <c r="BW108" s="39">
        <f t="shared" si="25"/>
        <v>0.99960541891358679</v>
      </c>
      <c r="BX108" s="40">
        <f t="shared" si="26"/>
        <v>2.8949386503067484E-2</v>
      </c>
      <c r="BY108" s="40">
        <f t="shared" si="27"/>
        <v>0</v>
      </c>
      <c r="BZ108" t="str">
        <f t="shared" si="28"/>
        <v>OK</v>
      </c>
      <c r="CA108">
        <f t="shared" si="29"/>
        <v>1</v>
      </c>
    </row>
    <row r="109" spans="1:80" x14ac:dyDescent="0.25">
      <c r="A109" s="35">
        <v>45864</v>
      </c>
      <c r="B109" s="36">
        <v>2.6213000000000002</v>
      </c>
      <c r="C109" t="s">
        <v>113</v>
      </c>
      <c r="D109" t="s">
        <v>6</v>
      </c>
      <c r="E109" t="s">
        <v>126</v>
      </c>
      <c r="F109" t="s">
        <v>149</v>
      </c>
      <c r="G109">
        <v>355</v>
      </c>
      <c r="H109">
        <v>2140110622</v>
      </c>
      <c r="I109" t="s">
        <v>153</v>
      </c>
      <c r="J109" s="37">
        <v>4225</v>
      </c>
      <c r="K109" s="37">
        <v>25</v>
      </c>
      <c r="M109">
        <v>1672</v>
      </c>
      <c r="N109">
        <v>36.758249999999997</v>
      </c>
      <c r="O109">
        <v>150</v>
      </c>
      <c r="P109">
        <v>48</v>
      </c>
      <c r="Q109">
        <v>25</v>
      </c>
      <c r="T109">
        <v>2</v>
      </c>
      <c r="V109" t="s">
        <v>116</v>
      </c>
      <c r="Y109" s="38">
        <v>0.68263888888888891</v>
      </c>
      <c r="Z109" s="38">
        <v>0.79166666666666663</v>
      </c>
      <c r="AA109" t="s">
        <v>117</v>
      </c>
      <c r="AC109" t="s">
        <v>121</v>
      </c>
      <c r="AQ109">
        <v>5.4600000000000003E-2</v>
      </c>
      <c r="AR109">
        <v>0.1638</v>
      </c>
      <c r="BI109">
        <v>0.10920000000000001</v>
      </c>
      <c r="BJ109">
        <v>0.10920000000000001</v>
      </c>
      <c r="BK109">
        <f>0</f>
        <v>0</v>
      </c>
      <c r="BL109">
        <f t="shared" si="15"/>
        <v>0.43680000000000002</v>
      </c>
      <c r="BM109">
        <f t="shared" si="16"/>
        <v>0</v>
      </c>
      <c r="BN109">
        <f t="shared" si="17"/>
        <v>0</v>
      </c>
      <c r="BO109">
        <f t="shared" si="18"/>
        <v>1</v>
      </c>
      <c r="BP109" s="37">
        <f>IF($F109="","",IFERROR(INDEX(Familias!$C$5:$C$300,MATCH($F109,Familias!$A$5:$A$300,0)),""))</f>
        <v>2740</v>
      </c>
      <c r="BQ109" s="37">
        <f t="shared" si="19"/>
        <v>4250</v>
      </c>
      <c r="BR109" s="36">
        <f t="shared" si="20"/>
        <v>2.6213000000000002</v>
      </c>
      <c r="BS109" s="36">
        <f t="shared" si="21"/>
        <v>0.43680000000000002</v>
      </c>
      <c r="BT109" s="36">
        <f t="shared" si="22"/>
        <v>2.1844999999999999</v>
      </c>
      <c r="BU109" s="36">
        <f t="shared" si="23"/>
        <v>1.5510999999999999</v>
      </c>
      <c r="BV109" s="39">
        <f t="shared" si="24"/>
        <v>0.71004806591897462</v>
      </c>
      <c r="BW109" s="39">
        <f t="shared" si="25"/>
        <v>0.99411764705882355</v>
      </c>
      <c r="BX109" s="40">
        <f t="shared" si="26"/>
        <v>0.11842105263157894</v>
      </c>
      <c r="BY109" s="40">
        <f t="shared" si="27"/>
        <v>1.4952153110047847E-2</v>
      </c>
      <c r="BZ109" t="str">
        <f t="shared" si="28"/>
        <v>OK</v>
      </c>
      <c r="CA109">
        <f t="shared" si="29"/>
        <v>1</v>
      </c>
    </row>
    <row r="110" spans="1:80" x14ac:dyDescent="0.25">
      <c r="A110" s="35">
        <v>45864</v>
      </c>
      <c r="B110" s="36">
        <v>12</v>
      </c>
      <c r="C110" t="s">
        <v>119</v>
      </c>
      <c r="D110" t="s">
        <v>6</v>
      </c>
      <c r="E110" t="s">
        <v>126</v>
      </c>
      <c r="F110" t="s">
        <v>149</v>
      </c>
      <c r="G110">
        <v>355</v>
      </c>
      <c r="H110">
        <v>2140110622</v>
      </c>
      <c r="I110" t="s">
        <v>153</v>
      </c>
      <c r="J110" s="37">
        <v>18775</v>
      </c>
      <c r="K110" s="37">
        <v>15</v>
      </c>
      <c r="M110">
        <v>5973</v>
      </c>
      <c r="N110">
        <v>162.51471000000001</v>
      </c>
      <c r="O110">
        <v>50</v>
      </c>
      <c r="P110">
        <v>49</v>
      </c>
      <c r="Q110">
        <v>42</v>
      </c>
      <c r="T110">
        <v>7</v>
      </c>
      <c r="V110" t="s">
        <v>120</v>
      </c>
      <c r="Y110" s="38">
        <v>0.79166666666666663</v>
      </c>
      <c r="Z110" s="38">
        <v>0.29166666666666669</v>
      </c>
      <c r="AA110" t="s">
        <v>117</v>
      </c>
      <c r="AC110" t="s">
        <v>118</v>
      </c>
      <c r="AK110">
        <v>0.5</v>
      </c>
      <c r="AR110">
        <v>0.75</v>
      </c>
      <c r="BC110">
        <v>1.5</v>
      </c>
      <c r="BI110">
        <v>0.5</v>
      </c>
      <c r="BK110">
        <f>0</f>
        <v>0</v>
      </c>
      <c r="BL110">
        <f t="shared" si="15"/>
        <v>3.25</v>
      </c>
      <c r="BM110">
        <f t="shared" si="16"/>
        <v>0</v>
      </c>
      <c r="BN110">
        <f t="shared" si="17"/>
        <v>0</v>
      </c>
      <c r="BO110">
        <f t="shared" si="18"/>
        <v>1</v>
      </c>
      <c r="BP110" s="37">
        <f>IF($F110="","",IFERROR(INDEX(Familias!$C$5:$C$300,MATCH($F110,Familias!$A$5:$A$300,0)),""))</f>
        <v>2740</v>
      </c>
      <c r="BQ110" s="37">
        <f t="shared" si="19"/>
        <v>18790</v>
      </c>
      <c r="BR110" s="36">
        <f t="shared" si="20"/>
        <v>12</v>
      </c>
      <c r="BS110" s="36">
        <f t="shared" si="21"/>
        <v>3.25</v>
      </c>
      <c r="BT110" s="36">
        <f t="shared" si="22"/>
        <v>8.75</v>
      </c>
      <c r="BU110" s="36">
        <f t="shared" si="23"/>
        <v>6.8577000000000004</v>
      </c>
      <c r="BV110" s="39">
        <f t="shared" si="24"/>
        <v>0.78373714285714291</v>
      </c>
      <c r="BW110" s="39">
        <f t="shared" si="25"/>
        <v>0.99920170303352851</v>
      </c>
      <c r="BX110" s="40">
        <f t="shared" si="26"/>
        <v>1.6574585635359115E-2</v>
      </c>
      <c r="BY110" s="40">
        <f t="shared" si="27"/>
        <v>7.0316423907584129E-3</v>
      </c>
      <c r="BZ110" t="str">
        <f t="shared" si="28"/>
        <v>OK</v>
      </c>
      <c r="CA110">
        <f t="shared" si="29"/>
        <v>1</v>
      </c>
    </row>
    <row r="111" spans="1:80" x14ac:dyDescent="0.25">
      <c r="A111" s="35">
        <v>45868</v>
      </c>
      <c r="B111" s="36">
        <v>1.3108</v>
      </c>
      <c r="C111" t="s">
        <v>113</v>
      </c>
      <c r="D111" t="s">
        <v>6</v>
      </c>
      <c r="E111" t="s">
        <v>126</v>
      </c>
      <c r="F111" t="s">
        <v>149</v>
      </c>
      <c r="G111">
        <v>355</v>
      </c>
      <c r="H111">
        <v>2140110622</v>
      </c>
      <c r="I111" t="s">
        <v>153</v>
      </c>
      <c r="J111" s="37">
        <v>1900</v>
      </c>
      <c r="K111" s="37">
        <v>2</v>
      </c>
      <c r="M111">
        <v>569</v>
      </c>
      <c r="N111">
        <v>16.450398</v>
      </c>
      <c r="O111">
        <v>10</v>
      </c>
      <c r="T111">
        <v>1</v>
      </c>
      <c r="V111" t="s">
        <v>120</v>
      </c>
      <c r="Y111" s="38">
        <v>0.29166666666666669</v>
      </c>
      <c r="Z111" s="38">
        <v>0.34652777777777782</v>
      </c>
      <c r="AA111" t="s">
        <v>117</v>
      </c>
      <c r="AC111" t="s">
        <v>121</v>
      </c>
      <c r="AD111">
        <v>9.0999999999999998E-2</v>
      </c>
      <c r="AQ111">
        <v>2.7300000000000001E-2</v>
      </c>
      <c r="AR111">
        <v>8.1900000000000001E-2</v>
      </c>
      <c r="BJ111">
        <v>0.16389999999999999</v>
      </c>
      <c r="BK111">
        <f>0</f>
        <v>0</v>
      </c>
      <c r="BL111">
        <f t="shared" si="15"/>
        <v>0.36409999999999998</v>
      </c>
      <c r="BM111">
        <f t="shared" si="16"/>
        <v>0</v>
      </c>
      <c r="BN111">
        <f t="shared" si="17"/>
        <v>0</v>
      </c>
      <c r="BO111">
        <f t="shared" si="18"/>
        <v>1</v>
      </c>
      <c r="BP111" s="37">
        <f>IF($F111="","",IFERROR(INDEX(Familias!$C$5:$C$300,MATCH($F111,Familias!$A$5:$A$300,0)),""))</f>
        <v>2740</v>
      </c>
      <c r="BQ111" s="37">
        <f t="shared" si="19"/>
        <v>1902</v>
      </c>
      <c r="BR111" s="36">
        <f t="shared" si="20"/>
        <v>1.3108</v>
      </c>
      <c r="BS111" s="36">
        <f t="shared" si="21"/>
        <v>0.36409999999999998</v>
      </c>
      <c r="BT111" s="36">
        <f t="shared" si="22"/>
        <v>0.94669999999999999</v>
      </c>
      <c r="BU111" s="36">
        <f t="shared" si="23"/>
        <v>0.69420000000000004</v>
      </c>
      <c r="BV111" s="39">
        <f t="shared" si="24"/>
        <v>0.73328403929439112</v>
      </c>
      <c r="BW111" s="39">
        <f t="shared" si="25"/>
        <v>0.9989484752891693</v>
      </c>
      <c r="BX111" s="40">
        <f t="shared" si="26"/>
        <v>1.7574692442882251E-2</v>
      </c>
      <c r="BY111" s="40">
        <f t="shared" si="27"/>
        <v>0</v>
      </c>
      <c r="BZ111" t="str">
        <f t="shared" si="28"/>
        <v>OK</v>
      </c>
      <c r="CA111">
        <f t="shared" si="29"/>
        <v>1</v>
      </c>
    </row>
    <row r="112" spans="1:80" x14ac:dyDescent="0.25">
      <c r="A112" s="35">
        <v>45868</v>
      </c>
      <c r="B112" s="36">
        <v>10.6892</v>
      </c>
      <c r="C112" t="s">
        <v>113</v>
      </c>
      <c r="D112" t="s">
        <v>6</v>
      </c>
      <c r="E112" t="s">
        <v>126</v>
      </c>
      <c r="F112" t="s">
        <v>149</v>
      </c>
      <c r="G112">
        <v>357</v>
      </c>
      <c r="H112">
        <v>2140110644</v>
      </c>
      <c r="I112" t="s">
        <v>154</v>
      </c>
      <c r="J112" s="37">
        <v>15500</v>
      </c>
      <c r="K112" s="37">
        <v>10</v>
      </c>
      <c r="M112">
        <v>5388</v>
      </c>
      <c r="N112">
        <v>134.14599000000001</v>
      </c>
      <c r="O112">
        <v>65</v>
      </c>
      <c r="P112">
        <v>64</v>
      </c>
      <c r="Q112">
        <v>94</v>
      </c>
      <c r="T112">
        <v>7</v>
      </c>
      <c r="V112" t="s">
        <v>120</v>
      </c>
      <c r="Y112" s="38">
        <v>0.34652777777777782</v>
      </c>
      <c r="Z112" s="38">
        <v>0.79166666666666663</v>
      </c>
      <c r="AA112" t="s">
        <v>117</v>
      </c>
      <c r="AC112" t="s">
        <v>121</v>
      </c>
      <c r="AD112">
        <v>0.74229999999999996</v>
      </c>
      <c r="AQ112">
        <v>0.22270000000000001</v>
      </c>
      <c r="AR112">
        <v>0.66810000000000003</v>
      </c>
      <c r="BJ112">
        <v>1.3361000000000001</v>
      </c>
      <c r="BK112">
        <f>0</f>
        <v>0</v>
      </c>
      <c r="BL112">
        <f t="shared" si="15"/>
        <v>2.9691999999999998</v>
      </c>
      <c r="BM112">
        <f t="shared" si="16"/>
        <v>0</v>
      </c>
      <c r="BN112">
        <f t="shared" si="17"/>
        <v>0</v>
      </c>
      <c r="BO112">
        <f t="shared" si="18"/>
        <v>1</v>
      </c>
      <c r="BP112" s="37">
        <f>IF($F112="","",IFERROR(INDEX(Familias!$C$5:$C$300,MATCH($F112,Familias!$A$5:$A$300,0)),""))</f>
        <v>2740</v>
      </c>
      <c r="BQ112" s="37">
        <f t="shared" si="19"/>
        <v>15510</v>
      </c>
      <c r="BR112" s="36">
        <f t="shared" si="20"/>
        <v>10.6892</v>
      </c>
      <c r="BS112" s="36">
        <f t="shared" si="21"/>
        <v>2.9691999999999998</v>
      </c>
      <c r="BT112" s="36">
        <f t="shared" si="22"/>
        <v>7.72</v>
      </c>
      <c r="BU112" s="36">
        <f t="shared" si="23"/>
        <v>5.6605999999999996</v>
      </c>
      <c r="BV112" s="39">
        <f t="shared" si="24"/>
        <v>0.73323834196891191</v>
      </c>
      <c r="BW112" s="39">
        <f t="shared" si="25"/>
        <v>0.99935525467440356</v>
      </c>
      <c r="BX112" s="40">
        <f t="shared" si="26"/>
        <v>2.3942093541202674E-2</v>
      </c>
      <c r="BY112" s="40">
        <f t="shared" si="27"/>
        <v>1.7446176688938383E-2</v>
      </c>
      <c r="BZ112" t="str">
        <f t="shared" si="28"/>
        <v>OK</v>
      </c>
      <c r="CA112">
        <f t="shared" si="29"/>
        <v>1</v>
      </c>
    </row>
    <row r="113" spans="1:80" x14ac:dyDescent="0.25">
      <c r="A113" s="35">
        <v>45868</v>
      </c>
      <c r="B113" s="36">
        <v>6.5235000000000003</v>
      </c>
      <c r="C113" t="s">
        <v>119</v>
      </c>
      <c r="D113" t="s">
        <v>6</v>
      </c>
      <c r="E113" t="s">
        <v>126</v>
      </c>
      <c r="F113" t="s">
        <v>149</v>
      </c>
      <c r="G113">
        <v>357</v>
      </c>
      <c r="H113">
        <v>2140110644</v>
      </c>
      <c r="I113" t="s">
        <v>154</v>
      </c>
      <c r="J113" s="37">
        <v>8400</v>
      </c>
      <c r="K113" s="37">
        <v>18</v>
      </c>
      <c r="M113">
        <v>2827</v>
      </c>
      <c r="N113">
        <v>72.807282000000001</v>
      </c>
      <c r="O113">
        <v>28</v>
      </c>
      <c r="T113">
        <v>3</v>
      </c>
      <c r="V113" t="s">
        <v>116</v>
      </c>
      <c r="Y113" s="38">
        <v>0.79166666666666663</v>
      </c>
      <c r="Z113" s="38">
        <v>6.3194444444444442E-2</v>
      </c>
      <c r="AA113" t="s">
        <v>117</v>
      </c>
      <c r="AC113" t="s">
        <v>121</v>
      </c>
      <c r="AD113">
        <v>0.27179999999999999</v>
      </c>
      <c r="AQ113">
        <v>0.27179999999999999</v>
      </c>
      <c r="AR113">
        <v>0.40770000000000001</v>
      </c>
      <c r="BK113">
        <f>0</f>
        <v>0</v>
      </c>
      <c r="BL113">
        <f t="shared" si="15"/>
        <v>0.95130000000000003</v>
      </c>
      <c r="BM113">
        <f t="shared" si="16"/>
        <v>0</v>
      </c>
      <c r="BN113">
        <f t="shared" si="17"/>
        <v>0</v>
      </c>
      <c r="BO113">
        <f t="shared" si="18"/>
        <v>1</v>
      </c>
      <c r="BP113" s="37">
        <f>IF($F113="","",IFERROR(INDEX(Familias!$C$5:$C$300,MATCH($F113,Familias!$A$5:$A$300,0)),""))</f>
        <v>2740</v>
      </c>
      <c r="BQ113" s="37">
        <f t="shared" si="19"/>
        <v>8418</v>
      </c>
      <c r="BR113" s="36">
        <f t="shared" si="20"/>
        <v>6.5235000000000003</v>
      </c>
      <c r="BS113" s="36">
        <f t="shared" si="21"/>
        <v>0.95130000000000003</v>
      </c>
      <c r="BT113" s="36">
        <f t="shared" si="22"/>
        <v>5.5721999999999996</v>
      </c>
      <c r="BU113" s="36">
        <f t="shared" si="23"/>
        <v>3.0722999999999998</v>
      </c>
      <c r="BV113" s="39">
        <f t="shared" si="24"/>
        <v>0.55136211909120281</v>
      </c>
      <c r="BW113" s="39">
        <f t="shared" si="25"/>
        <v>0.99786172487526725</v>
      </c>
      <c r="BX113" s="40">
        <f t="shared" si="26"/>
        <v>9.9044923947647686E-3</v>
      </c>
      <c r="BY113" s="40">
        <f t="shared" si="27"/>
        <v>0</v>
      </c>
      <c r="BZ113" t="str">
        <f t="shared" si="28"/>
        <v>OK</v>
      </c>
      <c r="CA113">
        <f t="shared" si="29"/>
        <v>1</v>
      </c>
    </row>
    <row r="114" spans="1:80" x14ac:dyDescent="0.25">
      <c r="A114" s="35">
        <v>45868</v>
      </c>
      <c r="B114" s="36">
        <v>5.4764999999999997</v>
      </c>
      <c r="C114" t="s">
        <v>119</v>
      </c>
      <c r="D114" t="s">
        <v>6</v>
      </c>
      <c r="E114" t="s">
        <v>126</v>
      </c>
      <c r="F114" t="s">
        <v>149</v>
      </c>
      <c r="G114">
        <v>364</v>
      </c>
      <c r="H114">
        <v>2140110660</v>
      </c>
      <c r="I114" t="s">
        <v>155</v>
      </c>
      <c r="J114" s="37">
        <v>7037</v>
      </c>
      <c r="K114" s="37">
        <v>30</v>
      </c>
      <c r="M114">
        <v>2580</v>
      </c>
      <c r="N114">
        <v>61.122483000000003</v>
      </c>
      <c r="O114">
        <v>195</v>
      </c>
      <c r="P114">
        <v>32</v>
      </c>
      <c r="Q114">
        <v>8</v>
      </c>
      <c r="V114" t="s">
        <v>116</v>
      </c>
      <c r="Y114" s="38">
        <v>6.3194444444444442E-2</v>
      </c>
      <c r="Z114" s="38">
        <v>0.29166666666666669</v>
      </c>
      <c r="AA114" t="s">
        <v>117</v>
      </c>
      <c r="AC114" t="s">
        <v>121</v>
      </c>
      <c r="AD114">
        <v>0.22819999999999999</v>
      </c>
      <c r="AQ114">
        <v>0.22819999999999999</v>
      </c>
      <c r="AR114">
        <v>0.34229999999999999</v>
      </c>
      <c r="BK114">
        <f>0</f>
        <v>0</v>
      </c>
      <c r="BL114">
        <f t="shared" si="15"/>
        <v>0.79869999999999997</v>
      </c>
      <c r="BM114">
        <f t="shared" si="16"/>
        <v>0</v>
      </c>
      <c r="BN114">
        <f t="shared" si="17"/>
        <v>0</v>
      </c>
      <c r="BO114">
        <f t="shared" si="18"/>
        <v>1</v>
      </c>
      <c r="BP114" s="37">
        <f>IF($F114="","",IFERROR(INDEX(Familias!$C$5:$C$300,MATCH($F114,Familias!$A$5:$A$300,0)),""))</f>
        <v>2740</v>
      </c>
      <c r="BQ114" s="37">
        <f t="shared" si="19"/>
        <v>7067</v>
      </c>
      <c r="BR114" s="36">
        <f t="shared" si="20"/>
        <v>5.4764999999999997</v>
      </c>
      <c r="BS114" s="36">
        <f t="shared" si="21"/>
        <v>0.79869999999999997</v>
      </c>
      <c r="BT114" s="36">
        <f t="shared" si="22"/>
        <v>4.6778000000000004</v>
      </c>
      <c r="BU114" s="36">
        <f t="shared" si="23"/>
        <v>2.5792000000000002</v>
      </c>
      <c r="BV114" s="39">
        <f t="shared" si="24"/>
        <v>0.55137030227884898</v>
      </c>
      <c r="BW114" s="39">
        <f t="shared" si="25"/>
        <v>0.99575491722088583</v>
      </c>
      <c r="BX114" s="40">
        <f t="shared" si="26"/>
        <v>8.7984496124031003E-2</v>
      </c>
      <c r="BY114" s="40">
        <f t="shared" si="27"/>
        <v>3.1007751937984496E-3</v>
      </c>
      <c r="BZ114" t="str">
        <f t="shared" si="28"/>
        <v>OK</v>
      </c>
      <c r="CA114">
        <f t="shared" si="29"/>
        <v>1</v>
      </c>
    </row>
    <row r="115" spans="1:80" x14ac:dyDescent="0.25">
      <c r="A115" s="35">
        <v>45869</v>
      </c>
      <c r="B115" s="36">
        <v>12</v>
      </c>
      <c r="C115" t="s">
        <v>113</v>
      </c>
      <c r="D115" t="s">
        <v>6</v>
      </c>
      <c r="J115" s="37"/>
      <c r="K115" s="37"/>
      <c r="V115" t="s">
        <v>120</v>
      </c>
      <c r="Y115" s="38">
        <v>0.29166666666666669</v>
      </c>
      <c r="Z115" s="38">
        <v>0.79166666666666663</v>
      </c>
      <c r="AA115" t="s">
        <v>117</v>
      </c>
      <c r="AC115" t="s">
        <v>118</v>
      </c>
      <c r="AQ115">
        <v>0.25</v>
      </c>
      <c r="AR115">
        <v>0.75</v>
      </c>
      <c r="BI115">
        <v>0.5</v>
      </c>
      <c r="BK115">
        <f>0</f>
        <v>0</v>
      </c>
      <c r="BL115">
        <f t="shared" si="15"/>
        <v>1.5</v>
      </c>
      <c r="BM115">
        <f t="shared" si="16"/>
        <v>0</v>
      </c>
      <c r="BN115">
        <f t="shared" si="17"/>
        <v>0</v>
      </c>
      <c r="BO115">
        <f t="shared" si="18"/>
        <v>1</v>
      </c>
      <c r="BP115" s="37" t="str">
        <f>IF($F115="","",IFERROR(INDEX(Familias!$C$5:$C$300,MATCH($F115,Familias!$A$5:$A$300,0)),""))</f>
        <v/>
      </c>
      <c r="BQ115" s="37" t="str">
        <f t="shared" si="19"/>
        <v/>
      </c>
      <c r="BR115" s="36">
        <f t="shared" si="20"/>
        <v>12</v>
      </c>
      <c r="BS115" s="36">
        <f t="shared" si="21"/>
        <v>1.5</v>
      </c>
      <c r="BT115" s="36">
        <f t="shared" si="22"/>
        <v>10.5</v>
      </c>
      <c r="BU115" s="36" t="str">
        <f t="shared" si="23"/>
        <v/>
      </c>
      <c r="BV115" s="39" t="str">
        <f t="shared" si="24"/>
        <v/>
      </c>
      <c r="BW115" s="39" t="str">
        <f t="shared" si="25"/>
        <v/>
      </c>
      <c r="BX115" s="40" t="str">
        <f t="shared" si="26"/>
        <v/>
      </c>
      <c r="BY115" s="40" t="str">
        <f t="shared" si="27"/>
        <v/>
      </c>
      <c r="BZ115" t="str">
        <f t="shared" si="28"/>
        <v>Sin producción</v>
      </c>
      <c r="CA115">
        <f t="shared" si="29"/>
        <v>0</v>
      </c>
    </row>
    <row r="116" spans="1:80" x14ac:dyDescent="0.25">
      <c r="A116" s="35">
        <v>45869</v>
      </c>
      <c r="B116" s="36">
        <v>12</v>
      </c>
      <c r="C116" t="s">
        <v>119</v>
      </c>
      <c r="D116" t="s">
        <v>6</v>
      </c>
      <c r="J116" s="37"/>
      <c r="K116" s="37"/>
      <c r="V116" t="s">
        <v>116</v>
      </c>
      <c r="Y116" s="38">
        <v>0.79166666666666663</v>
      </c>
      <c r="Z116" s="38">
        <v>0.29166666666666669</v>
      </c>
      <c r="AA116" t="s">
        <v>117</v>
      </c>
      <c r="AC116" t="s">
        <v>118</v>
      </c>
      <c r="AQ116">
        <v>0.16669999999999999</v>
      </c>
      <c r="AR116">
        <v>0.75</v>
      </c>
      <c r="BI116">
        <v>0.5</v>
      </c>
      <c r="BK116">
        <f>0</f>
        <v>0</v>
      </c>
      <c r="BL116">
        <f t="shared" si="15"/>
        <v>1.4167000000000001</v>
      </c>
      <c r="BM116">
        <f t="shared" si="16"/>
        <v>0</v>
      </c>
      <c r="BN116">
        <f t="shared" si="17"/>
        <v>0</v>
      </c>
      <c r="BO116">
        <f t="shared" si="18"/>
        <v>1</v>
      </c>
      <c r="BP116" s="37" t="str">
        <f>IF($F116="","",IFERROR(INDEX(Familias!$C$5:$C$300,MATCH($F116,Familias!$A$5:$A$300,0)),""))</f>
        <v/>
      </c>
      <c r="BQ116" s="37" t="str">
        <f t="shared" si="19"/>
        <v/>
      </c>
      <c r="BR116" s="36">
        <f t="shared" si="20"/>
        <v>12</v>
      </c>
      <c r="BS116" s="36">
        <f t="shared" si="21"/>
        <v>1.4167000000000001</v>
      </c>
      <c r="BT116" s="36">
        <f t="shared" si="22"/>
        <v>10.583299999999999</v>
      </c>
      <c r="BU116" s="36" t="str">
        <f t="shared" si="23"/>
        <v/>
      </c>
      <c r="BV116" s="39" t="str">
        <f t="shared" si="24"/>
        <v/>
      </c>
      <c r="BW116" s="39" t="str">
        <f t="shared" si="25"/>
        <v/>
      </c>
      <c r="BX116" s="40" t="str">
        <f t="shared" si="26"/>
        <v/>
      </c>
      <c r="BY116" s="40" t="str">
        <f t="shared" si="27"/>
        <v/>
      </c>
      <c r="BZ116" t="str">
        <f t="shared" si="28"/>
        <v>Sin producción</v>
      </c>
      <c r="CA116">
        <f t="shared" si="29"/>
        <v>0</v>
      </c>
    </row>
    <row r="117" spans="1:80" x14ac:dyDescent="0.25">
      <c r="A117" s="35">
        <v>45870</v>
      </c>
      <c r="B117" s="36">
        <v>6.9382999999999999</v>
      </c>
      <c r="C117" t="s">
        <v>113</v>
      </c>
      <c r="D117" t="s">
        <v>6</v>
      </c>
      <c r="E117" t="s">
        <v>126</v>
      </c>
      <c r="F117" t="s">
        <v>149</v>
      </c>
      <c r="G117">
        <v>362</v>
      </c>
      <c r="H117">
        <v>2140110614</v>
      </c>
      <c r="I117" t="s">
        <v>156</v>
      </c>
      <c r="J117" s="37">
        <v>10075</v>
      </c>
      <c r="K117" s="37"/>
      <c r="M117">
        <v>3572</v>
      </c>
      <c r="N117">
        <v>87.138675000000006</v>
      </c>
      <c r="O117">
        <v>100</v>
      </c>
      <c r="P117">
        <v>15</v>
      </c>
      <c r="Q117">
        <v>80</v>
      </c>
      <c r="T117">
        <v>4</v>
      </c>
      <c r="V117" t="s">
        <v>120</v>
      </c>
      <c r="Y117" s="38">
        <v>0.29166666666666669</v>
      </c>
      <c r="Z117" s="38">
        <v>0.5805555555555556</v>
      </c>
      <c r="AA117" t="s">
        <v>117</v>
      </c>
      <c r="AC117" t="s">
        <v>121</v>
      </c>
      <c r="AD117">
        <v>0.19270000000000001</v>
      </c>
      <c r="AQ117">
        <v>0.14449999999999999</v>
      </c>
      <c r="AR117">
        <v>0.43359999999999999</v>
      </c>
      <c r="BK117">
        <f>0</f>
        <v>0</v>
      </c>
      <c r="BL117">
        <f t="shared" si="15"/>
        <v>0.77079999999999993</v>
      </c>
      <c r="BM117">
        <f t="shared" si="16"/>
        <v>0</v>
      </c>
      <c r="BN117">
        <f t="shared" si="17"/>
        <v>0</v>
      </c>
      <c r="BO117">
        <f t="shared" si="18"/>
        <v>1</v>
      </c>
      <c r="BP117" s="37">
        <f>IF($F117="","",IFERROR(INDEX(Familias!$C$5:$C$300,MATCH($F117,Familias!$A$5:$A$300,0)),""))</f>
        <v>2740</v>
      </c>
      <c r="BQ117" s="37">
        <f t="shared" si="19"/>
        <v>10075</v>
      </c>
      <c r="BR117" s="36">
        <f t="shared" si="20"/>
        <v>6.9382999999999999</v>
      </c>
      <c r="BS117" s="36">
        <f t="shared" si="21"/>
        <v>0.77080000000000004</v>
      </c>
      <c r="BT117" s="36">
        <f t="shared" si="22"/>
        <v>6.1675000000000004</v>
      </c>
      <c r="BU117" s="36">
        <f t="shared" si="23"/>
        <v>3.677</v>
      </c>
      <c r="BV117" s="39">
        <f t="shared" si="24"/>
        <v>0.59618970409404126</v>
      </c>
      <c r="BW117" s="39">
        <f t="shared" si="25"/>
        <v>1</v>
      </c>
      <c r="BX117" s="40">
        <f t="shared" si="26"/>
        <v>3.2194848824188133E-2</v>
      </c>
      <c r="BY117" s="40">
        <f t="shared" si="27"/>
        <v>2.2396416573348264E-2</v>
      </c>
      <c r="BZ117" t="str">
        <f t="shared" si="28"/>
        <v>OK</v>
      </c>
      <c r="CA117">
        <f t="shared" si="29"/>
        <v>1</v>
      </c>
    </row>
    <row r="118" spans="1:80" x14ac:dyDescent="0.25">
      <c r="A118" s="35">
        <v>45870</v>
      </c>
      <c r="B118" s="36">
        <v>5.0617000000000001</v>
      </c>
      <c r="C118" t="s">
        <v>113</v>
      </c>
      <c r="D118" t="s">
        <v>6</v>
      </c>
      <c r="E118" t="s">
        <v>126</v>
      </c>
      <c r="F118" t="s">
        <v>149</v>
      </c>
      <c r="G118">
        <v>360</v>
      </c>
      <c r="H118">
        <v>2140110642</v>
      </c>
      <c r="I118" t="s">
        <v>157</v>
      </c>
      <c r="J118" s="37">
        <v>7350</v>
      </c>
      <c r="K118" s="37"/>
      <c r="M118">
        <v>2637</v>
      </c>
      <c r="N118">
        <v>63.570150000000012</v>
      </c>
      <c r="O118">
        <v>100</v>
      </c>
      <c r="P118">
        <v>325</v>
      </c>
      <c r="Q118">
        <v>50</v>
      </c>
      <c r="T118">
        <v>3</v>
      </c>
      <c r="V118" t="s">
        <v>120</v>
      </c>
      <c r="Y118" s="38">
        <v>0.5805555555555556</v>
      </c>
      <c r="Z118" s="38">
        <v>0.79166666666666663</v>
      </c>
      <c r="AA118" t="s">
        <v>117</v>
      </c>
      <c r="AC118" t="s">
        <v>121</v>
      </c>
      <c r="AD118">
        <v>0.1406</v>
      </c>
      <c r="AQ118">
        <v>0.1055</v>
      </c>
      <c r="AR118">
        <v>0.31640000000000001</v>
      </c>
      <c r="BK118">
        <f>0</f>
        <v>0</v>
      </c>
      <c r="BL118">
        <f t="shared" si="15"/>
        <v>0.5625</v>
      </c>
      <c r="BM118">
        <f t="shared" si="16"/>
        <v>0</v>
      </c>
      <c r="BN118">
        <f t="shared" si="17"/>
        <v>0</v>
      </c>
      <c r="BO118">
        <f t="shared" si="18"/>
        <v>1</v>
      </c>
      <c r="BP118" s="37">
        <f>IF($F118="","",IFERROR(INDEX(Familias!$C$5:$C$300,MATCH($F118,Familias!$A$5:$A$300,0)),""))</f>
        <v>2740</v>
      </c>
      <c r="BQ118" s="37">
        <f t="shared" si="19"/>
        <v>7350</v>
      </c>
      <c r="BR118" s="36">
        <f t="shared" si="20"/>
        <v>5.0617000000000001</v>
      </c>
      <c r="BS118" s="36">
        <f t="shared" si="21"/>
        <v>0.5625</v>
      </c>
      <c r="BT118" s="36">
        <f t="shared" si="22"/>
        <v>4.4992000000000001</v>
      </c>
      <c r="BU118" s="36">
        <f t="shared" si="23"/>
        <v>2.6825000000000001</v>
      </c>
      <c r="BV118" s="39">
        <f t="shared" si="24"/>
        <v>0.59621710526315785</v>
      </c>
      <c r="BW118" s="39">
        <f t="shared" si="25"/>
        <v>1</v>
      </c>
      <c r="BX118" s="40">
        <f t="shared" si="26"/>
        <v>0.16116799393249906</v>
      </c>
      <c r="BY118" s="40">
        <f t="shared" si="27"/>
        <v>1.8960940462646948E-2</v>
      </c>
      <c r="BZ118" t="str">
        <f t="shared" si="28"/>
        <v>OK</v>
      </c>
      <c r="CA118">
        <f t="shared" si="29"/>
        <v>1</v>
      </c>
    </row>
    <row r="119" spans="1:80" x14ac:dyDescent="0.25">
      <c r="A119" s="35">
        <v>45870</v>
      </c>
      <c r="B119" s="36">
        <v>4.5090000000000003</v>
      </c>
      <c r="C119" t="s">
        <v>119</v>
      </c>
      <c r="D119" t="s">
        <v>6</v>
      </c>
      <c r="E119" t="s">
        <v>126</v>
      </c>
      <c r="F119" t="s">
        <v>149</v>
      </c>
      <c r="G119">
        <v>457</v>
      </c>
      <c r="H119">
        <v>2140110653</v>
      </c>
      <c r="I119" t="s">
        <v>158</v>
      </c>
      <c r="J119" s="37">
        <v>5625</v>
      </c>
      <c r="K119" s="37">
        <v>9</v>
      </c>
      <c r="M119">
        <v>1914</v>
      </c>
      <c r="N119">
        <v>48.728465999999997</v>
      </c>
      <c r="O119">
        <v>25</v>
      </c>
      <c r="P119">
        <v>8</v>
      </c>
      <c r="T119">
        <v>2</v>
      </c>
      <c r="V119" t="s">
        <v>116</v>
      </c>
      <c r="Y119" s="38">
        <v>0.79166666666666663</v>
      </c>
      <c r="Z119" s="38">
        <v>0.97986111111111107</v>
      </c>
      <c r="AA119" t="s">
        <v>117</v>
      </c>
      <c r="AC119" t="s">
        <v>136</v>
      </c>
      <c r="AD119">
        <v>0.18790000000000001</v>
      </c>
      <c r="AO119">
        <v>0.37580000000000002</v>
      </c>
      <c r="AQ119">
        <v>0.81410000000000005</v>
      </c>
      <c r="AR119">
        <v>0.28179999999999999</v>
      </c>
      <c r="BK119">
        <f>0</f>
        <v>0</v>
      </c>
      <c r="BL119">
        <f t="shared" si="15"/>
        <v>1.6596000000000002</v>
      </c>
      <c r="BM119">
        <f t="shared" si="16"/>
        <v>0</v>
      </c>
      <c r="BN119">
        <f t="shared" si="17"/>
        <v>0</v>
      </c>
      <c r="BO119">
        <f t="shared" si="18"/>
        <v>1</v>
      </c>
      <c r="BP119" s="37">
        <f>IF($F119="","",IFERROR(INDEX(Familias!$C$5:$C$300,MATCH($F119,Familias!$A$5:$A$300,0)),""))</f>
        <v>2740</v>
      </c>
      <c r="BQ119" s="37">
        <f t="shared" si="19"/>
        <v>5634</v>
      </c>
      <c r="BR119" s="36">
        <f t="shared" si="20"/>
        <v>4.5090000000000003</v>
      </c>
      <c r="BS119" s="36">
        <f t="shared" si="21"/>
        <v>1.6596</v>
      </c>
      <c r="BT119" s="36">
        <f t="shared" si="22"/>
        <v>2.8494000000000002</v>
      </c>
      <c r="BU119" s="36">
        <f t="shared" si="23"/>
        <v>2.0562</v>
      </c>
      <c r="BV119" s="39">
        <f t="shared" si="24"/>
        <v>0.72162560539060849</v>
      </c>
      <c r="BW119" s="39">
        <f t="shared" si="25"/>
        <v>0.99840255591054317</v>
      </c>
      <c r="BX119" s="40">
        <f t="shared" si="26"/>
        <v>1.7241379310344827E-2</v>
      </c>
      <c r="BY119" s="40">
        <f t="shared" si="27"/>
        <v>0</v>
      </c>
      <c r="BZ119" t="str">
        <f t="shared" si="28"/>
        <v>OK</v>
      </c>
      <c r="CA119">
        <f t="shared" si="29"/>
        <v>1</v>
      </c>
    </row>
    <row r="120" spans="1:80" x14ac:dyDescent="0.25">
      <c r="A120" s="35">
        <v>45870</v>
      </c>
      <c r="B120" s="36">
        <v>5.3060999999999998</v>
      </c>
      <c r="C120" t="s">
        <v>119</v>
      </c>
      <c r="D120" t="s">
        <v>6</v>
      </c>
      <c r="E120" t="s">
        <v>126</v>
      </c>
      <c r="F120" t="s">
        <v>149</v>
      </c>
      <c r="G120">
        <v>458</v>
      </c>
      <c r="H120">
        <v>2140110654</v>
      </c>
      <c r="I120" t="s">
        <v>159</v>
      </c>
      <c r="J120" s="37">
        <v>6600</v>
      </c>
      <c r="K120" s="37">
        <v>30</v>
      </c>
      <c r="M120">
        <v>2500</v>
      </c>
      <c r="N120">
        <v>57.342869999999998</v>
      </c>
      <c r="O120">
        <v>170</v>
      </c>
      <c r="P120">
        <v>16</v>
      </c>
      <c r="V120" t="s">
        <v>116</v>
      </c>
      <c r="Y120" s="38">
        <v>0.97986111111111107</v>
      </c>
      <c r="Z120" s="38">
        <v>0.20069444444444451</v>
      </c>
      <c r="AA120" t="s">
        <v>117</v>
      </c>
      <c r="AC120" t="s">
        <v>136</v>
      </c>
      <c r="AD120">
        <v>0.22109999999999999</v>
      </c>
      <c r="AO120">
        <v>0.44219999999999998</v>
      </c>
      <c r="AQ120">
        <v>0.95799999999999996</v>
      </c>
      <c r="AR120">
        <v>0.33160000000000001</v>
      </c>
      <c r="BK120">
        <f>0</f>
        <v>0</v>
      </c>
      <c r="BL120">
        <f t="shared" si="15"/>
        <v>1.9529000000000001</v>
      </c>
      <c r="BM120">
        <f t="shared" si="16"/>
        <v>0</v>
      </c>
      <c r="BN120">
        <f t="shared" si="17"/>
        <v>0</v>
      </c>
      <c r="BO120">
        <f t="shared" si="18"/>
        <v>1</v>
      </c>
      <c r="BP120" s="37">
        <f>IF($F120="","",IFERROR(INDEX(Familias!$C$5:$C$300,MATCH($F120,Familias!$A$5:$A$300,0)),""))</f>
        <v>2740</v>
      </c>
      <c r="BQ120" s="37">
        <f t="shared" si="19"/>
        <v>6630</v>
      </c>
      <c r="BR120" s="36">
        <f t="shared" si="20"/>
        <v>5.3060999999999998</v>
      </c>
      <c r="BS120" s="36">
        <f t="shared" si="21"/>
        <v>1.9529000000000001</v>
      </c>
      <c r="BT120" s="36">
        <f t="shared" si="22"/>
        <v>3.3532000000000002</v>
      </c>
      <c r="BU120" s="36">
        <f t="shared" si="23"/>
        <v>2.4197000000000002</v>
      </c>
      <c r="BV120" s="39">
        <f t="shared" si="24"/>
        <v>0.72160920911368243</v>
      </c>
      <c r="BW120" s="39">
        <f t="shared" si="25"/>
        <v>0.99547511312217196</v>
      </c>
      <c r="BX120" s="40">
        <f t="shared" si="26"/>
        <v>7.4399999999999994E-2</v>
      </c>
      <c r="BY120" s="40">
        <f t="shared" si="27"/>
        <v>0</v>
      </c>
      <c r="BZ120" t="str">
        <f t="shared" si="28"/>
        <v>OK</v>
      </c>
      <c r="CA120">
        <f t="shared" si="29"/>
        <v>1</v>
      </c>
    </row>
    <row r="121" spans="1:80" x14ac:dyDescent="0.25">
      <c r="A121" s="35">
        <v>45870</v>
      </c>
      <c r="B121" s="36">
        <v>2.1848999999999998</v>
      </c>
      <c r="C121" t="s">
        <v>119</v>
      </c>
      <c r="D121" t="s">
        <v>6</v>
      </c>
      <c r="E121" t="s">
        <v>126</v>
      </c>
      <c r="F121" t="s">
        <v>149</v>
      </c>
      <c r="G121">
        <v>460</v>
      </c>
      <c r="H121">
        <v>2140110662</v>
      </c>
      <c r="I121" t="s">
        <v>160</v>
      </c>
      <c r="J121" s="37">
        <v>2725</v>
      </c>
      <c r="K121" s="37">
        <v>5</v>
      </c>
      <c r="M121">
        <v>1078</v>
      </c>
      <c r="N121">
        <v>23.61177</v>
      </c>
      <c r="O121">
        <v>60</v>
      </c>
      <c r="P121">
        <v>16</v>
      </c>
      <c r="V121" t="s">
        <v>116</v>
      </c>
      <c r="Y121" s="38">
        <v>0.20069444444444451</v>
      </c>
      <c r="Z121" s="38">
        <v>0.29166666666666669</v>
      </c>
      <c r="AA121" t="s">
        <v>117</v>
      </c>
      <c r="AC121" t="s">
        <v>136</v>
      </c>
      <c r="AD121">
        <v>9.0999999999999998E-2</v>
      </c>
      <c r="AO121">
        <v>0.18210000000000001</v>
      </c>
      <c r="AQ121">
        <v>0.39450000000000002</v>
      </c>
      <c r="AR121">
        <v>0.1366</v>
      </c>
      <c r="BK121">
        <f>0</f>
        <v>0</v>
      </c>
      <c r="BL121">
        <f t="shared" si="15"/>
        <v>0.80420000000000003</v>
      </c>
      <c r="BM121">
        <f t="shared" si="16"/>
        <v>0</v>
      </c>
      <c r="BN121">
        <f t="shared" si="17"/>
        <v>0</v>
      </c>
      <c r="BO121">
        <f t="shared" si="18"/>
        <v>1</v>
      </c>
      <c r="BP121" s="37">
        <f>IF($F121="","",IFERROR(INDEX(Familias!$C$5:$C$300,MATCH($F121,Familias!$A$5:$A$300,0)),""))</f>
        <v>2740</v>
      </c>
      <c r="BQ121" s="37">
        <f t="shared" si="19"/>
        <v>2730</v>
      </c>
      <c r="BR121" s="36">
        <f t="shared" si="20"/>
        <v>2.1848999999999998</v>
      </c>
      <c r="BS121" s="36">
        <f t="shared" si="21"/>
        <v>0.80420000000000003</v>
      </c>
      <c r="BT121" s="36">
        <f t="shared" si="22"/>
        <v>1.3807</v>
      </c>
      <c r="BU121" s="36">
        <f t="shared" si="23"/>
        <v>0.99639999999999995</v>
      </c>
      <c r="BV121" s="39">
        <f t="shared" si="24"/>
        <v>0.72166292460346193</v>
      </c>
      <c r="BW121" s="39">
        <f t="shared" si="25"/>
        <v>0.99816849816849818</v>
      </c>
      <c r="BX121" s="40">
        <f t="shared" si="26"/>
        <v>7.050092764378478E-2</v>
      </c>
      <c r="BY121" s="40">
        <f t="shared" si="27"/>
        <v>0</v>
      </c>
      <c r="BZ121" t="str">
        <f t="shared" si="28"/>
        <v>OK</v>
      </c>
      <c r="CA121">
        <f t="shared" si="29"/>
        <v>1</v>
      </c>
    </row>
    <row r="122" spans="1:80" x14ac:dyDescent="0.25">
      <c r="A122" s="35">
        <v>45871</v>
      </c>
      <c r="B122" s="36">
        <v>12</v>
      </c>
      <c r="C122" t="s">
        <v>113</v>
      </c>
      <c r="D122" t="s">
        <v>6</v>
      </c>
      <c r="E122" t="s">
        <v>126</v>
      </c>
      <c r="F122" t="s">
        <v>149</v>
      </c>
      <c r="G122">
        <v>460</v>
      </c>
      <c r="H122">
        <v>2140110662</v>
      </c>
      <c r="I122" t="s">
        <v>160</v>
      </c>
      <c r="J122" s="37">
        <v>4295</v>
      </c>
      <c r="K122" s="37"/>
      <c r="M122">
        <v>1500</v>
      </c>
      <c r="N122">
        <v>37.147455000000001</v>
      </c>
      <c r="O122">
        <v>10</v>
      </c>
      <c r="T122">
        <v>1</v>
      </c>
      <c r="V122" t="s">
        <v>120</v>
      </c>
      <c r="Y122" s="38">
        <v>0.29166666666666669</v>
      </c>
      <c r="Z122" s="38">
        <v>0.79166666666666663</v>
      </c>
      <c r="AA122" t="s">
        <v>161</v>
      </c>
      <c r="AB122" t="s">
        <v>162</v>
      </c>
      <c r="AC122" t="s">
        <v>118</v>
      </c>
      <c r="BK122">
        <f>0</f>
        <v>0</v>
      </c>
      <c r="BL122">
        <f t="shared" si="15"/>
        <v>0</v>
      </c>
      <c r="BM122">
        <f t="shared" si="16"/>
        <v>0</v>
      </c>
      <c r="BN122">
        <f t="shared" si="17"/>
        <v>0</v>
      </c>
      <c r="BO122">
        <f t="shared" si="18"/>
        <v>1</v>
      </c>
      <c r="BP122" s="37">
        <f>IF($F122="","",IFERROR(INDEX(Familias!$C$5:$C$300,MATCH($F122,Familias!$A$5:$A$300,0)),""))</f>
        <v>2740</v>
      </c>
      <c r="BQ122" s="37">
        <f t="shared" si="19"/>
        <v>4295</v>
      </c>
      <c r="BR122" s="36">
        <f t="shared" si="20"/>
        <v>12</v>
      </c>
      <c r="BS122" s="36">
        <f t="shared" si="21"/>
        <v>0</v>
      </c>
      <c r="BT122" s="36">
        <f t="shared" si="22"/>
        <v>12</v>
      </c>
      <c r="BU122" s="36">
        <f t="shared" si="23"/>
        <v>1.5674999999999999</v>
      </c>
      <c r="BV122" s="39">
        <f t="shared" si="24"/>
        <v>0.13062499999999999</v>
      </c>
      <c r="BW122" s="39">
        <f t="shared" si="25"/>
        <v>1</v>
      </c>
      <c r="BX122" s="40">
        <f t="shared" si="26"/>
        <v>6.6666666666666671E-3</v>
      </c>
      <c r="BY122" s="40">
        <f t="shared" si="27"/>
        <v>0</v>
      </c>
      <c r="BZ122" t="str">
        <f t="shared" si="28"/>
        <v>Paradas no digitadas</v>
      </c>
      <c r="CA122">
        <f t="shared" si="29"/>
        <v>0</v>
      </c>
    </row>
    <row r="123" spans="1:80" x14ac:dyDescent="0.25">
      <c r="A123" s="35">
        <v>45873</v>
      </c>
      <c r="B123" s="36">
        <v>5.8422000000000001</v>
      </c>
      <c r="C123" t="s">
        <v>113</v>
      </c>
      <c r="D123" t="s">
        <v>6</v>
      </c>
      <c r="E123" t="s">
        <v>126</v>
      </c>
      <c r="F123" t="s">
        <v>149</v>
      </c>
      <c r="G123">
        <v>460</v>
      </c>
      <c r="H123">
        <v>2140110662</v>
      </c>
      <c r="I123" t="s">
        <v>160</v>
      </c>
      <c r="J123" s="37">
        <v>8030</v>
      </c>
      <c r="K123" s="37">
        <v>20</v>
      </c>
      <c r="M123">
        <v>3028</v>
      </c>
      <c r="N123">
        <v>69.62445000000001</v>
      </c>
      <c r="O123">
        <v>200</v>
      </c>
      <c r="T123">
        <v>4</v>
      </c>
      <c r="V123" t="s">
        <v>116</v>
      </c>
      <c r="Y123" s="38">
        <v>0.29166666666666669</v>
      </c>
      <c r="Z123" s="38">
        <v>0.53541666666666665</v>
      </c>
      <c r="AA123" t="s">
        <v>117</v>
      </c>
      <c r="AC123" t="s">
        <v>121</v>
      </c>
      <c r="AD123">
        <v>0.3246</v>
      </c>
      <c r="AO123">
        <v>0.24340000000000001</v>
      </c>
      <c r="AQ123">
        <v>0.1217</v>
      </c>
      <c r="AR123">
        <v>0.36509999999999998</v>
      </c>
      <c r="BJ123">
        <v>0.1217</v>
      </c>
      <c r="BK123">
        <f>0</f>
        <v>0</v>
      </c>
      <c r="BL123">
        <f t="shared" si="15"/>
        <v>1.1765000000000001</v>
      </c>
      <c r="BM123">
        <f t="shared" si="16"/>
        <v>0</v>
      </c>
      <c r="BN123">
        <f t="shared" si="17"/>
        <v>0</v>
      </c>
      <c r="BO123">
        <f t="shared" si="18"/>
        <v>1</v>
      </c>
      <c r="BP123" s="37">
        <f>IF($F123="","",IFERROR(INDEX(Familias!$C$5:$C$300,MATCH($F123,Familias!$A$5:$A$300,0)),""))</f>
        <v>2740</v>
      </c>
      <c r="BQ123" s="37">
        <f t="shared" si="19"/>
        <v>8050</v>
      </c>
      <c r="BR123" s="36">
        <f t="shared" si="20"/>
        <v>5.8422000000000001</v>
      </c>
      <c r="BS123" s="36">
        <f t="shared" si="21"/>
        <v>1.1765000000000001</v>
      </c>
      <c r="BT123" s="36">
        <f t="shared" si="22"/>
        <v>4.6657000000000002</v>
      </c>
      <c r="BU123" s="36">
        <f t="shared" si="23"/>
        <v>2.9380000000000002</v>
      </c>
      <c r="BV123" s="39">
        <f t="shared" si="24"/>
        <v>0.62970186681526885</v>
      </c>
      <c r="BW123" s="39">
        <f t="shared" si="25"/>
        <v>0.99751552795031051</v>
      </c>
      <c r="BX123" s="40">
        <f t="shared" si="26"/>
        <v>6.6050198150594458E-2</v>
      </c>
      <c r="BY123" s="40">
        <f t="shared" si="27"/>
        <v>0</v>
      </c>
      <c r="BZ123" t="str">
        <f t="shared" si="28"/>
        <v>OK</v>
      </c>
      <c r="CA123">
        <f t="shared" si="29"/>
        <v>1</v>
      </c>
    </row>
    <row r="124" spans="1:80" x14ac:dyDescent="0.25">
      <c r="A124" s="35">
        <v>45873</v>
      </c>
      <c r="B124" s="36">
        <v>6.1577999999999999</v>
      </c>
      <c r="C124" t="s">
        <v>113</v>
      </c>
      <c r="D124" t="s">
        <v>6</v>
      </c>
      <c r="E124" t="s">
        <v>126</v>
      </c>
      <c r="F124" t="s">
        <v>149</v>
      </c>
      <c r="G124">
        <v>459</v>
      </c>
      <c r="H124">
        <v>2140110659</v>
      </c>
      <c r="I124" t="s">
        <v>163</v>
      </c>
      <c r="J124" s="37">
        <v>8475</v>
      </c>
      <c r="K124" s="37">
        <v>10</v>
      </c>
      <c r="M124">
        <v>2877</v>
      </c>
      <c r="N124">
        <v>73.386764999999997</v>
      </c>
      <c r="O124">
        <v>35</v>
      </c>
      <c r="T124">
        <v>3</v>
      </c>
      <c r="V124" t="s">
        <v>116</v>
      </c>
      <c r="Y124" s="38">
        <v>0.53541666666666665</v>
      </c>
      <c r="Z124" s="38">
        <v>0.79166666666666663</v>
      </c>
      <c r="AA124" t="s">
        <v>117</v>
      </c>
      <c r="AC124" t="s">
        <v>121</v>
      </c>
      <c r="AD124">
        <v>0.34210000000000002</v>
      </c>
      <c r="AO124">
        <v>0.25659999999999999</v>
      </c>
      <c r="AQ124">
        <v>0.1283</v>
      </c>
      <c r="AR124">
        <v>0.38490000000000002</v>
      </c>
      <c r="BJ124">
        <v>0.1283</v>
      </c>
      <c r="BK124">
        <f>0</f>
        <v>0</v>
      </c>
      <c r="BL124">
        <f t="shared" si="15"/>
        <v>1.2402</v>
      </c>
      <c r="BM124">
        <f t="shared" si="16"/>
        <v>0</v>
      </c>
      <c r="BN124">
        <f t="shared" si="17"/>
        <v>0</v>
      </c>
      <c r="BO124">
        <f t="shared" si="18"/>
        <v>1</v>
      </c>
      <c r="BP124" s="37">
        <f>IF($F124="","",IFERROR(INDEX(Familias!$C$5:$C$300,MATCH($F124,Familias!$A$5:$A$300,0)),""))</f>
        <v>2740</v>
      </c>
      <c r="BQ124" s="37">
        <f t="shared" si="19"/>
        <v>8485</v>
      </c>
      <c r="BR124" s="36">
        <f t="shared" si="20"/>
        <v>6.1577999999999999</v>
      </c>
      <c r="BS124" s="36">
        <f t="shared" si="21"/>
        <v>1.2402</v>
      </c>
      <c r="BT124" s="36">
        <f t="shared" si="22"/>
        <v>4.9176000000000002</v>
      </c>
      <c r="BU124" s="36">
        <f t="shared" si="23"/>
        <v>3.0966999999999998</v>
      </c>
      <c r="BV124" s="39">
        <f t="shared" si="24"/>
        <v>0.62971774849520079</v>
      </c>
      <c r="BW124" s="39">
        <f t="shared" si="25"/>
        <v>0.99882144961697117</v>
      </c>
      <c r="BX124" s="40">
        <f t="shared" si="26"/>
        <v>1.2165450121654502E-2</v>
      </c>
      <c r="BY124" s="40">
        <f t="shared" si="27"/>
        <v>0</v>
      </c>
      <c r="BZ124" t="str">
        <f t="shared" si="28"/>
        <v>OK</v>
      </c>
      <c r="CA124">
        <f t="shared" si="29"/>
        <v>1</v>
      </c>
    </row>
    <row r="125" spans="1:80" x14ac:dyDescent="0.25">
      <c r="A125" s="35">
        <v>45873</v>
      </c>
      <c r="B125" s="36">
        <v>0.32140000000000002</v>
      </c>
      <c r="C125" t="s">
        <v>119</v>
      </c>
      <c r="D125" t="s">
        <v>6</v>
      </c>
      <c r="E125" t="s">
        <v>126</v>
      </c>
      <c r="F125" t="s">
        <v>149</v>
      </c>
      <c r="G125">
        <v>459</v>
      </c>
      <c r="H125">
        <v>2140110659</v>
      </c>
      <c r="I125" t="s">
        <v>163</v>
      </c>
      <c r="J125" s="37">
        <v>500</v>
      </c>
      <c r="K125" s="37"/>
      <c r="M125">
        <v>167</v>
      </c>
      <c r="N125">
        <v>4.3244999999999996</v>
      </c>
      <c r="P125">
        <v>18</v>
      </c>
      <c r="T125">
        <v>0</v>
      </c>
      <c r="V125" t="s">
        <v>120</v>
      </c>
      <c r="Y125" s="38">
        <v>0.79166666666666663</v>
      </c>
      <c r="Z125" s="38">
        <v>0.80486111111111114</v>
      </c>
      <c r="AA125" t="s">
        <v>117</v>
      </c>
      <c r="AC125" t="s">
        <v>164</v>
      </c>
      <c r="AQ125">
        <v>6.7000000000000002E-3</v>
      </c>
      <c r="AR125">
        <v>2.01E-2</v>
      </c>
      <c r="BI125">
        <v>8.8999999999999999E-3</v>
      </c>
      <c r="BJ125">
        <v>0.1138</v>
      </c>
      <c r="BK125">
        <f>0</f>
        <v>0</v>
      </c>
      <c r="BL125">
        <f t="shared" si="15"/>
        <v>0.14949999999999999</v>
      </c>
      <c r="BM125">
        <f t="shared" si="16"/>
        <v>0</v>
      </c>
      <c r="BN125">
        <f t="shared" si="17"/>
        <v>0</v>
      </c>
      <c r="BO125">
        <f t="shared" si="18"/>
        <v>1</v>
      </c>
      <c r="BP125" s="37">
        <f>IF($F125="","",IFERROR(INDEX(Familias!$C$5:$C$300,MATCH($F125,Familias!$A$5:$A$300,0)),""))</f>
        <v>2740</v>
      </c>
      <c r="BQ125" s="37">
        <f t="shared" si="19"/>
        <v>500</v>
      </c>
      <c r="BR125" s="36">
        <f t="shared" si="20"/>
        <v>0.32140000000000002</v>
      </c>
      <c r="BS125" s="36">
        <f t="shared" si="21"/>
        <v>0.14949999999999999</v>
      </c>
      <c r="BT125" s="36">
        <f t="shared" si="22"/>
        <v>0.1719</v>
      </c>
      <c r="BU125" s="36">
        <f t="shared" si="23"/>
        <v>0.1825</v>
      </c>
      <c r="BV125" s="39">
        <f t="shared" si="24"/>
        <v>1.0616637579988366</v>
      </c>
      <c r="BW125" s="39">
        <f t="shared" si="25"/>
        <v>1</v>
      </c>
      <c r="BX125" s="40">
        <f t="shared" si="26"/>
        <v>0.10778443113772455</v>
      </c>
      <c r="BY125" s="40">
        <f t="shared" si="27"/>
        <v>0</v>
      </c>
      <c r="BZ125" t="str">
        <f t="shared" si="28"/>
        <v>OK</v>
      </c>
      <c r="CA125">
        <f t="shared" si="29"/>
        <v>1</v>
      </c>
    </row>
    <row r="126" spans="1:80" x14ac:dyDescent="0.25">
      <c r="A126" s="35">
        <v>45873</v>
      </c>
      <c r="B126" s="36">
        <v>6.4499000000000004</v>
      </c>
      <c r="C126" t="s">
        <v>119</v>
      </c>
      <c r="D126" t="s">
        <v>6</v>
      </c>
      <c r="E126" t="s">
        <v>126</v>
      </c>
      <c r="F126" t="s">
        <v>149</v>
      </c>
      <c r="G126">
        <v>468</v>
      </c>
      <c r="H126">
        <v>2140110661</v>
      </c>
      <c r="I126" t="s">
        <v>165</v>
      </c>
      <c r="J126" s="37">
        <v>10025</v>
      </c>
      <c r="K126" s="37">
        <v>10</v>
      </c>
      <c r="M126">
        <v>3595</v>
      </c>
      <c r="N126">
        <v>86.792715000000001</v>
      </c>
      <c r="O126">
        <v>100</v>
      </c>
      <c r="P126">
        <v>18</v>
      </c>
      <c r="T126">
        <v>5</v>
      </c>
      <c r="V126" t="s">
        <v>120</v>
      </c>
      <c r="Y126" s="38">
        <v>0.80486111111111114</v>
      </c>
      <c r="Z126" s="38">
        <v>7.3611111111111113E-2</v>
      </c>
      <c r="AA126" t="s">
        <v>117</v>
      </c>
      <c r="AC126" t="s">
        <v>164</v>
      </c>
      <c r="AQ126">
        <v>0.13439999999999999</v>
      </c>
      <c r="AR126">
        <v>0.40310000000000001</v>
      </c>
      <c r="BI126">
        <v>0.1792</v>
      </c>
      <c r="BJ126">
        <v>2.2843</v>
      </c>
      <c r="BK126">
        <f>0</f>
        <v>0</v>
      </c>
      <c r="BL126">
        <f t="shared" si="15"/>
        <v>3.0009999999999999</v>
      </c>
      <c r="BM126">
        <f t="shared" si="16"/>
        <v>0</v>
      </c>
      <c r="BN126">
        <f t="shared" si="17"/>
        <v>0</v>
      </c>
      <c r="BO126">
        <f t="shared" si="18"/>
        <v>1</v>
      </c>
      <c r="BP126" s="37">
        <f>IF($F126="","",IFERROR(INDEX(Familias!$C$5:$C$300,MATCH($F126,Familias!$A$5:$A$300,0)),""))</f>
        <v>2740</v>
      </c>
      <c r="BQ126" s="37">
        <f t="shared" si="19"/>
        <v>10035</v>
      </c>
      <c r="BR126" s="36">
        <f t="shared" si="20"/>
        <v>6.4499000000000004</v>
      </c>
      <c r="BS126" s="36">
        <f t="shared" si="21"/>
        <v>3.0009999999999999</v>
      </c>
      <c r="BT126" s="36">
        <f t="shared" si="22"/>
        <v>3.4489000000000001</v>
      </c>
      <c r="BU126" s="36">
        <f t="shared" si="23"/>
        <v>3.6623999999999999</v>
      </c>
      <c r="BV126" s="39">
        <f t="shared" si="24"/>
        <v>1.0619037954130301</v>
      </c>
      <c r="BW126" s="39">
        <f t="shared" si="25"/>
        <v>0.99900348779272541</v>
      </c>
      <c r="BX126" s="40">
        <f t="shared" si="26"/>
        <v>3.282336578581363E-2</v>
      </c>
      <c r="BY126" s="40">
        <f t="shared" si="27"/>
        <v>0</v>
      </c>
      <c r="BZ126" t="str">
        <f t="shared" si="28"/>
        <v>OK</v>
      </c>
      <c r="CA126">
        <f t="shared" si="29"/>
        <v>1</v>
      </c>
    </row>
    <row r="127" spans="1:80" x14ac:dyDescent="0.25">
      <c r="A127" s="35">
        <v>45873</v>
      </c>
      <c r="B127" s="36">
        <v>2.6255999999999999</v>
      </c>
      <c r="C127" t="s">
        <v>119</v>
      </c>
      <c r="D127" t="s">
        <v>6</v>
      </c>
      <c r="E127" t="s">
        <v>126</v>
      </c>
      <c r="F127" t="s">
        <v>149</v>
      </c>
      <c r="G127">
        <v>461</v>
      </c>
      <c r="H127">
        <v>2140110656</v>
      </c>
      <c r="I127" t="s">
        <v>166</v>
      </c>
      <c r="J127" s="37">
        <v>4075</v>
      </c>
      <c r="K127" s="37">
        <v>10</v>
      </c>
      <c r="M127">
        <v>1426</v>
      </c>
      <c r="N127">
        <v>35.331164999999999</v>
      </c>
      <c r="O127">
        <v>50</v>
      </c>
      <c r="P127">
        <v>18</v>
      </c>
      <c r="T127">
        <v>1</v>
      </c>
      <c r="V127" t="s">
        <v>120</v>
      </c>
      <c r="Y127" s="38">
        <v>7.3611111111111113E-2</v>
      </c>
      <c r="Z127" s="38">
        <v>0.18333333333333329</v>
      </c>
      <c r="AA127" t="s">
        <v>117</v>
      </c>
      <c r="AC127" t="s">
        <v>164</v>
      </c>
      <c r="AQ127">
        <v>5.4699999999999999E-2</v>
      </c>
      <c r="AR127">
        <v>0.1641</v>
      </c>
      <c r="BI127">
        <v>7.2900000000000006E-2</v>
      </c>
      <c r="BJ127">
        <v>0.92989999999999995</v>
      </c>
      <c r="BK127">
        <f>0</f>
        <v>0</v>
      </c>
      <c r="BL127">
        <f t="shared" si="15"/>
        <v>1.2216</v>
      </c>
      <c r="BM127">
        <f t="shared" si="16"/>
        <v>0</v>
      </c>
      <c r="BN127">
        <f t="shared" si="17"/>
        <v>0</v>
      </c>
      <c r="BO127">
        <f t="shared" si="18"/>
        <v>1</v>
      </c>
      <c r="BP127" s="37">
        <f>IF($F127="","",IFERROR(INDEX(Familias!$C$5:$C$300,MATCH($F127,Familias!$A$5:$A$300,0)),""))</f>
        <v>2740</v>
      </c>
      <c r="BQ127" s="37">
        <f t="shared" si="19"/>
        <v>4085</v>
      </c>
      <c r="BR127" s="36">
        <f t="shared" si="20"/>
        <v>2.6255999999999999</v>
      </c>
      <c r="BS127" s="36">
        <f t="shared" si="21"/>
        <v>1.2216</v>
      </c>
      <c r="BT127" s="36">
        <f t="shared" si="22"/>
        <v>1.4039999999999999</v>
      </c>
      <c r="BU127" s="36">
        <f t="shared" si="23"/>
        <v>1.4908999999999999</v>
      </c>
      <c r="BV127" s="39">
        <f t="shared" si="24"/>
        <v>1.0618945868945868</v>
      </c>
      <c r="BW127" s="39">
        <f t="shared" si="25"/>
        <v>0.99755201958384332</v>
      </c>
      <c r="BX127" s="40">
        <f t="shared" si="26"/>
        <v>4.7685834502103785E-2</v>
      </c>
      <c r="BY127" s="40">
        <f t="shared" si="27"/>
        <v>0</v>
      </c>
      <c r="BZ127" t="str">
        <f t="shared" si="28"/>
        <v>OK</v>
      </c>
      <c r="CA127">
        <f t="shared" si="29"/>
        <v>1</v>
      </c>
    </row>
    <row r="128" spans="1:80" x14ac:dyDescent="0.25">
      <c r="A128" s="35">
        <v>45873</v>
      </c>
      <c r="B128" s="36">
        <v>2.6031</v>
      </c>
      <c r="C128" t="s">
        <v>119</v>
      </c>
      <c r="D128" t="s">
        <v>6</v>
      </c>
      <c r="E128" t="s">
        <v>126</v>
      </c>
      <c r="F128" t="s">
        <v>149</v>
      </c>
      <c r="G128">
        <v>467</v>
      </c>
      <c r="H128">
        <v>2140110658</v>
      </c>
      <c r="I128" t="s">
        <v>167</v>
      </c>
      <c r="J128" s="37">
        <v>4045</v>
      </c>
      <c r="K128" s="37">
        <v>5</v>
      </c>
      <c r="M128">
        <v>1430</v>
      </c>
      <c r="N128">
        <v>35.028449999999999</v>
      </c>
      <c r="O128">
        <v>50</v>
      </c>
      <c r="P128">
        <v>18</v>
      </c>
      <c r="T128">
        <v>2</v>
      </c>
      <c r="V128" t="s">
        <v>120</v>
      </c>
      <c r="Y128" s="38">
        <v>0.18333333333333329</v>
      </c>
      <c r="Z128" s="38">
        <v>0.29166666666666669</v>
      </c>
      <c r="AA128" t="s">
        <v>117</v>
      </c>
      <c r="AC128" t="s">
        <v>164</v>
      </c>
      <c r="AQ128">
        <v>5.4199999999999998E-2</v>
      </c>
      <c r="AR128">
        <v>0.16270000000000001</v>
      </c>
      <c r="BI128">
        <v>7.2300000000000003E-2</v>
      </c>
      <c r="BJ128">
        <v>0.92190000000000005</v>
      </c>
      <c r="BK128">
        <f>0</f>
        <v>0</v>
      </c>
      <c r="BL128">
        <f t="shared" si="15"/>
        <v>1.2111000000000001</v>
      </c>
      <c r="BM128">
        <f t="shared" si="16"/>
        <v>0</v>
      </c>
      <c r="BN128">
        <f t="shared" si="17"/>
        <v>0</v>
      </c>
      <c r="BO128">
        <f t="shared" si="18"/>
        <v>1</v>
      </c>
      <c r="BP128" s="37">
        <f>IF($F128="","",IFERROR(INDEX(Familias!$C$5:$C$300,MATCH($F128,Familias!$A$5:$A$300,0)),""))</f>
        <v>2740</v>
      </c>
      <c r="BQ128" s="37">
        <f t="shared" si="19"/>
        <v>4050</v>
      </c>
      <c r="BR128" s="36">
        <f t="shared" si="20"/>
        <v>2.6031</v>
      </c>
      <c r="BS128" s="36">
        <f t="shared" si="21"/>
        <v>1.2111000000000001</v>
      </c>
      <c r="BT128" s="36">
        <f t="shared" si="22"/>
        <v>1.3919999999999999</v>
      </c>
      <c r="BU128" s="36">
        <f t="shared" si="23"/>
        <v>1.4781</v>
      </c>
      <c r="BV128" s="39">
        <f t="shared" si="24"/>
        <v>1.0618534482758621</v>
      </c>
      <c r="BW128" s="39">
        <f t="shared" si="25"/>
        <v>0.99876543209876545</v>
      </c>
      <c r="BX128" s="40">
        <f t="shared" si="26"/>
        <v>4.7552447552447551E-2</v>
      </c>
      <c r="BY128" s="40">
        <f t="shared" si="27"/>
        <v>0</v>
      </c>
      <c r="BZ128" t="str">
        <f t="shared" si="28"/>
        <v>OK</v>
      </c>
      <c r="CA128">
        <f t="shared" si="29"/>
        <v>1</v>
      </c>
    </row>
    <row r="129" spans="1:80" x14ac:dyDescent="0.25">
      <c r="A129" s="35">
        <v>45874</v>
      </c>
      <c r="B129" s="36">
        <v>0.25469999999999998</v>
      </c>
      <c r="C129" t="s">
        <v>113</v>
      </c>
      <c r="D129" t="s">
        <v>6</v>
      </c>
      <c r="E129" t="s">
        <v>126</v>
      </c>
      <c r="F129" t="s">
        <v>149</v>
      </c>
      <c r="G129">
        <v>467</v>
      </c>
      <c r="H129">
        <v>2140110658</v>
      </c>
      <c r="I129" t="s">
        <v>167</v>
      </c>
      <c r="J129" s="37">
        <v>480</v>
      </c>
      <c r="K129" s="37"/>
      <c r="M129">
        <v>164</v>
      </c>
      <c r="N129">
        <v>4.1515200000000014</v>
      </c>
      <c r="T129">
        <v>0</v>
      </c>
      <c r="V129" t="s">
        <v>116</v>
      </c>
      <c r="Y129" s="38">
        <v>0.29166666666666669</v>
      </c>
      <c r="Z129" s="38">
        <v>0.30208333333333331</v>
      </c>
      <c r="AA129" t="s">
        <v>117</v>
      </c>
      <c r="AC129" t="s">
        <v>121</v>
      </c>
      <c r="AD129">
        <v>5.3E-3</v>
      </c>
      <c r="AE129">
        <v>7.1000000000000004E-3</v>
      </c>
      <c r="AQ129">
        <v>5.3E-3</v>
      </c>
      <c r="AR129">
        <v>1.5900000000000001E-2</v>
      </c>
      <c r="BK129">
        <f>0</f>
        <v>0</v>
      </c>
      <c r="BL129">
        <f t="shared" si="15"/>
        <v>3.3600000000000005E-2</v>
      </c>
      <c r="BM129">
        <f t="shared" si="16"/>
        <v>0</v>
      </c>
      <c r="BN129">
        <f t="shared" si="17"/>
        <v>0</v>
      </c>
      <c r="BO129">
        <f t="shared" si="18"/>
        <v>1</v>
      </c>
      <c r="BP129" s="37">
        <f>IF($F129="","",IFERROR(INDEX(Familias!$C$5:$C$300,MATCH($F129,Familias!$A$5:$A$300,0)),""))</f>
        <v>2740</v>
      </c>
      <c r="BQ129" s="37">
        <f t="shared" si="19"/>
        <v>480</v>
      </c>
      <c r="BR129" s="36">
        <f t="shared" si="20"/>
        <v>0.25469999999999998</v>
      </c>
      <c r="BS129" s="36">
        <f t="shared" si="21"/>
        <v>3.3599999999999998E-2</v>
      </c>
      <c r="BT129" s="36">
        <f t="shared" si="22"/>
        <v>0.22109999999999999</v>
      </c>
      <c r="BU129" s="36">
        <f t="shared" si="23"/>
        <v>0.17519999999999999</v>
      </c>
      <c r="BV129" s="39">
        <f t="shared" si="24"/>
        <v>0.7924016282225238</v>
      </c>
      <c r="BW129" s="39">
        <f t="shared" si="25"/>
        <v>1</v>
      </c>
      <c r="BX129" s="40">
        <f t="shared" si="26"/>
        <v>0</v>
      </c>
      <c r="BY129" s="40">
        <f t="shared" si="27"/>
        <v>0</v>
      </c>
      <c r="BZ129" t="str">
        <f t="shared" si="28"/>
        <v>OK</v>
      </c>
      <c r="CA129">
        <f t="shared" si="29"/>
        <v>1</v>
      </c>
    </row>
    <row r="130" spans="1:80" x14ac:dyDescent="0.25">
      <c r="A130" s="35">
        <v>45874</v>
      </c>
      <c r="B130" s="36">
        <v>11.7453</v>
      </c>
      <c r="C130" t="s">
        <v>113</v>
      </c>
      <c r="D130" t="s">
        <v>6</v>
      </c>
      <c r="E130" t="s">
        <v>126</v>
      </c>
      <c r="F130" t="s">
        <v>149</v>
      </c>
      <c r="G130">
        <v>470</v>
      </c>
      <c r="H130">
        <v>2140110613</v>
      </c>
      <c r="I130" t="s">
        <v>150</v>
      </c>
      <c r="J130" s="37">
        <v>22125</v>
      </c>
      <c r="K130" s="37">
        <v>10</v>
      </c>
      <c r="M130">
        <v>7487</v>
      </c>
      <c r="N130">
        <v>182.90150499999999</v>
      </c>
      <c r="O130">
        <v>30</v>
      </c>
      <c r="P130">
        <v>70</v>
      </c>
      <c r="R130">
        <v>15</v>
      </c>
      <c r="T130">
        <v>9</v>
      </c>
      <c r="V130" t="s">
        <v>116</v>
      </c>
      <c r="Y130" s="38">
        <v>0.30208333333333331</v>
      </c>
      <c r="Z130" s="38">
        <v>0.79166666666666663</v>
      </c>
      <c r="AA130" t="s">
        <v>117</v>
      </c>
      <c r="AC130" t="s">
        <v>121</v>
      </c>
      <c r="AD130">
        <v>0.2447</v>
      </c>
      <c r="AE130">
        <v>0.32629999999999998</v>
      </c>
      <c r="AQ130">
        <v>0.2447</v>
      </c>
      <c r="AR130">
        <v>0.73409999999999997</v>
      </c>
      <c r="BK130">
        <f>0</f>
        <v>0</v>
      </c>
      <c r="BL130">
        <f t="shared" ref="BL130:BL193" si="30">N(AD130)+N(AE130)+N(AF130)+N(AG130)+N(AH130)+N(AI130)+N(AJ130)+N(AK130)+N(AL130)+N(AM130)+N(AN130)+N(AO130)+N(AP130)+N(AQ130)+N(AR130)+N(AS130)+N(AT130)+N(AU130)+N(AW130)+N(AX130)+N(AY130)+N(BC130)+N(BE130)+N(BF130)+N(BH130)+N(BI130)+N(BJ130)</f>
        <v>1.5497999999999998</v>
      </c>
      <c r="BM130">
        <f t="shared" ref="BM130:BM193" si="31">N(AZ130)+N(BA130)+N(BB130)+N(BD130)</f>
        <v>0</v>
      </c>
      <c r="BN130">
        <f t="shared" ref="BN130:BN193" si="32">N(AV130)+N(BG130)</f>
        <v>0</v>
      </c>
      <c r="BO130">
        <f t="shared" ref="BO130:BO193" si="33">IF($A130="","",IF(WEEKDAY($A130,2)=7,0,1))</f>
        <v>1</v>
      </c>
      <c r="BP130" s="37">
        <f>IF($F130="","",IFERROR(INDEX(Familias!$C$5:$C$300,MATCH($F130,Familias!$A$5:$A$300,0)),""))</f>
        <v>2740</v>
      </c>
      <c r="BQ130" s="37">
        <f t="shared" ref="BQ130:BQ193" si="34">IF(AND($J130="",$K130=""),"",N($J130)+N($K130))</f>
        <v>22135</v>
      </c>
      <c r="BR130" s="36">
        <f t="shared" ref="BR130:BR193" si="35">IF($A130="","",ROUND(N($B130),4))</f>
        <v>11.7453</v>
      </c>
      <c r="BS130" s="36">
        <f t="shared" ref="BS130:BS193" si="36">IF($A130="","",ROUND(SUM($AD130:$BJ130),4))</f>
        <v>1.5498000000000001</v>
      </c>
      <c r="BT130" s="36">
        <f t="shared" ref="BT130:BT193" si="37">IF($A130="","",ROUND(MAX(0,$BR130-$BS130),4))</f>
        <v>10.195499999999999</v>
      </c>
      <c r="BU130" s="36">
        <f t="shared" ref="BU130:BU193" si="38">IF(OR($BQ130="",$BP130="",N($BP130)=0),"",ROUND($BQ130/$BP130,4))</f>
        <v>8.0785</v>
      </c>
      <c r="BV130" s="39">
        <f t="shared" ref="BV130:BV193" si="39">IF(OR($BU130="",N($BT130)=0),"",$BU130/$BT130)</f>
        <v>0.7923593742337306</v>
      </c>
      <c r="BW130" s="39">
        <f t="shared" ref="BW130:BW193" si="40">IF(N($BQ130)&gt;0,N($J130)/$BQ130,"")</f>
        <v>0.99954822679015132</v>
      </c>
      <c r="BX130" s="40">
        <f t="shared" ref="BX130:BX193" si="41">IF(N($M130)&gt;0,(N($P130)+N($O130)+N($R130))/$M130,"")</f>
        <v>1.5359957259249366E-2</v>
      </c>
      <c r="BY130" s="40">
        <f t="shared" ref="BY130:BY193" si="42">IF(N($M130)&gt;0,N($Q130)/$M130,"")</f>
        <v>0</v>
      </c>
      <c r="BZ130" t="str">
        <f t="shared" ref="BZ130:BZ193" si="43">IF($A130="","",IF($BO130=0,"Domingo",IF($AA130&lt;&gt;"Sí","Paradas no digitadas",IF($BQ130="",IF(N($BT130)&gt;0,"Sin producción","Parada total"),IF($F130="","Sin familia",IF($BP130="","Familia sin estándar",IF(AND($BV130&lt;&gt;"",N($BV130)&gt;1.1),"Revisar rendimiento","OK")))))))</f>
        <v>OK</v>
      </c>
      <c r="CA130">
        <f t="shared" ref="CA130:CA193" si="44">IF(OR($BU130="",$BO130&lt;&gt;1,$AA130&lt;&gt;"Sí"),0,1)</f>
        <v>1</v>
      </c>
    </row>
    <row r="131" spans="1:80" x14ac:dyDescent="0.25">
      <c r="A131" s="35">
        <v>45874</v>
      </c>
      <c r="B131" s="36">
        <v>12</v>
      </c>
      <c r="C131" t="s">
        <v>119</v>
      </c>
      <c r="D131" t="s">
        <v>6</v>
      </c>
      <c r="E131" t="s">
        <v>126</v>
      </c>
      <c r="F131" t="s">
        <v>149</v>
      </c>
      <c r="G131">
        <v>470</v>
      </c>
      <c r="H131">
        <v>2140110613</v>
      </c>
      <c r="I131" t="s">
        <v>150</v>
      </c>
      <c r="J131" s="37">
        <v>20327</v>
      </c>
      <c r="K131" s="37">
        <v>10</v>
      </c>
      <c r="M131">
        <v>7076</v>
      </c>
      <c r="N131">
        <v>168.04463100000001</v>
      </c>
      <c r="O131">
        <v>50</v>
      </c>
      <c r="P131">
        <v>72</v>
      </c>
      <c r="Q131">
        <v>115</v>
      </c>
      <c r="T131">
        <v>8</v>
      </c>
      <c r="V131" t="s">
        <v>120</v>
      </c>
      <c r="Y131" s="38">
        <v>0.79166666666666663</v>
      </c>
      <c r="Z131" s="38">
        <v>0.29166666666666669</v>
      </c>
      <c r="AA131" t="s">
        <v>117</v>
      </c>
      <c r="AC131" t="s">
        <v>118</v>
      </c>
      <c r="AQ131">
        <v>0.25</v>
      </c>
      <c r="AR131">
        <v>0.75</v>
      </c>
      <c r="BI131">
        <v>0.5</v>
      </c>
      <c r="BK131">
        <f>0</f>
        <v>0</v>
      </c>
      <c r="BL131">
        <f t="shared" si="30"/>
        <v>1.5</v>
      </c>
      <c r="BM131">
        <f t="shared" si="31"/>
        <v>0</v>
      </c>
      <c r="BN131">
        <f t="shared" si="32"/>
        <v>0</v>
      </c>
      <c r="BO131">
        <f t="shared" si="33"/>
        <v>1</v>
      </c>
      <c r="BP131" s="37">
        <f>IF($F131="","",IFERROR(INDEX(Familias!$C$5:$C$300,MATCH($F131,Familias!$A$5:$A$300,0)),""))</f>
        <v>2740</v>
      </c>
      <c r="BQ131" s="37">
        <f t="shared" si="34"/>
        <v>20337</v>
      </c>
      <c r="BR131" s="36">
        <f t="shared" si="35"/>
        <v>12</v>
      </c>
      <c r="BS131" s="36">
        <f t="shared" si="36"/>
        <v>1.5</v>
      </c>
      <c r="BT131" s="36">
        <f t="shared" si="37"/>
        <v>10.5</v>
      </c>
      <c r="BU131" s="36">
        <f t="shared" si="38"/>
        <v>7.4222999999999999</v>
      </c>
      <c r="BV131" s="39">
        <f t="shared" si="39"/>
        <v>0.70688571428571423</v>
      </c>
      <c r="BW131" s="39">
        <f t="shared" si="40"/>
        <v>0.99950828539115899</v>
      </c>
      <c r="BX131" s="40">
        <f t="shared" si="41"/>
        <v>1.7241379310344827E-2</v>
      </c>
      <c r="BY131" s="40">
        <f t="shared" si="42"/>
        <v>1.6252119841718485E-2</v>
      </c>
      <c r="BZ131" t="str">
        <f t="shared" si="43"/>
        <v>OK</v>
      </c>
      <c r="CA131">
        <f t="shared" si="44"/>
        <v>1</v>
      </c>
    </row>
    <row r="132" spans="1:80" x14ac:dyDescent="0.25">
      <c r="A132" s="35">
        <v>45876</v>
      </c>
      <c r="B132" s="36">
        <v>9.0894999999999992</v>
      </c>
      <c r="C132" t="s">
        <v>113</v>
      </c>
      <c r="D132" t="s">
        <v>6</v>
      </c>
      <c r="E132" t="s">
        <v>126</v>
      </c>
      <c r="F132" t="s">
        <v>149</v>
      </c>
      <c r="G132">
        <v>470</v>
      </c>
      <c r="H132">
        <v>2140110613</v>
      </c>
      <c r="I132" t="s">
        <v>150</v>
      </c>
      <c r="J132" s="37">
        <v>16723</v>
      </c>
      <c r="K132" s="37">
        <v>10</v>
      </c>
      <c r="M132">
        <v>5773</v>
      </c>
      <c r="N132">
        <v>138.264779</v>
      </c>
      <c r="O132">
        <v>40</v>
      </c>
      <c r="P132">
        <v>40</v>
      </c>
      <c r="Q132">
        <v>38</v>
      </c>
      <c r="T132">
        <v>7</v>
      </c>
      <c r="V132" t="s">
        <v>116</v>
      </c>
      <c r="Y132" s="38">
        <v>0.29166666666666669</v>
      </c>
      <c r="Z132" s="38">
        <v>0.67013888888888884</v>
      </c>
      <c r="AA132" t="s">
        <v>117</v>
      </c>
      <c r="AC132" t="s">
        <v>121</v>
      </c>
      <c r="AD132">
        <v>0.2525</v>
      </c>
      <c r="AQ132">
        <v>0.18940000000000001</v>
      </c>
      <c r="BJ132">
        <v>0.18940000000000001</v>
      </c>
      <c r="BK132">
        <f>0</f>
        <v>0</v>
      </c>
      <c r="BL132">
        <f t="shared" si="30"/>
        <v>0.63129999999999997</v>
      </c>
      <c r="BM132">
        <f t="shared" si="31"/>
        <v>0</v>
      </c>
      <c r="BN132">
        <f t="shared" si="32"/>
        <v>0</v>
      </c>
      <c r="BO132">
        <f t="shared" si="33"/>
        <v>1</v>
      </c>
      <c r="BP132" s="37">
        <f>IF($F132="","",IFERROR(INDEX(Familias!$C$5:$C$300,MATCH($F132,Familias!$A$5:$A$300,0)),""))</f>
        <v>2740</v>
      </c>
      <c r="BQ132" s="37">
        <f t="shared" si="34"/>
        <v>16733</v>
      </c>
      <c r="BR132" s="36">
        <f t="shared" si="35"/>
        <v>9.0894999999999992</v>
      </c>
      <c r="BS132" s="36">
        <f t="shared" si="36"/>
        <v>0.63129999999999997</v>
      </c>
      <c r="BT132" s="36">
        <f t="shared" si="37"/>
        <v>8.4581999999999997</v>
      </c>
      <c r="BU132" s="36">
        <f t="shared" si="38"/>
        <v>6.1069000000000004</v>
      </c>
      <c r="BV132" s="39">
        <f t="shared" si="39"/>
        <v>0.72200941098578897</v>
      </c>
      <c r="BW132" s="39">
        <f t="shared" si="40"/>
        <v>0.99940237853343694</v>
      </c>
      <c r="BX132" s="40">
        <f t="shared" si="41"/>
        <v>1.3857613026156245E-2</v>
      </c>
      <c r="BY132" s="40">
        <f t="shared" si="42"/>
        <v>6.582366187424216E-3</v>
      </c>
      <c r="BZ132" t="str">
        <f t="shared" si="43"/>
        <v>OK</v>
      </c>
      <c r="CA132">
        <f t="shared" si="44"/>
        <v>1</v>
      </c>
    </row>
    <row r="133" spans="1:80" x14ac:dyDescent="0.25">
      <c r="A133" s="35">
        <v>45876</v>
      </c>
      <c r="B133" s="36">
        <v>2.9104999999999999</v>
      </c>
      <c r="C133" t="s">
        <v>113</v>
      </c>
      <c r="D133" t="s">
        <v>6</v>
      </c>
      <c r="E133" t="s">
        <v>126</v>
      </c>
      <c r="F133" t="s">
        <v>149</v>
      </c>
      <c r="G133">
        <v>507</v>
      </c>
      <c r="H133">
        <v>2140110619</v>
      </c>
      <c r="I133" t="s">
        <v>168</v>
      </c>
      <c r="J133" s="37">
        <v>5350</v>
      </c>
      <c r="K133" s="37">
        <v>8</v>
      </c>
      <c r="M133">
        <v>1870</v>
      </c>
      <c r="N133">
        <v>46.341341999999997</v>
      </c>
      <c r="O133">
        <v>35</v>
      </c>
      <c r="P133">
        <v>8</v>
      </c>
      <c r="Q133">
        <v>28</v>
      </c>
      <c r="T133">
        <v>3</v>
      </c>
      <c r="V133" t="s">
        <v>116</v>
      </c>
      <c r="Y133" s="38">
        <v>0.67013888888888884</v>
      </c>
      <c r="Z133" s="38">
        <v>0.79166666666666663</v>
      </c>
      <c r="AA133" t="s">
        <v>117</v>
      </c>
      <c r="AC133" t="s">
        <v>121</v>
      </c>
      <c r="AD133">
        <v>8.0799999999999997E-2</v>
      </c>
      <c r="AQ133">
        <v>6.0600000000000001E-2</v>
      </c>
      <c r="BJ133">
        <v>6.0600000000000001E-2</v>
      </c>
      <c r="BK133">
        <f>0</f>
        <v>0</v>
      </c>
      <c r="BL133">
        <f t="shared" si="30"/>
        <v>0.20200000000000001</v>
      </c>
      <c r="BM133">
        <f t="shared" si="31"/>
        <v>0</v>
      </c>
      <c r="BN133">
        <f t="shared" si="32"/>
        <v>0</v>
      </c>
      <c r="BO133">
        <f t="shared" si="33"/>
        <v>1</v>
      </c>
      <c r="BP133" s="37">
        <f>IF($F133="","",IFERROR(INDEX(Familias!$C$5:$C$300,MATCH($F133,Familias!$A$5:$A$300,0)),""))</f>
        <v>2740</v>
      </c>
      <c r="BQ133" s="37">
        <f t="shared" si="34"/>
        <v>5358</v>
      </c>
      <c r="BR133" s="36">
        <f t="shared" si="35"/>
        <v>2.9104999999999999</v>
      </c>
      <c r="BS133" s="36">
        <f t="shared" si="36"/>
        <v>0.20200000000000001</v>
      </c>
      <c r="BT133" s="36">
        <f t="shared" si="37"/>
        <v>2.7084999999999999</v>
      </c>
      <c r="BU133" s="36">
        <f t="shared" si="38"/>
        <v>1.9555</v>
      </c>
      <c r="BV133" s="39">
        <f t="shared" si="39"/>
        <v>0.7219863393021968</v>
      </c>
      <c r="BW133" s="39">
        <f t="shared" si="40"/>
        <v>0.99850690556177679</v>
      </c>
      <c r="BX133" s="40">
        <f t="shared" si="41"/>
        <v>2.2994652406417113E-2</v>
      </c>
      <c r="BY133" s="40">
        <f t="shared" si="42"/>
        <v>1.4973262032085561E-2</v>
      </c>
      <c r="BZ133" t="str">
        <f t="shared" si="43"/>
        <v>OK</v>
      </c>
      <c r="CA133">
        <f t="shared" si="44"/>
        <v>1</v>
      </c>
    </row>
    <row r="134" spans="1:80" x14ac:dyDescent="0.25">
      <c r="A134" s="35">
        <v>45876</v>
      </c>
      <c r="B134" s="36">
        <v>12</v>
      </c>
      <c r="C134" t="s">
        <v>119</v>
      </c>
      <c r="D134" t="s">
        <v>6</v>
      </c>
      <c r="E134" t="s">
        <v>126</v>
      </c>
      <c r="F134" t="s">
        <v>149</v>
      </c>
      <c r="G134">
        <v>507</v>
      </c>
      <c r="H134">
        <v>2140110619</v>
      </c>
      <c r="I134" t="s">
        <v>168</v>
      </c>
      <c r="J134" s="37">
        <v>22142</v>
      </c>
      <c r="K134" s="37">
        <v>5</v>
      </c>
      <c r="M134">
        <v>7741</v>
      </c>
      <c r="N134">
        <v>191.54940300000001</v>
      </c>
      <c r="O134">
        <v>70</v>
      </c>
      <c r="P134">
        <v>64</v>
      </c>
      <c r="Q134">
        <v>140</v>
      </c>
      <c r="T134">
        <v>9</v>
      </c>
      <c r="V134" t="s">
        <v>120</v>
      </c>
      <c r="Y134" s="38">
        <v>0.79166666666666663</v>
      </c>
      <c r="Z134" s="38">
        <v>0.29166666666666669</v>
      </c>
      <c r="AA134" t="s">
        <v>117</v>
      </c>
      <c r="AC134" t="s">
        <v>118</v>
      </c>
      <c r="AQ134">
        <v>0.25</v>
      </c>
      <c r="AR134">
        <v>0.75</v>
      </c>
      <c r="BI134">
        <v>0.5</v>
      </c>
      <c r="BK134">
        <f>0</f>
        <v>0</v>
      </c>
      <c r="BL134">
        <f t="shared" si="30"/>
        <v>1.5</v>
      </c>
      <c r="BM134">
        <f t="shared" si="31"/>
        <v>0</v>
      </c>
      <c r="BN134">
        <f t="shared" si="32"/>
        <v>0</v>
      </c>
      <c r="BO134">
        <f t="shared" si="33"/>
        <v>1</v>
      </c>
      <c r="BP134" s="37">
        <f>IF($F134="","",IFERROR(INDEX(Familias!$C$5:$C$300,MATCH($F134,Familias!$A$5:$A$300,0)),""))</f>
        <v>2740</v>
      </c>
      <c r="BQ134" s="37">
        <f t="shared" si="34"/>
        <v>22147</v>
      </c>
      <c r="BR134" s="36">
        <f t="shared" si="35"/>
        <v>12</v>
      </c>
      <c r="BS134" s="36">
        <f t="shared" si="36"/>
        <v>1.5</v>
      </c>
      <c r="BT134" s="36">
        <f t="shared" si="37"/>
        <v>10.5</v>
      </c>
      <c r="BU134" s="36">
        <f t="shared" si="38"/>
        <v>8.0828000000000007</v>
      </c>
      <c r="BV134" s="39">
        <f t="shared" si="39"/>
        <v>0.76979047619047625</v>
      </c>
      <c r="BW134" s="39">
        <f t="shared" si="40"/>
        <v>0.99977423578814284</v>
      </c>
      <c r="BX134" s="40">
        <f t="shared" si="41"/>
        <v>1.7310425009688671E-2</v>
      </c>
      <c r="BY134" s="40">
        <f t="shared" si="42"/>
        <v>1.8085518666838909E-2</v>
      </c>
      <c r="BZ134" t="str">
        <f t="shared" si="43"/>
        <v>OK</v>
      </c>
      <c r="CA134">
        <f t="shared" si="44"/>
        <v>1</v>
      </c>
    </row>
    <row r="135" spans="1:80" x14ac:dyDescent="0.25">
      <c r="A135" s="35">
        <v>45877</v>
      </c>
      <c r="B135" s="36">
        <v>3.1172</v>
      </c>
      <c r="C135" t="s">
        <v>113</v>
      </c>
      <c r="D135" t="s">
        <v>6</v>
      </c>
      <c r="E135" t="s">
        <v>126</v>
      </c>
      <c r="F135" t="s">
        <v>149</v>
      </c>
      <c r="G135">
        <v>507</v>
      </c>
      <c r="H135">
        <v>2140110619</v>
      </c>
      <c r="I135" t="s">
        <v>168</v>
      </c>
      <c r="J135" s="37">
        <v>5458</v>
      </c>
      <c r="K135" s="37">
        <v>8</v>
      </c>
      <c r="M135">
        <v>1971</v>
      </c>
      <c r="N135">
        <v>47.275433999999997</v>
      </c>
      <c r="O135">
        <v>55</v>
      </c>
      <c r="P135">
        <v>24</v>
      </c>
      <c r="T135">
        <v>3</v>
      </c>
      <c r="V135" t="s">
        <v>116</v>
      </c>
      <c r="Y135" s="38">
        <v>0.29166666666666669</v>
      </c>
      <c r="Z135" s="38">
        <v>0.42152777777777778</v>
      </c>
      <c r="AA135" t="s">
        <v>117</v>
      </c>
      <c r="AC135" t="s">
        <v>121</v>
      </c>
      <c r="AQ135">
        <v>6.4899999999999999E-2</v>
      </c>
      <c r="AR135">
        <v>0.1948</v>
      </c>
      <c r="BI135">
        <v>0.12989999999999999</v>
      </c>
      <c r="BJ135">
        <v>0.25979999999999998</v>
      </c>
      <c r="BK135">
        <f>0</f>
        <v>0</v>
      </c>
      <c r="BL135">
        <f t="shared" si="30"/>
        <v>0.64939999999999998</v>
      </c>
      <c r="BM135">
        <f t="shared" si="31"/>
        <v>0</v>
      </c>
      <c r="BN135">
        <f t="shared" si="32"/>
        <v>0</v>
      </c>
      <c r="BO135">
        <f t="shared" si="33"/>
        <v>1</v>
      </c>
      <c r="BP135" s="37">
        <f>IF($F135="","",IFERROR(INDEX(Familias!$C$5:$C$300,MATCH($F135,Familias!$A$5:$A$300,0)),""))</f>
        <v>2740</v>
      </c>
      <c r="BQ135" s="37">
        <f t="shared" si="34"/>
        <v>5466</v>
      </c>
      <c r="BR135" s="36">
        <f t="shared" si="35"/>
        <v>3.1172</v>
      </c>
      <c r="BS135" s="36">
        <f t="shared" si="36"/>
        <v>0.64939999999999998</v>
      </c>
      <c r="BT135" s="36">
        <f t="shared" si="37"/>
        <v>2.4678</v>
      </c>
      <c r="BU135" s="36">
        <f t="shared" si="38"/>
        <v>1.9948999999999999</v>
      </c>
      <c r="BV135" s="39">
        <f t="shared" si="39"/>
        <v>0.80837182915957528</v>
      </c>
      <c r="BW135" s="39">
        <f t="shared" si="40"/>
        <v>0.99853640687888767</v>
      </c>
      <c r="BX135" s="40">
        <f t="shared" si="41"/>
        <v>4.0081177067478435E-2</v>
      </c>
      <c r="BY135" s="40">
        <f t="shared" si="42"/>
        <v>0</v>
      </c>
      <c r="BZ135" t="str">
        <f t="shared" si="43"/>
        <v>OK</v>
      </c>
      <c r="CA135">
        <f t="shared" si="44"/>
        <v>1</v>
      </c>
    </row>
    <row r="136" spans="1:80" x14ac:dyDescent="0.25">
      <c r="A136" s="35">
        <v>45877</v>
      </c>
      <c r="B136" s="36">
        <v>8.8827999999999996</v>
      </c>
      <c r="C136" t="s">
        <v>113</v>
      </c>
      <c r="D136" t="s">
        <v>6</v>
      </c>
      <c r="E136" t="s">
        <v>126</v>
      </c>
      <c r="F136" t="s">
        <v>149</v>
      </c>
      <c r="G136">
        <v>471</v>
      </c>
      <c r="H136">
        <v>2140110615</v>
      </c>
      <c r="I136" t="s">
        <v>151</v>
      </c>
      <c r="J136" s="37">
        <v>15556</v>
      </c>
      <c r="K136" s="37">
        <v>20</v>
      </c>
      <c r="M136">
        <v>5360</v>
      </c>
      <c r="N136">
        <v>128.704488</v>
      </c>
      <c r="O136">
        <v>55</v>
      </c>
      <c r="P136">
        <v>32</v>
      </c>
      <c r="Q136">
        <v>33</v>
      </c>
      <c r="T136">
        <v>6</v>
      </c>
      <c r="V136" t="s">
        <v>116</v>
      </c>
      <c r="Y136" s="38">
        <v>0.42152777777777778</v>
      </c>
      <c r="Z136" s="38">
        <v>0.79166666666666663</v>
      </c>
      <c r="AA136" t="s">
        <v>117</v>
      </c>
      <c r="AC136" t="s">
        <v>121</v>
      </c>
      <c r="AQ136">
        <v>0.18509999999999999</v>
      </c>
      <c r="AR136">
        <v>0.55520000000000003</v>
      </c>
      <c r="BI136">
        <v>0.37009999999999998</v>
      </c>
      <c r="BJ136">
        <v>0.74019999999999997</v>
      </c>
      <c r="BK136">
        <f>0</f>
        <v>0</v>
      </c>
      <c r="BL136">
        <f t="shared" si="30"/>
        <v>1.8505999999999998</v>
      </c>
      <c r="BM136">
        <f t="shared" si="31"/>
        <v>0</v>
      </c>
      <c r="BN136">
        <f t="shared" si="32"/>
        <v>0</v>
      </c>
      <c r="BO136">
        <f t="shared" si="33"/>
        <v>1</v>
      </c>
      <c r="BP136" s="37">
        <f>IF($F136="","",IFERROR(INDEX(Familias!$C$5:$C$300,MATCH($F136,Familias!$A$5:$A$300,0)),""))</f>
        <v>2740</v>
      </c>
      <c r="BQ136" s="37">
        <f t="shared" si="34"/>
        <v>15576</v>
      </c>
      <c r="BR136" s="36">
        <f t="shared" si="35"/>
        <v>8.8827999999999996</v>
      </c>
      <c r="BS136" s="36">
        <f t="shared" si="36"/>
        <v>1.8506</v>
      </c>
      <c r="BT136" s="36">
        <f t="shared" si="37"/>
        <v>7.0321999999999996</v>
      </c>
      <c r="BU136" s="36">
        <f t="shared" si="38"/>
        <v>5.6847000000000003</v>
      </c>
      <c r="BV136" s="39">
        <f t="shared" si="39"/>
        <v>0.80838144535138368</v>
      </c>
      <c r="BW136" s="39">
        <f t="shared" si="40"/>
        <v>0.99871597329224449</v>
      </c>
      <c r="BX136" s="40">
        <f t="shared" si="41"/>
        <v>1.6231343283582091E-2</v>
      </c>
      <c r="BY136" s="40">
        <f t="shared" si="42"/>
        <v>6.156716417910448E-3</v>
      </c>
      <c r="BZ136" t="str">
        <f t="shared" si="43"/>
        <v>OK</v>
      </c>
      <c r="CA136">
        <f t="shared" si="44"/>
        <v>1</v>
      </c>
    </row>
    <row r="137" spans="1:80" x14ac:dyDescent="0.25">
      <c r="A137" s="35">
        <v>45877</v>
      </c>
      <c r="B137" s="36">
        <v>5.2356999999999996</v>
      </c>
      <c r="C137" t="s">
        <v>119</v>
      </c>
      <c r="D137" t="s">
        <v>6</v>
      </c>
      <c r="E137" t="s">
        <v>126</v>
      </c>
      <c r="F137" t="s">
        <v>149</v>
      </c>
      <c r="G137">
        <v>471</v>
      </c>
      <c r="H137">
        <v>2140110615</v>
      </c>
      <c r="I137" t="s">
        <v>151</v>
      </c>
      <c r="J137" s="37">
        <v>8969</v>
      </c>
      <c r="K137" s="37">
        <v>5</v>
      </c>
      <c r="M137">
        <v>3187</v>
      </c>
      <c r="N137">
        <v>74.15216199999999</v>
      </c>
      <c r="O137">
        <v>55</v>
      </c>
      <c r="P137">
        <v>32</v>
      </c>
      <c r="Q137">
        <v>112</v>
      </c>
      <c r="T137">
        <v>4</v>
      </c>
      <c r="V137" t="s">
        <v>120</v>
      </c>
      <c r="Y137" s="38">
        <v>0.79166666666666663</v>
      </c>
      <c r="Z137" s="38">
        <v>9.7222222222222224E-3</v>
      </c>
      <c r="AA137" t="s">
        <v>117</v>
      </c>
      <c r="AC137" t="s">
        <v>121</v>
      </c>
      <c r="AQ137">
        <v>0.1091</v>
      </c>
      <c r="AR137">
        <v>0.32719999999999999</v>
      </c>
      <c r="BI137">
        <v>0.21820000000000001</v>
      </c>
      <c r="BJ137">
        <v>0.36359999999999998</v>
      </c>
      <c r="BK137">
        <f>0</f>
        <v>0</v>
      </c>
      <c r="BL137">
        <f t="shared" si="30"/>
        <v>1.0181</v>
      </c>
      <c r="BM137">
        <f t="shared" si="31"/>
        <v>0</v>
      </c>
      <c r="BN137">
        <f t="shared" si="32"/>
        <v>0</v>
      </c>
      <c r="BO137">
        <f t="shared" si="33"/>
        <v>1</v>
      </c>
      <c r="BP137" s="37">
        <f>IF($F137="","",IFERROR(INDEX(Familias!$C$5:$C$300,MATCH($F137,Familias!$A$5:$A$300,0)),""))</f>
        <v>2740</v>
      </c>
      <c r="BQ137" s="37">
        <f t="shared" si="34"/>
        <v>8974</v>
      </c>
      <c r="BR137" s="36">
        <f t="shared" si="35"/>
        <v>5.2356999999999996</v>
      </c>
      <c r="BS137" s="36">
        <f t="shared" si="36"/>
        <v>1.0181</v>
      </c>
      <c r="BT137" s="36">
        <f t="shared" si="37"/>
        <v>4.2176</v>
      </c>
      <c r="BU137" s="36">
        <f t="shared" si="38"/>
        <v>3.2751999999999999</v>
      </c>
      <c r="BV137" s="39">
        <f t="shared" si="39"/>
        <v>0.7765553869499241</v>
      </c>
      <c r="BW137" s="39">
        <f t="shared" si="40"/>
        <v>0.99944283485625141</v>
      </c>
      <c r="BX137" s="40">
        <f t="shared" si="41"/>
        <v>2.7298399748980233E-2</v>
      </c>
      <c r="BY137" s="40">
        <f t="shared" si="42"/>
        <v>3.5142767492940069E-2</v>
      </c>
      <c r="BZ137" t="str">
        <f t="shared" si="43"/>
        <v>OK</v>
      </c>
      <c r="CA137">
        <f t="shared" si="44"/>
        <v>1</v>
      </c>
    </row>
    <row r="138" spans="1:80" x14ac:dyDescent="0.25">
      <c r="A138" s="35">
        <v>45877</v>
      </c>
      <c r="B138" s="36">
        <v>6.7643000000000004</v>
      </c>
      <c r="C138" t="s">
        <v>119</v>
      </c>
      <c r="D138" t="s">
        <v>6</v>
      </c>
      <c r="E138" t="s">
        <v>126</v>
      </c>
      <c r="F138" t="s">
        <v>149</v>
      </c>
      <c r="G138">
        <v>509</v>
      </c>
      <c r="H138">
        <v>2140110622</v>
      </c>
      <c r="I138" t="s">
        <v>153</v>
      </c>
      <c r="J138" s="37">
        <v>11594</v>
      </c>
      <c r="K138" s="37"/>
      <c r="M138">
        <v>3931</v>
      </c>
      <c r="N138">
        <v>100.276506</v>
      </c>
      <c r="O138">
        <v>15</v>
      </c>
      <c r="P138">
        <v>32</v>
      </c>
      <c r="Q138">
        <v>84</v>
      </c>
      <c r="V138" t="s">
        <v>120</v>
      </c>
      <c r="Y138" s="38">
        <v>9.7222222222222224E-3</v>
      </c>
      <c r="Z138" s="38">
        <v>0.29166666666666669</v>
      </c>
      <c r="AA138" t="s">
        <v>117</v>
      </c>
      <c r="AC138" t="s">
        <v>121</v>
      </c>
      <c r="AQ138">
        <v>0.1409</v>
      </c>
      <c r="AR138">
        <v>0.42280000000000001</v>
      </c>
      <c r="BI138">
        <v>0.28179999999999999</v>
      </c>
      <c r="BJ138">
        <v>0.46970000000000001</v>
      </c>
      <c r="BK138">
        <f>0</f>
        <v>0</v>
      </c>
      <c r="BL138">
        <f t="shared" si="30"/>
        <v>1.3151999999999999</v>
      </c>
      <c r="BM138">
        <f t="shared" si="31"/>
        <v>0</v>
      </c>
      <c r="BN138">
        <f t="shared" si="32"/>
        <v>0</v>
      </c>
      <c r="BO138">
        <f t="shared" si="33"/>
        <v>1</v>
      </c>
      <c r="BP138" s="37">
        <f>IF($F138="","",IFERROR(INDEX(Familias!$C$5:$C$300,MATCH($F138,Familias!$A$5:$A$300,0)),""))</f>
        <v>2740</v>
      </c>
      <c r="BQ138" s="37">
        <f t="shared" si="34"/>
        <v>11594</v>
      </c>
      <c r="BR138" s="36">
        <f t="shared" si="35"/>
        <v>6.7643000000000004</v>
      </c>
      <c r="BS138" s="36">
        <f t="shared" si="36"/>
        <v>1.3151999999999999</v>
      </c>
      <c r="BT138" s="36">
        <f t="shared" si="37"/>
        <v>5.4490999999999996</v>
      </c>
      <c r="BU138" s="36">
        <f t="shared" si="38"/>
        <v>4.2313999999999998</v>
      </c>
      <c r="BV138" s="39">
        <f t="shared" si="39"/>
        <v>0.77653190435117725</v>
      </c>
      <c r="BW138" s="39">
        <f t="shared" si="40"/>
        <v>1</v>
      </c>
      <c r="BX138" s="40">
        <f t="shared" si="41"/>
        <v>1.1956245230221318E-2</v>
      </c>
      <c r="BY138" s="40">
        <f t="shared" si="42"/>
        <v>2.1368608496565758E-2</v>
      </c>
      <c r="BZ138" t="str">
        <f t="shared" si="43"/>
        <v>OK</v>
      </c>
      <c r="CA138">
        <f t="shared" si="44"/>
        <v>1</v>
      </c>
    </row>
    <row r="139" spans="1:80" x14ac:dyDescent="0.25">
      <c r="A139" s="35">
        <v>45878</v>
      </c>
      <c r="B139" s="36">
        <v>12</v>
      </c>
      <c r="C139" t="s">
        <v>113</v>
      </c>
      <c r="D139" t="s">
        <v>6</v>
      </c>
      <c r="E139" t="s">
        <v>126</v>
      </c>
      <c r="F139" t="s">
        <v>149</v>
      </c>
      <c r="G139">
        <v>509</v>
      </c>
      <c r="H139">
        <v>2140110622</v>
      </c>
      <c r="I139" t="s">
        <v>153</v>
      </c>
      <c r="J139" s="37">
        <v>21506</v>
      </c>
      <c r="K139" s="37">
        <v>10</v>
      </c>
      <c r="M139">
        <v>7256</v>
      </c>
      <c r="N139">
        <v>186.09188399999999</v>
      </c>
      <c r="O139">
        <v>30</v>
      </c>
      <c r="P139">
        <v>72</v>
      </c>
      <c r="T139">
        <v>9</v>
      </c>
      <c r="V139" t="s">
        <v>116</v>
      </c>
      <c r="Y139" s="38">
        <v>0.29166666666666669</v>
      </c>
      <c r="Z139" s="38">
        <v>0.79166666666666663</v>
      </c>
      <c r="AA139" t="s">
        <v>117</v>
      </c>
      <c r="AC139" t="s">
        <v>118</v>
      </c>
      <c r="AQ139">
        <v>0.25</v>
      </c>
      <c r="AR139">
        <v>0.75</v>
      </c>
      <c r="BI139">
        <v>0.5</v>
      </c>
      <c r="BK139">
        <f>0</f>
        <v>0</v>
      </c>
      <c r="BL139">
        <f t="shared" si="30"/>
        <v>1.5</v>
      </c>
      <c r="BM139">
        <f t="shared" si="31"/>
        <v>0</v>
      </c>
      <c r="BN139">
        <f t="shared" si="32"/>
        <v>0</v>
      </c>
      <c r="BO139">
        <f t="shared" si="33"/>
        <v>1</v>
      </c>
      <c r="BP139" s="37">
        <f>IF($F139="","",IFERROR(INDEX(Familias!$C$5:$C$300,MATCH($F139,Familias!$A$5:$A$300,0)),""))</f>
        <v>2740</v>
      </c>
      <c r="BQ139" s="37">
        <f t="shared" si="34"/>
        <v>21516</v>
      </c>
      <c r="BR139" s="36">
        <f t="shared" si="35"/>
        <v>12</v>
      </c>
      <c r="BS139" s="36">
        <f t="shared" si="36"/>
        <v>1.5</v>
      </c>
      <c r="BT139" s="36">
        <f t="shared" si="37"/>
        <v>10.5</v>
      </c>
      <c r="BU139" s="36">
        <f t="shared" si="38"/>
        <v>7.8525999999999998</v>
      </c>
      <c r="BV139" s="39">
        <f t="shared" si="39"/>
        <v>0.74786666666666668</v>
      </c>
      <c r="BW139" s="39">
        <f t="shared" si="40"/>
        <v>0.99953522959657926</v>
      </c>
      <c r="BX139" s="40">
        <f t="shared" si="41"/>
        <v>1.4057331863285557E-2</v>
      </c>
      <c r="BY139" s="40">
        <f t="shared" si="42"/>
        <v>0</v>
      </c>
      <c r="BZ139" t="str">
        <f t="shared" si="43"/>
        <v>OK</v>
      </c>
      <c r="CA139">
        <f t="shared" si="44"/>
        <v>1</v>
      </c>
    </row>
    <row r="140" spans="1:80" x14ac:dyDescent="0.25">
      <c r="A140" s="35">
        <v>45878</v>
      </c>
      <c r="B140" s="36">
        <v>12</v>
      </c>
      <c r="C140" t="s">
        <v>119</v>
      </c>
      <c r="D140" t="s">
        <v>6</v>
      </c>
      <c r="E140" t="s">
        <v>126</v>
      </c>
      <c r="F140" t="s">
        <v>149</v>
      </c>
      <c r="G140">
        <v>505</v>
      </c>
      <c r="H140">
        <v>2140110617</v>
      </c>
      <c r="I140" t="s">
        <v>169</v>
      </c>
      <c r="J140" s="37">
        <v>17875</v>
      </c>
      <c r="K140" s="37"/>
      <c r="M140">
        <v>6176</v>
      </c>
      <c r="N140">
        <v>154.600875</v>
      </c>
      <c r="O140">
        <v>50</v>
      </c>
      <c r="P140">
        <v>56</v>
      </c>
      <c r="Q140">
        <v>29</v>
      </c>
      <c r="T140">
        <v>7</v>
      </c>
      <c r="V140" t="s">
        <v>120</v>
      </c>
      <c r="Y140" s="38">
        <v>0.79166666666666663</v>
      </c>
      <c r="Z140" s="38">
        <v>0.29166666666666669</v>
      </c>
      <c r="AA140" t="s">
        <v>117</v>
      </c>
      <c r="AC140" t="s">
        <v>118</v>
      </c>
      <c r="AO140">
        <v>0.83330000000000004</v>
      </c>
      <c r="AQ140">
        <v>1.4167000000000001</v>
      </c>
      <c r="AR140">
        <v>0.75</v>
      </c>
      <c r="BC140">
        <v>0.75</v>
      </c>
      <c r="BI140">
        <v>0.5</v>
      </c>
      <c r="BK140">
        <f>0</f>
        <v>0</v>
      </c>
      <c r="BL140">
        <f t="shared" si="30"/>
        <v>4.25</v>
      </c>
      <c r="BM140">
        <f t="shared" si="31"/>
        <v>0</v>
      </c>
      <c r="BN140">
        <f t="shared" si="32"/>
        <v>0</v>
      </c>
      <c r="BO140">
        <f t="shared" si="33"/>
        <v>1</v>
      </c>
      <c r="BP140" s="37">
        <f>IF($F140="","",IFERROR(INDEX(Familias!$C$5:$C$300,MATCH($F140,Familias!$A$5:$A$300,0)),""))</f>
        <v>2740</v>
      </c>
      <c r="BQ140" s="37">
        <f t="shared" si="34"/>
        <v>17875</v>
      </c>
      <c r="BR140" s="36">
        <f t="shared" si="35"/>
        <v>12</v>
      </c>
      <c r="BS140" s="36">
        <f t="shared" si="36"/>
        <v>4.25</v>
      </c>
      <c r="BT140" s="36">
        <f t="shared" si="37"/>
        <v>7.75</v>
      </c>
      <c r="BU140" s="36">
        <f t="shared" si="38"/>
        <v>6.5236999999999998</v>
      </c>
      <c r="BV140" s="39">
        <f t="shared" si="39"/>
        <v>0.84176774193548387</v>
      </c>
      <c r="BW140" s="39">
        <f t="shared" si="40"/>
        <v>1</v>
      </c>
      <c r="BX140" s="40">
        <f t="shared" si="41"/>
        <v>1.7163212435233159E-2</v>
      </c>
      <c r="BY140" s="40">
        <f t="shared" si="42"/>
        <v>4.69559585492228E-3</v>
      </c>
      <c r="BZ140" t="str">
        <f t="shared" si="43"/>
        <v>OK</v>
      </c>
      <c r="CA140">
        <f t="shared" si="44"/>
        <v>1</v>
      </c>
    </row>
    <row r="141" spans="1:80" x14ac:dyDescent="0.25">
      <c r="A141" s="35">
        <v>45880</v>
      </c>
      <c r="B141" s="36">
        <v>9.9442000000000004</v>
      </c>
      <c r="C141" t="s">
        <v>113</v>
      </c>
      <c r="D141" t="s">
        <v>6</v>
      </c>
      <c r="E141" t="s">
        <v>126</v>
      </c>
      <c r="F141" t="s">
        <v>149</v>
      </c>
      <c r="G141">
        <v>505</v>
      </c>
      <c r="H141">
        <v>2140110617</v>
      </c>
      <c r="I141" t="s">
        <v>169</v>
      </c>
      <c r="J141" s="37">
        <v>17075</v>
      </c>
      <c r="K141" s="37"/>
      <c r="M141">
        <v>5919</v>
      </c>
      <c r="N141">
        <v>147.68167500000001</v>
      </c>
      <c r="O141">
        <v>60</v>
      </c>
      <c r="P141">
        <v>48</v>
      </c>
      <c r="Q141">
        <v>22</v>
      </c>
      <c r="T141">
        <v>7</v>
      </c>
      <c r="V141" t="s">
        <v>120</v>
      </c>
      <c r="Y141" s="38">
        <v>0.29166666666666669</v>
      </c>
      <c r="Z141" s="38">
        <v>0.70625000000000004</v>
      </c>
      <c r="AA141" t="s">
        <v>117</v>
      </c>
      <c r="AC141" t="s">
        <v>121</v>
      </c>
      <c r="AD141">
        <v>0.55249999999999999</v>
      </c>
      <c r="AQ141">
        <v>0.2072</v>
      </c>
      <c r="AR141">
        <v>0.62150000000000005</v>
      </c>
      <c r="BA141">
        <v>0.4143</v>
      </c>
      <c r="BJ141">
        <v>0.82869999999999999</v>
      </c>
      <c r="BK141">
        <f>0</f>
        <v>0</v>
      </c>
      <c r="BL141">
        <f t="shared" si="30"/>
        <v>2.2099000000000002</v>
      </c>
      <c r="BM141">
        <f t="shared" si="31"/>
        <v>0.4143</v>
      </c>
      <c r="BN141">
        <f t="shared" si="32"/>
        <v>0</v>
      </c>
      <c r="BO141">
        <f t="shared" si="33"/>
        <v>1</v>
      </c>
      <c r="BP141" s="37">
        <f>IF($F141="","",IFERROR(INDEX(Familias!$C$5:$C$300,MATCH($F141,Familias!$A$5:$A$300,0)),""))</f>
        <v>2740</v>
      </c>
      <c r="BQ141" s="37">
        <f t="shared" si="34"/>
        <v>17075</v>
      </c>
      <c r="BR141" s="36">
        <f t="shared" si="35"/>
        <v>9.9442000000000004</v>
      </c>
      <c r="BS141" s="36">
        <f t="shared" si="36"/>
        <v>2.6242000000000001</v>
      </c>
      <c r="BT141" s="36">
        <f t="shared" si="37"/>
        <v>7.32</v>
      </c>
      <c r="BU141" s="36">
        <f t="shared" si="38"/>
        <v>6.2317999999999998</v>
      </c>
      <c r="BV141" s="39">
        <f t="shared" si="39"/>
        <v>0.85133879781420763</v>
      </c>
      <c r="BW141" s="39">
        <f t="shared" si="40"/>
        <v>1</v>
      </c>
      <c r="BX141" s="40">
        <f t="shared" si="41"/>
        <v>1.824632539280284E-2</v>
      </c>
      <c r="BY141" s="40">
        <f t="shared" si="42"/>
        <v>3.7168440614968744E-3</v>
      </c>
      <c r="BZ141" t="str">
        <f t="shared" si="43"/>
        <v>OK</v>
      </c>
      <c r="CA141">
        <f t="shared" si="44"/>
        <v>1</v>
      </c>
    </row>
    <row r="142" spans="1:80" x14ac:dyDescent="0.25">
      <c r="A142" s="35">
        <v>45880</v>
      </c>
      <c r="B142" s="36">
        <v>2.0558000000000001</v>
      </c>
      <c r="C142" t="s">
        <v>113</v>
      </c>
      <c r="D142" t="s">
        <v>6</v>
      </c>
      <c r="E142" t="s">
        <v>126</v>
      </c>
      <c r="F142" t="s">
        <v>149</v>
      </c>
      <c r="G142">
        <v>510</v>
      </c>
      <c r="H142">
        <v>2140110643</v>
      </c>
      <c r="I142" t="s">
        <v>170</v>
      </c>
      <c r="J142" s="37">
        <v>3530</v>
      </c>
      <c r="K142" s="37"/>
      <c r="M142">
        <v>1193</v>
      </c>
      <c r="N142">
        <v>30.53097</v>
      </c>
      <c r="O142">
        <v>5</v>
      </c>
      <c r="P142">
        <v>8</v>
      </c>
      <c r="T142">
        <v>2</v>
      </c>
      <c r="V142" t="s">
        <v>120</v>
      </c>
      <c r="Y142" s="38">
        <v>0.70625000000000004</v>
      </c>
      <c r="Z142" s="38">
        <v>0.79166666666666663</v>
      </c>
      <c r="AA142" t="s">
        <v>117</v>
      </c>
      <c r="AC142" t="s">
        <v>121</v>
      </c>
      <c r="AD142">
        <v>0.1142</v>
      </c>
      <c r="AQ142">
        <v>4.2799999999999998E-2</v>
      </c>
      <c r="AR142">
        <v>0.1285</v>
      </c>
      <c r="BA142">
        <v>8.5699999999999998E-2</v>
      </c>
      <c r="BJ142">
        <v>0.17130000000000001</v>
      </c>
      <c r="BK142">
        <f>0</f>
        <v>0</v>
      </c>
      <c r="BL142">
        <f t="shared" si="30"/>
        <v>0.45679999999999998</v>
      </c>
      <c r="BM142">
        <f t="shared" si="31"/>
        <v>8.5699999999999998E-2</v>
      </c>
      <c r="BN142">
        <f t="shared" si="32"/>
        <v>0</v>
      </c>
      <c r="BO142">
        <f t="shared" si="33"/>
        <v>1</v>
      </c>
      <c r="BP142" s="37">
        <f>IF($F142="","",IFERROR(INDEX(Familias!$C$5:$C$300,MATCH($F142,Familias!$A$5:$A$300,0)),""))</f>
        <v>2740</v>
      </c>
      <c r="BQ142" s="37">
        <f t="shared" si="34"/>
        <v>3530</v>
      </c>
      <c r="BR142" s="36">
        <f t="shared" si="35"/>
        <v>2.0558000000000001</v>
      </c>
      <c r="BS142" s="36">
        <f t="shared" si="36"/>
        <v>0.54249999999999998</v>
      </c>
      <c r="BT142" s="36">
        <f t="shared" si="37"/>
        <v>1.5133000000000001</v>
      </c>
      <c r="BU142" s="36">
        <f t="shared" si="38"/>
        <v>1.2883</v>
      </c>
      <c r="BV142" s="39">
        <f t="shared" si="39"/>
        <v>0.85131831097601263</v>
      </c>
      <c r="BW142" s="39">
        <f t="shared" si="40"/>
        <v>1</v>
      </c>
      <c r="BX142" s="40">
        <f t="shared" si="41"/>
        <v>1.0896898575020955E-2</v>
      </c>
      <c r="BY142" s="40">
        <f t="shared" si="42"/>
        <v>0</v>
      </c>
      <c r="BZ142" t="str">
        <f t="shared" si="43"/>
        <v>OK</v>
      </c>
      <c r="CA142">
        <f t="shared" si="44"/>
        <v>1</v>
      </c>
    </row>
    <row r="143" spans="1:80" x14ac:dyDescent="0.25">
      <c r="A143" s="35">
        <v>45880</v>
      </c>
      <c r="B143" s="36">
        <v>11.7775</v>
      </c>
      <c r="C143" t="s">
        <v>119</v>
      </c>
      <c r="D143" t="s">
        <v>6</v>
      </c>
      <c r="E143" t="s">
        <v>126</v>
      </c>
      <c r="F143" t="s">
        <v>149</v>
      </c>
      <c r="G143">
        <v>510</v>
      </c>
      <c r="H143">
        <v>2140110643</v>
      </c>
      <c r="I143" t="s">
        <v>170</v>
      </c>
      <c r="J143" s="37">
        <v>23800</v>
      </c>
      <c r="K143" s="37">
        <v>15</v>
      </c>
      <c r="M143">
        <v>8059</v>
      </c>
      <c r="N143">
        <v>205.97593499999999</v>
      </c>
      <c r="O143">
        <v>45</v>
      </c>
      <c r="P143">
        <v>62</v>
      </c>
      <c r="Q143">
        <v>28</v>
      </c>
      <c r="T143">
        <v>10</v>
      </c>
      <c r="V143" t="s">
        <v>116</v>
      </c>
      <c r="Y143" s="38">
        <v>0.79166666666666663</v>
      </c>
      <c r="Z143" s="38">
        <v>0.28263888888888888</v>
      </c>
      <c r="AA143" t="s">
        <v>117</v>
      </c>
      <c r="AC143" t="s">
        <v>121</v>
      </c>
      <c r="AQ143">
        <v>0.24540000000000001</v>
      </c>
      <c r="AR143">
        <v>0.73609999999999998</v>
      </c>
      <c r="BI143">
        <v>0.49070000000000003</v>
      </c>
      <c r="BJ143">
        <v>0.24540000000000001</v>
      </c>
      <c r="BK143">
        <f>0</f>
        <v>0</v>
      </c>
      <c r="BL143">
        <f t="shared" si="30"/>
        <v>1.7176</v>
      </c>
      <c r="BM143">
        <f t="shared" si="31"/>
        <v>0</v>
      </c>
      <c r="BN143">
        <f t="shared" si="32"/>
        <v>0</v>
      </c>
      <c r="BO143">
        <f t="shared" si="33"/>
        <v>1</v>
      </c>
      <c r="BP143" s="37">
        <f>IF($F143="","",IFERROR(INDEX(Familias!$C$5:$C$300,MATCH($F143,Familias!$A$5:$A$300,0)),""))</f>
        <v>2740</v>
      </c>
      <c r="BQ143" s="37">
        <f t="shared" si="34"/>
        <v>23815</v>
      </c>
      <c r="BR143" s="36">
        <f t="shared" si="35"/>
        <v>11.7775</v>
      </c>
      <c r="BS143" s="36">
        <f t="shared" si="36"/>
        <v>1.7176</v>
      </c>
      <c r="BT143" s="36">
        <f t="shared" si="37"/>
        <v>10.059900000000001</v>
      </c>
      <c r="BU143" s="36">
        <f t="shared" si="38"/>
        <v>8.6915999999999993</v>
      </c>
      <c r="BV143" s="39">
        <f t="shared" si="39"/>
        <v>0.86398473145856303</v>
      </c>
      <c r="BW143" s="39">
        <f t="shared" si="40"/>
        <v>0.99937014486668063</v>
      </c>
      <c r="BX143" s="40">
        <f t="shared" si="41"/>
        <v>1.3277081523762254E-2</v>
      </c>
      <c r="BY143" s="40">
        <f t="shared" si="42"/>
        <v>3.4743764735078795E-3</v>
      </c>
      <c r="BZ143" t="str">
        <f t="shared" si="43"/>
        <v>OK</v>
      </c>
      <c r="CA143">
        <f t="shared" si="44"/>
        <v>1</v>
      </c>
    </row>
    <row r="144" spans="1:80" x14ac:dyDescent="0.25">
      <c r="A144" s="35">
        <v>45880</v>
      </c>
      <c r="B144" s="36">
        <v>0.2225</v>
      </c>
      <c r="C144" t="s">
        <v>119</v>
      </c>
      <c r="D144" t="s">
        <v>6</v>
      </c>
      <c r="E144" t="s">
        <v>126</v>
      </c>
      <c r="F144" t="s">
        <v>149</v>
      </c>
      <c r="G144">
        <v>508</v>
      </c>
      <c r="H144">
        <v>2140110620</v>
      </c>
      <c r="I144" t="s">
        <v>152</v>
      </c>
      <c r="J144" s="37">
        <v>450</v>
      </c>
      <c r="K144" s="37"/>
      <c r="M144">
        <v>156</v>
      </c>
      <c r="N144">
        <v>3.8920499999999998</v>
      </c>
      <c r="O144">
        <v>4</v>
      </c>
      <c r="T144">
        <v>0</v>
      </c>
      <c r="V144" t="s">
        <v>116</v>
      </c>
      <c r="Y144" s="38">
        <v>0.28263888888888888</v>
      </c>
      <c r="Z144" s="38">
        <v>0.29166666666666669</v>
      </c>
      <c r="AA144" t="s">
        <v>117</v>
      </c>
      <c r="AC144" t="s">
        <v>121</v>
      </c>
      <c r="AQ144">
        <v>4.5999999999999999E-3</v>
      </c>
      <c r="AR144">
        <v>1.3899999999999999E-2</v>
      </c>
      <c r="BI144">
        <v>9.2999999999999992E-3</v>
      </c>
      <c r="BJ144">
        <v>4.5999999999999999E-3</v>
      </c>
      <c r="BK144">
        <f>0</f>
        <v>0</v>
      </c>
      <c r="BL144">
        <f t="shared" si="30"/>
        <v>3.2399999999999998E-2</v>
      </c>
      <c r="BM144">
        <f t="shared" si="31"/>
        <v>0</v>
      </c>
      <c r="BN144">
        <f t="shared" si="32"/>
        <v>0</v>
      </c>
      <c r="BO144">
        <f t="shared" si="33"/>
        <v>1</v>
      </c>
      <c r="BP144" s="37">
        <f>IF($F144="","",IFERROR(INDEX(Familias!$C$5:$C$300,MATCH($F144,Familias!$A$5:$A$300,0)),""))</f>
        <v>2740</v>
      </c>
      <c r="BQ144" s="37">
        <f t="shared" si="34"/>
        <v>450</v>
      </c>
      <c r="BR144" s="36">
        <f t="shared" si="35"/>
        <v>0.2225</v>
      </c>
      <c r="BS144" s="36">
        <f t="shared" si="36"/>
        <v>3.2399999999999998E-2</v>
      </c>
      <c r="BT144" s="36">
        <f t="shared" si="37"/>
        <v>0.19009999999999999</v>
      </c>
      <c r="BU144" s="36">
        <f t="shared" si="38"/>
        <v>0.16420000000000001</v>
      </c>
      <c r="BV144" s="39">
        <f t="shared" si="39"/>
        <v>0.8637559179379275</v>
      </c>
      <c r="BW144" s="39">
        <f t="shared" si="40"/>
        <v>1</v>
      </c>
      <c r="BX144" s="40">
        <f t="shared" si="41"/>
        <v>2.564102564102564E-2</v>
      </c>
      <c r="BY144" s="40">
        <f t="shared" si="42"/>
        <v>0</v>
      </c>
      <c r="BZ144" t="str">
        <f t="shared" si="43"/>
        <v>OK</v>
      </c>
      <c r="CA144">
        <f t="shared" si="44"/>
        <v>1</v>
      </c>
    </row>
    <row r="145" spans="1:80" x14ac:dyDescent="0.25">
      <c r="A145" s="35">
        <v>45881</v>
      </c>
      <c r="B145" s="36">
        <v>12</v>
      </c>
      <c r="C145" t="s">
        <v>113</v>
      </c>
      <c r="D145" t="s">
        <v>6</v>
      </c>
      <c r="E145" t="s">
        <v>126</v>
      </c>
      <c r="F145" t="s">
        <v>149</v>
      </c>
      <c r="G145">
        <v>508</v>
      </c>
      <c r="H145">
        <v>2140110620</v>
      </c>
      <c r="I145" t="s">
        <v>152</v>
      </c>
      <c r="J145" s="37">
        <v>25206</v>
      </c>
      <c r="K145" s="37">
        <v>10</v>
      </c>
      <c r="M145">
        <v>8783</v>
      </c>
      <c r="N145">
        <v>218.09318400000001</v>
      </c>
      <c r="O145">
        <v>170</v>
      </c>
      <c r="P145">
        <v>88</v>
      </c>
      <c r="Q145">
        <v>64</v>
      </c>
      <c r="T145">
        <v>11</v>
      </c>
      <c r="V145" t="s">
        <v>120</v>
      </c>
      <c r="Y145" s="38">
        <v>0.29166666666666669</v>
      </c>
      <c r="Z145" s="38">
        <v>0.79166666666666663</v>
      </c>
      <c r="AA145" t="s">
        <v>117</v>
      </c>
      <c r="AC145" t="s">
        <v>118</v>
      </c>
      <c r="AQ145">
        <v>0.25</v>
      </c>
      <c r="AR145">
        <v>0.75</v>
      </c>
      <c r="BI145">
        <v>0.5</v>
      </c>
      <c r="BK145">
        <f>0</f>
        <v>0</v>
      </c>
      <c r="BL145">
        <f t="shared" si="30"/>
        <v>1.5</v>
      </c>
      <c r="BM145">
        <f t="shared" si="31"/>
        <v>0</v>
      </c>
      <c r="BN145">
        <f t="shared" si="32"/>
        <v>0</v>
      </c>
      <c r="BO145">
        <f t="shared" si="33"/>
        <v>1</v>
      </c>
      <c r="BP145" s="37">
        <f>IF($F145="","",IFERROR(INDEX(Familias!$C$5:$C$300,MATCH($F145,Familias!$A$5:$A$300,0)),""))</f>
        <v>2740</v>
      </c>
      <c r="BQ145" s="37">
        <f t="shared" si="34"/>
        <v>25216</v>
      </c>
      <c r="BR145" s="36">
        <f t="shared" si="35"/>
        <v>12</v>
      </c>
      <c r="BS145" s="36">
        <f t="shared" si="36"/>
        <v>1.5</v>
      </c>
      <c r="BT145" s="36">
        <f t="shared" si="37"/>
        <v>10.5</v>
      </c>
      <c r="BU145" s="36">
        <f t="shared" si="38"/>
        <v>9.2028999999999996</v>
      </c>
      <c r="BV145" s="39">
        <f t="shared" si="39"/>
        <v>0.87646666666666662</v>
      </c>
      <c r="BW145" s="39">
        <f t="shared" si="40"/>
        <v>0.99960342639593913</v>
      </c>
      <c r="BX145" s="40">
        <f t="shared" si="41"/>
        <v>2.9374928839804169E-2</v>
      </c>
      <c r="BY145" s="40">
        <f t="shared" si="42"/>
        <v>7.2868040532847542E-3</v>
      </c>
      <c r="BZ145" t="str">
        <f t="shared" si="43"/>
        <v>OK</v>
      </c>
      <c r="CA145">
        <f t="shared" si="44"/>
        <v>1</v>
      </c>
    </row>
    <row r="146" spans="1:80" x14ac:dyDescent="0.25">
      <c r="A146" s="35">
        <v>45881</v>
      </c>
      <c r="B146" s="36">
        <v>4.3433999999999999</v>
      </c>
      <c r="C146" t="s">
        <v>119</v>
      </c>
      <c r="D146" t="s">
        <v>6</v>
      </c>
      <c r="E146" t="s">
        <v>126</v>
      </c>
      <c r="F146" t="s">
        <v>149</v>
      </c>
      <c r="G146">
        <v>508</v>
      </c>
      <c r="H146">
        <v>2140110620</v>
      </c>
      <c r="I146" t="s">
        <v>152</v>
      </c>
      <c r="J146" s="37">
        <v>8300</v>
      </c>
      <c r="K146" s="37">
        <v>5</v>
      </c>
      <c r="M146">
        <v>2732</v>
      </c>
      <c r="N146">
        <v>71.829945000000009</v>
      </c>
      <c r="O146">
        <v>33</v>
      </c>
      <c r="P146">
        <v>23</v>
      </c>
      <c r="Q146">
        <v>20</v>
      </c>
      <c r="T146">
        <v>4</v>
      </c>
      <c r="V146" t="s">
        <v>116</v>
      </c>
      <c r="Y146" s="38">
        <v>0.79166666666666663</v>
      </c>
      <c r="Z146" s="38">
        <v>0.97291666666666665</v>
      </c>
      <c r="AA146" t="s">
        <v>117</v>
      </c>
      <c r="AC146" t="s">
        <v>121</v>
      </c>
      <c r="AO146">
        <v>0.18099999999999999</v>
      </c>
      <c r="AQ146">
        <v>9.0499999999999997E-2</v>
      </c>
      <c r="AR146">
        <v>0.27150000000000002</v>
      </c>
      <c r="BI146">
        <v>0.18099999999999999</v>
      </c>
      <c r="BJ146">
        <v>0.15079999999999999</v>
      </c>
      <c r="BK146">
        <f>0</f>
        <v>0</v>
      </c>
      <c r="BL146">
        <f t="shared" si="30"/>
        <v>0.87480000000000002</v>
      </c>
      <c r="BM146">
        <f t="shared" si="31"/>
        <v>0</v>
      </c>
      <c r="BN146">
        <f t="shared" si="32"/>
        <v>0</v>
      </c>
      <c r="BO146">
        <f t="shared" si="33"/>
        <v>1</v>
      </c>
      <c r="BP146" s="37">
        <f>IF($F146="","",IFERROR(INDEX(Familias!$C$5:$C$300,MATCH($F146,Familias!$A$5:$A$300,0)),""))</f>
        <v>2740</v>
      </c>
      <c r="BQ146" s="37">
        <f t="shared" si="34"/>
        <v>8305</v>
      </c>
      <c r="BR146" s="36">
        <f t="shared" si="35"/>
        <v>4.3433999999999999</v>
      </c>
      <c r="BS146" s="36">
        <f t="shared" si="36"/>
        <v>0.87480000000000002</v>
      </c>
      <c r="BT146" s="36">
        <f t="shared" si="37"/>
        <v>3.4685999999999999</v>
      </c>
      <c r="BU146" s="36">
        <f t="shared" si="38"/>
        <v>3.0310000000000001</v>
      </c>
      <c r="BV146" s="39">
        <f t="shared" si="39"/>
        <v>0.8738395894597244</v>
      </c>
      <c r="BW146" s="39">
        <f t="shared" si="40"/>
        <v>0.99939795304033718</v>
      </c>
      <c r="BX146" s="40">
        <f t="shared" si="41"/>
        <v>2.0497803806734993E-2</v>
      </c>
      <c r="BY146" s="40">
        <f t="shared" si="42"/>
        <v>7.320644216691069E-3</v>
      </c>
      <c r="BZ146" t="str">
        <f t="shared" si="43"/>
        <v>OK</v>
      </c>
      <c r="CA146">
        <f t="shared" si="44"/>
        <v>1</v>
      </c>
    </row>
    <row r="147" spans="1:80" x14ac:dyDescent="0.25">
      <c r="A147" s="35">
        <v>45881</v>
      </c>
      <c r="B147" s="36">
        <v>7.6566000000000001</v>
      </c>
      <c r="C147" t="s">
        <v>119</v>
      </c>
      <c r="D147" t="s">
        <v>6</v>
      </c>
      <c r="E147" t="s">
        <v>126</v>
      </c>
      <c r="F147" t="s">
        <v>149</v>
      </c>
      <c r="G147">
        <v>511</v>
      </c>
      <c r="H147">
        <v>2140110644</v>
      </c>
      <c r="I147" t="s">
        <v>154</v>
      </c>
      <c r="J147" s="37">
        <v>14625</v>
      </c>
      <c r="K147" s="37">
        <v>15</v>
      </c>
      <c r="M147">
        <v>5125</v>
      </c>
      <c r="N147">
        <v>126.62136</v>
      </c>
      <c r="O147">
        <v>47</v>
      </c>
      <c r="P147">
        <v>19</v>
      </c>
      <c r="Q147">
        <v>140</v>
      </c>
      <c r="T147">
        <v>6</v>
      </c>
      <c r="V147" t="s">
        <v>116</v>
      </c>
      <c r="Y147" s="38">
        <v>0.97291666666666665</v>
      </c>
      <c r="Z147" s="38">
        <v>0.29166666666666669</v>
      </c>
      <c r="AA147" t="s">
        <v>117</v>
      </c>
      <c r="AC147" t="s">
        <v>121</v>
      </c>
      <c r="AO147">
        <v>0.31900000000000001</v>
      </c>
      <c r="AQ147">
        <v>0.1595</v>
      </c>
      <c r="AR147">
        <v>0.47849999999999998</v>
      </c>
      <c r="BI147">
        <v>0.31900000000000001</v>
      </c>
      <c r="BJ147">
        <v>0.26590000000000003</v>
      </c>
      <c r="BK147">
        <f>0</f>
        <v>0</v>
      </c>
      <c r="BL147">
        <f t="shared" si="30"/>
        <v>1.5419</v>
      </c>
      <c r="BM147">
        <f t="shared" si="31"/>
        <v>0</v>
      </c>
      <c r="BN147">
        <f t="shared" si="32"/>
        <v>0</v>
      </c>
      <c r="BO147">
        <f t="shared" si="33"/>
        <v>1</v>
      </c>
      <c r="BP147" s="37">
        <f>IF($F147="","",IFERROR(INDEX(Familias!$C$5:$C$300,MATCH($F147,Familias!$A$5:$A$300,0)),""))</f>
        <v>2740</v>
      </c>
      <c r="BQ147" s="37">
        <f t="shared" si="34"/>
        <v>14640</v>
      </c>
      <c r="BR147" s="36">
        <f t="shared" si="35"/>
        <v>7.6566000000000001</v>
      </c>
      <c r="BS147" s="36">
        <f t="shared" si="36"/>
        <v>1.5419</v>
      </c>
      <c r="BT147" s="36">
        <f t="shared" si="37"/>
        <v>6.1147</v>
      </c>
      <c r="BU147" s="36">
        <f t="shared" si="38"/>
        <v>5.3430999999999997</v>
      </c>
      <c r="BV147" s="39">
        <f t="shared" si="39"/>
        <v>0.87381228841970982</v>
      </c>
      <c r="BW147" s="39">
        <f t="shared" si="40"/>
        <v>0.99897540983606559</v>
      </c>
      <c r="BX147" s="40">
        <f t="shared" si="41"/>
        <v>1.2878048780487804E-2</v>
      </c>
      <c r="BY147" s="40">
        <f t="shared" si="42"/>
        <v>2.7317073170731707E-2</v>
      </c>
      <c r="BZ147" t="str">
        <f t="shared" si="43"/>
        <v>OK</v>
      </c>
      <c r="CA147">
        <f t="shared" si="44"/>
        <v>1</v>
      </c>
    </row>
    <row r="148" spans="1:80" x14ac:dyDescent="0.25">
      <c r="A148" s="35">
        <v>45882</v>
      </c>
      <c r="B148" s="36">
        <v>12</v>
      </c>
      <c r="C148" t="s">
        <v>113</v>
      </c>
      <c r="D148" t="s">
        <v>6</v>
      </c>
      <c r="E148" t="s">
        <v>126</v>
      </c>
      <c r="F148" t="s">
        <v>149</v>
      </c>
      <c r="G148">
        <v>511</v>
      </c>
      <c r="H148">
        <v>2140110644</v>
      </c>
      <c r="I148" t="s">
        <v>154</v>
      </c>
      <c r="J148" s="37">
        <v>18920</v>
      </c>
      <c r="K148" s="37">
        <v>40</v>
      </c>
      <c r="M148">
        <v>6815</v>
      </c>
      <c r="N148">
        <v>163.98504</v>
      </c>
      <c r="O148">
        <v>70</v>
      </c>
      <c r="P148">
        <v>72</v>
      </c>
      <c r="Q148">
        <v>280</v>
      </c>
      <c r="T148">
        <v>9</v>
      </c>
      <c r="V148" t="s">
        <v>120</v>
      </c>
      <c r="Y148" s="38">
        <v>0.29166666666666669</v>
      </c>
      <c r="Z148" s="38">
        <v>0.79166666666666663</v>
      </c>
      <c r="AA148" t="s">
        <v>117</v>
      </c>
      <c r="AC148" t="s">
        <v>118</v>
      </c>
      <c r="AK148">
        <v>0.5</v>
      </c>
      <c r="AQ148">
        <v>0.25</v>
      </c>
      <c r="AR148">
        <v>0.75</v>
      </c>
      <c r="AW148">
        <v>1.3332999999999999</v>
      </c>
      <c r="BI148">
        <v>0.5</v>
      </c>
      <c r="BJ148">
        <v>0.16669999999999999</v>
      </c>
      <c r="BK148">
        <f>0</f>
        <v>0</v>
      </c>
      <c r="BL148">
        <f t="shared" si="30"/>
        <v>3.5</v>
      </c>
      <c r="BM148">
        <f t="shared" si="31"/>
        <v>0</v>
      </c>
      <c r="BN148">
        <f t="shared" si="32"/>
        <v>0</v>
      </c>
      <c r="BO148">
        <f t="shared" si="33"/>
        <v>1</v>
      </c>
      <c r="BP148" s="37">
        <f>IF($F148="","",IFERROR(INDEX(Familias!$C$5:$C$300,MATCH($F148,Familias!$A$5:$A$300,0)),""))</f>
        <v>2740</v>
      </c>
      <c r="BQ148" s="37">
        <f t="shared" si="34"/>
        <v>18960</v>
      </c>
      <c r="BR148" s="36">
        <f t="shared" si="35"/>
        <v>12</v>
      </c>
      <c r="BS148" s="36">
        <f t="shared" si="36"/>
        <v>3.5</v>
      </c>
      <c r="BT148" s="36">
        <f t="shared" si="37"/>
        <v>8.5</v>
      </c>
      <c r="BU148" s="36">
        <f t="shared" si="38"/>
        <v>6.9196999999999997</v>
      </c>
      <c r="BV148" s="39">
        <f t="shared" si="39"/>
        <v>0.81408235294117648</v>
      </c>
      <c r="BW148" s="39">
        <f t="shared" si="40"/>
        <v>0.99789029535864981</v>
      </c>
      <c r="BX148" s="40">
        <f t="shared" si="41"/>
        <v>2.0836390315480558E-2</v>
      </c>
      <c r="BY148" s="40">
        <f t="shared" si="42"/>
        <v>4.1085840058694055E-2</v>
      </c>
      <c r="BZ148" t="str">
        <f t="shared" si="43"/>
        <v>OK</v>
      </c>
      <c r="CA148">
        <f t="shared" si="44"/>
        <v>1</v>
      </c>
    </row>
    <row r="149" spans="1:80" x14ac:dyDescent="0.25">
      <c r="A149" s="35">
        <v>45882</v>
      </c>
      <c r="B149" s="36">
        <v>12</v>
      </c>
      <c r="C149" t="s">
        <v>119</v>
      </c>
      <c r="D149" t="s">
        <v>6</v>
      </c>
      <c r="E149" t="s">
        <v>126</v>
      </c>
      <c r="F149" t="s">
        <v>149</v>
      </c>
      <c r="G149">
        <v>511</v>
      </c>
      <c r="H149">
        <v>2140110644</v>
      </c>
      <c r="I149" t="s">
        <v>154</v>
      </c>
      <c r="J149" s="37">
        <v>23225</v>
      </c>
      <c r="K149" s="37">
        <v>20</v>
      </c>
      <c r="M149">
        <v>8042</v>
      </c>
      <c r="N149">
        <v>201.04600500000001</v>
      </c>
      <c r="O149">
        <v>80</v>
      </c>
      <c r="P149">
        <v>42</v>
      </c>
      <c r="Q149">
        <v>159</v>
      </c>
      <c r="T149">
        <v>10</v>
      </c>
      <c r="V149" t="s">
        <v>116</v>
      </c>
      <c r="Y149" s="38">
        <v>0.79166666666666663</v>
      </c>
      <c r="Z149" s="38">
        <v>0.29166666666666669</v>
      </c>
      <c r="AA149" t="s">
        <v>117</v>
      </c>
      <c r="AC149" t="s">
        <v>118</v>
      </c>
      <c r="AQ149">
        <v>0.25</v>
      </c>
      <c r="AR149">
        <v>0.75</v>
      </c>
      <c r="BI149">
        <v>0.5</v>
      </c>
      <c r="BJ149">
        <v>0.41670000000000001</v>
      </c>
      <c r="BK149">
        <f>0</f>
        <v>0</v>
      </c>
      <c r="BL149">
        <f t="shared" si="30"/>
        <v>1.9167000000000001</v>
      </c>
      <c r="BM149">
        <f t="shared" si="31"/>
        <v>0</v>
      </c>
      <c r="BN149">
        <f t="shared" si="32"/>
        <v>0</v>
      </c>
      <c r="BO149">
        <f t="shared" si="33"/>
        <v>1</v>
      </c>
      <c r="BP149" s="37">
        <f>IF($F149="","",IFERROR(INDEX(Familias!$C$5:$C$300,MATCH($F149,Familias!$A$5:$A$300,0)),""))</f>
        <v>2740</v>
      </c>
      <c r="BQ149" s="37">
        <f t="shared" si="34"/>
        <v>23245</v>
      </c>
      <c r="BR149" s="36">
        <f t="shared" si="35"/>
        <v>12</v>
      </c>
      <c r="BS149" s="36">
        <f t="shared" si="36"/>
        <v>1.9167000000000001</v>
      </c>
      <c r="BT149" s="36">
        <f t="shared" si="37"/>
        <v>10.083299999999999</v>
      </c>
      <c r="BU149" s="36">
        <f t="shared" si="38"/>
        <v>8.4835999999999991</v>
      </c>
      <c r="BV149" s="39">
        <f t="shared" si="39"/>
        <v>0.84135154165798887</v>
      </c>
      <c r="BW149" s="39">
        <f t="shared" si="40"/>
        <v>0.99913959991395995</v>
      </c>
      <c r="BX149" s="40">
        <f t="shared" si="41"/>
        <v>1.5170355632927133E-2</v>
      </c>
      <c r="BY149" s="40">
        <f t="shared" si="42"/>
        <v>1.9771201193732903E-2</v>
      </c>
      <c r="BZ149" t="str">
        <f t="shared" si="43"/>
        <v>OK</v>
      </c>
      <c r="CA149">
        <f t="shared" si="44"/>
        <v>1</v>
      </c>
    </row>
    <row r="150" spans="1:80" x14ac:dyDescent="0.25">
      <c r="A150" s="35">
        <v>45883</v>
      </c>
      <c r="B150" s="36">
        <v>12</v>
      </c>
      <c r="C150" t="s">
        <v>113</v>
      </c>
      <c r="D150" t="s">
        <v>6</v>
      </c>
      <c r="E150" t="s">
        <v>126</v>
      </c>
      <c r="F150" t="s">
        <v>149</v>
      </c>
      <c r="G150">
        <v>506</v>
      </c>
      <c r="H150">
        <v>2140110618</v>
      </c>
      <c r="I150" t="s">
        <v>171</v>
      </c>
      <c r="J150" s="37">
        <v>20110</v>
      </c>
      <c r="K150" s="37">
        <v>15</v>
      </c>
      <c r="M150">
        <v>7208</v>
      </c>
      <c r="N150">
        <v>174.061125</v>
      </c>
      <c r="O150">
        <v>150</v>
      </c>
      <c r="P150">
        <v>72</v>
      </c>
      <c r="Q150">
        <v>200</v>
      </c>
      <c r="T150">
        <v>9</v>
      </c>
      <c r="V150" t="s">
        <v>120</v>
      </c>
      <c r="Y150" s="38">
        <v>0.29166666666666669</v>
      </c>
      <c r="Z150" s="38">
        <v>0.79166666666666663</v>
      </c>
      <c r="AA150" t="s">
        <v>117</v>
      </c>
      <c r="AC150" t="s">
        <v>118</v>
      </c>
      <c r="AO150">
        <v>0.91669999999999996</v>
      </c>
      <c r="AQ150">
        <v>0.25</v>
      </c>
      <c r="AR150">
        <v>0.75</v>
      </c>
      <c r="AW150">
        <v>0.66669999999999996</v>
      </c>
      <c r="BI150">
        <v>0.5</v>
      </c>
      <c r="BK150">
        <f>0</f>
        <v>0</v>
      </c>
      <c r="BL150">
        <f t="shared" si="30"/>
        <v>3.0834000000000001</v>
      </c>
      <c r="BM150">
        <f t="shared" si="31"/>
        <v>0</v>
      </c>
      <c r="BN150">
        <f t="shared" si="32"/>
        <v>0</v>
      </c>
      <c r="BO150">
        <f t="shared" si="33"/>
        <v>1</v>
      </c>
      <c r="BP150" s="37">
        <f>IF($F150="","",IFERROR(INDEX(Familias!$C$5:$C$300,MATCH($F150,Familias!$A$5:$A$300,0)),""))</f>
        <v>2740</v>
      </c>
      <c r="BQ150" s="37">
        <f t="shared" si="34"/>
        <v>20125</v>
      </c>
      <c r="BR150" s="36">
        <f t="shared" si="35"/>
        <v>12</v>
      </c>
      <c r="BS150" s="36">
        <f t="shared" si="36"/>
        <v>3.0834000000000001</v>
      </c>
      <c r="BT150" s="36">
        <f t="shared" si="37"/>
        <v>8.9166000000000007</v>
      </c>
      <c r="BU150" s="36">
        <f t="shared" si="38"/>
        <v>7.3449</v>
      </c>
      <c r="BV150" s="39">
        <f t="shared" si="39"/>
        <v>0.8237332615570957</v>
      </c>
      <c r="BW150" s="39">
        <f t="shared" si="40"/>
        <v>0.9992546583850932</v>
      </c>
      <c r="BX150" s="40">
        <f t="shared" si="41"/>
        <v>3.0799112097669258E-2</v>
      </c>
      <c r="BY150" s="40">
        <f t="shared" si="42"/>
        <v>2.774694783573807E-2</v>
      </c>
      <c r="BZ150" t="str">
        <f t="shared" si="43"/>
        <v>OK</v>
      </c>
      <c r="CA150">
        <f t="shared" si="44"/>
        <v>1</v>
      </c>
    </row>
    <row r="151" spans="1:80" x14ac:dyDescent="0.25">
      <c r="A151" s="35">
        <v>45883</v>
      </c>
      <c r="B151" s="36">
        <v>8.2628000000000004</v>
      </c>
      <c r="C151" t="s">
        <v>119</v>
      </c>
      <c r="D151" t="s">
        <v>6</v>
      </c>
      <c r="E151" t="s">
        <v>126</v>
      </c>
      <c r="F151" t="s">
        <v>149</v>
      </c>
      <c r="G151">
        <v>506</v>
      </c>
      <c r="H151">
        <v>2140110618</v>
      </c>
      <c r="I151" t="s">
        <v>171</v>
      </c>
      <c r="J151" s="37">
        <v>15500</v>
      </c>
      <c r="K151" s="37">
        <v>10</v>
      </c>
      <c r="M151">
        <v>5245</v>
      </c>
      <c r="N151">
        <v>134.14599000000001</v>
      </c>
      <c r="O151">
        <v>80</v>
      </c>
      <c r="Q151">
        <v>203</v>
      </c>
      <c r="T151">
        <v>6</v>
      </c>
      <c r="V151" t="s">
        <v>116</v>
      </c>
      <c r="Y151" s="38">
        <v>0.79166666666666663</v>
      </c>
      <c r="Z151" s="38">
        <v>0.1361111111111111</v>
      </c>
      <c r="AA151" t="s">
        <v>117</v>
      </c>
      <c r="AC151" t="s">
        <v>121</v>
      </c>
      <c r="AE151">
        <v>0.68859999999999999</v>
      </c>
      <c r="AQ151">
        <v>0.1721</v>
      </c>
      <c r="AR151">
        <v>0.51639999999999997</v>
      </c>
      <c r="BI151">
        <v>0.34429999999999999</v>
      </c>
      <c r="BK151">
        <f>0</f>
        <v>0</v>
      </c>
      <c r="BL151">
        <f t="shared" si="30"/>
        <v>1.7214</v>
      </c>
      <c r="BM151">
        <f t="shared" si="31"/>
        <v>0</v>
      </c>
      <c r="BN151">
        <f t="shared" si="32"/>
        <v>0</v>
      </c>
      <c r="BO151">
        <f t="shared" si="33"/>
        <v>1</v>
      </c>
      <c r="BP151" s="37">
        <f>IF($F151="","",IFERROR(INDEX(Familias!$C$5:$C$300,MATCH($F151,Familias!$A$5:$A$300,0)),""))</f>
        <v>2740</v>
      </c>
      <c r="BQ151" s="37">
        <f t="shared" si="34"/>
        <v>15510</v>
      </c>
      <c r="BR151" s="36">
        <f t="shared" si="35"/>
        <v>8.2628000000000004</v>
      </c>
      <c r="BS151" s="36">
        <f t="shared" si="36"/>
        <v>1.7214</v>
      </c>
      <c r="BT151" s="36">
        <f t="shared" si="37"/>
        <v>6.5414000000000003</v>
      </c>
      <c r="BU151" s="36">
        <f t="shared" si="38"/>
        <v>5.6605999999999996</v>
      </c>
      <c r="BV151" s="39">
        <f t="shared" si="39"/>
        <v>0.86534992509248776</v>
      </c>
      <c r="BW151" s="39">
        <f t="shared" si="40"/>
        <v>0.99935525467440356</v>
      </c>
      <c r="BX151" s="40">
        <f t="shared" si="41"/>
        <v>1.5252621544327931E-2</v>
      </c>
      <c r="BY151" s="40">
        <f t="shared" si="42"/>
        <v>3.8703527168732127E-2</v>
      </c>
      <c r="BZ151" t="str">
        <f t="shared" si="43"/>
        <v>OK</v>
      </c>
      <c r="CA151">
        <f t="shared" si="44"/>
        <v>1</v>
      </c>
    </row>
    <row r="152" spans="1:80" x14ac:dyDescent="0.25">
      <c r="A152" s="35">
        <v>45883</v>
      </c>
      <c r="B152" s="36">
        <v>3.7372000000000001</v>
      </c>
      <c r="C152" t="s">
        <v>119</v>
      </c>
      <c r="D152" t="s">
        <v>6</v>
      </c>
      <c r="E152" t="s">
        <v>126</v>
      </c>
      <c r="F152" t="s">
        <v>149</v>
      </c>
      <c r="G152">
        <v>632</v>
      </c>
      <c r="H152">
        <v>2140110614</v>
      </c>
      <c r="I152" t="s">
        <v>156</v>
      </c>
      <c r="J152" s="37">
        <v>7000</v>
      </c>
      <c r="K152" s="37">
        <v>15</v>
      </c>
      <c r="M152">
        <v>2753</v>
      </c>
      <c r="N152">
        <v>60.672735000000003</v>
      </c>
      <c r="O152">
        <v>25</v>
      </c>
      <c r="Q152">
        <v>156</v>
      </c>
      <c r="R152">
        <v>35</v>
      </c>
      <c r="T152">
        <v>4</v>
      </c>
      <c r="V152" t="s">
        <v>116</v>
      </c>
      <c r="Y152" s="38">
        <v>0.1361111111111111</v>
      </c>
      <c r="Z152" s="38">
        <v>0.29166666666666669</v>
      </c>
      <c r="AA152" t="s">
        <v>117</v>
      </c>
      <c r="AC152" t="s">
        <v>121</v>
      </c>
      <c r="AE152">
        <v>0.31140000000000001</v>
      </c>
      <c r="AQ152">
        <v>7.7899999999999997E-2</v>
      </c>
      <c r="AR152">
        <v>0.2336</v>
      </c>
      <c r="BI152">
        <v>0.15570000000000001</v>
      </c>
      <c r="BK152">
        <f>0</f>
        <v>0</v>
      </c>
      <c r="BL152">
        <f t="shared" si="30"/>
        <v>0.77859999999999996</v>
      </c>
      <c r="BM152">
        <f t="shared" si="31"/>
        <v>0</v>
      </c>
      <c r="BN152">
        <f t="shared" si="32"/>
        <v>0</v>
      </c>
      <c r="BO152">
        <f t="shared" si="33"/>
        <v>1</v>
      </c>
      <c r="BP152" s="37">
        <f>IF($F152="","",IFERROR(INDEX(Familias!$C$5:$C$300,MATCH($F152,Familias!$A$5:$A$300,0)),""))</f>
        <v>2740</v>
      </c>
      <c r="BQ152" s="37">
        <f t="shared" si="34"/>
        <v>7015</v>
      </c>
      <c r="BR152" s="36">
        <f t="shared" si="35"/>
        <v>3.7372000000000001</v>
      </c>
      <c r="BS152" s="36">
        <f t="shared" si="36"/>
        <v>0.77859999999999996</v>
      </c>
      <c r="BT152" s="36">
        <f t="shared" si="37"/>
        <v>2.9586000000000001</v>
      </c>
      <c r="BU152" s="36">
        <f t="shared" si="38"/>
        <v>2.5602</v>
      </c>
      <c r="BV152" s="39">
        <f t="shared" si="39"/>
        <v>0.86534171567633333</v>
      </c>
      <c r="BW152" s="39">
        <f t="shared" si="40"/>
        <v>0.99786172487526725</v>
      </c>
      <c r="BX152" s="40">
        <f t="shared" si="41"/>
        <v>2.179440610243371E-2</v>
      </c>
      <c r="BY152" s="40">
        <f t="shared" si="42"/>
        <v>5.6665455866327645E-2</v>
      </c>
      <c r="BZ152" t="str">
        <f t="shared" si="43"/>
        <v>OK</v>
      </c>
      <c r="CA152">
        <f t="shared" si="44"/>
        <v>1</v>
      </c>
    </row>
    <row r="153" spans="1:80" x14ac:dyDescent="0.25">
      <c r="A153" s="35">
        <v>45884</v>
      </c>
      <c r="B153" s="36">
        <v>8.0044000000000004</v>
      </c>
      <c r="C153" t="s">
        <v>113</v>
      </c>
      <c r="D153" t="s">
        <v>6</v>
      </c>
      <c r="E153" t="s">
        <v>126</v>
      </c>
      <c r="F153" t="s">
        <v>149</v>
      </c>
      <c r="G153">
        <v>632</v>
      </c>
      <c r="H153">
        <v>2140110614</v>
      </c>
      <c r="I153" t="s">
        <v>156</v>
      </c>
      <c r="J153" s="37">
        <v>12750</v>
      </c>
      <c r="K153" s="37">
        <v>5</v>
      </c>
      <c r="M153">
        <v>4511</v>
      </c>
      <c r="N153">
        <v>110.317995</v>
      </c>
      <c r="O153">
        <v>47</v>
      </c>
      <c r="P153">
        <v>40</v>
      </c>
      <c r="Q153">
        <v>99</v>
      </c>
      <c r="T153">
        <v>5</v>
      </c>
      <c r="V153" t="s">
        <v>120</v>
      </c>
      <c r="Y153" s="38">
        <v>0.29166666666666669</v>
      </c>
      <c r="Z153" s="38">
        <v>0.625</v>
      </c>
      <c r="AA153" t="s">
        <v>117</v>
      </c>
      <c r="AC153" t="s">
        <v>136</v>
      </c>
      <c r="AF153">
        <v>0.1668</v>
      </c>
      <c r="AG153">
        <v>0.33350000000000002</v>
      </c>
      <c r="AO153">
        <v>0.33350000000000002</v>
      </c>
      <c r="AQ153">
        <v>0.1668</v>
      </c>
      <c r="AR153">
        <v>0.50029999999999997</v>
      </c>
      <c r="BI153">
        <v>0.33350000000000002</v>
      </c>
      <c r="BJ153">
        <v>0.33350000000000002</v>
      </c>
      <c r="BK153">
        <f>0</f>
        <v>0</v>
      </c>
      <c r="BL153">
        <f t="shared" si="30"/>
        <v>2.1678999999999999</v>
      </c>
      <c r="BM153">
        <f t="shared" si="31"/>
        <v>0</v>
      </c>
      <c r="BN153">
        <f t="shared" si="32"/>
        <v>0</v>
      </c>
      <c r="BO153">
        <f t="shared" si="33"/>
        <v>1</v>
      </c>
      <c r="BP153" s="37">
        <f>IF($F153="","",IFERROR(INDEX(Familias!$C$5:$C$300,MATCH($F153,Familias!$A$5:$A$300,0)),""))</f>
        <v>2740</v>
      </c>
      <c r="BQ153" s="37">
        <f t="shared" si="34"/>
        <v>12755</v>
      </c>
      <c r="BR153" s="36">
        <f t="shared" si="35"/>
        <v>8.0044000000000004</v>
      </c>
      <c r="BS153" s="36">
        <f t="shared" si="36"/>
        <v>2.1678999999999999</v>
      </c>
      <c r="BT153" s="36">
        <f t="shared" si="37"/>
        <v>5.8365</v>
      </c>
      <c r="BU153" s="36">
        <f t="shared" si="38"/>
        <v>4.6551</v>
      </c>
      <c r="BV153" s="39">
        <f t="shared" si="39"/>
        <v>0.79758416859419168</v>
      </c>
      <c r="BW153" s="39">
        <f t="shared" si="40"/>
        <v>0.99960799686397495</v>
      </c>
      <c r="BX153" s="40">
        <f t="shared" si="41"/>
        <v>1.9286189315007758E-2</v>
      </c>
      <c r="BY153" s="40">
        <f t="shared" si="42"/>
        <v>2.1946353358457106E-2</v>
      </c>
      <c r="BZ153" t="str">
        <f t="shared" si="43"/>
        <v>OK</v>
      </c>
      <c r="CA153">
        <f t="shared" si="44"/>
        <v>1</v>
      </c>
    </row>
    <row r="154" spans="1:80" x14ac:dyDescent="0.25">
      <c r="A154" s="35">
        <v>45884</v>
      </c>
      <c r="B154" s="36">
        <v>1.978</v>
      </c>
      <c r="C154" t="s">
        <v>113</v>
      </c>
      <c r="D154" t="s">
        <v>6</v>
      </c>
      <c r="E154" t="s">
        <v>126</v>
      </c>
      <c r="F154" t="s">
        <v>149</v>
      </c>
      <c r="G154">
        <v>653</v>
      </c>
      <c r="H154">
        <v>2140110653</v>
      </c>
      <c r="I154" t="s">
        <v>158</v>
      </c>
      <c r="J154" s="37">
        <v>3150</v>
      </c>
      <c r="K154" s="37">
        <v>2</v>
      </c>
      <c r="M154">
        <v>1209</v>
      </c>
      <c r="N154">
        <v>27.261648000000001</v>
      </c>
      <c r="O154">
        <v>5</v>
      </c>
      <c r="P154">
        <v>8</v>
      </c>
      <c r="Q154">
        <v>94</v>
      </c>
      <c r="R154">
        <v>30</v>
      </c>
      <c r="T154">
        <v>2</v>
      </c>
      <c r="V154" t="s">
        <v>120</v>
      </c>
      <c r="Y154" s="38">
        <v>0.625</v>
      </c>
      <c r="Z154" s="38">
        <v>0.70763888888888893</v>
      </c>
      <c r="AA154" t="s">
        <v>117</v>
      </c>
      <c r="AC154" t="s">
        <v>136</v>
      </c>
      <c r="AF154">
        <v>4.1200000000000001E-2</v>
      </c>
      <c r="AG154">
        <v>8.2400000000000001E-2</v>
      </c>
      <c r="AO154">
        <v>8.2400000000000001E-2</v>
      </c>
      <c r="AQ154">
        <v>4.1200000000000001E-2</v>
      </c>
      <c r="AR154">
        <v>0.1236</v>
      </c>
      <c r="BI154">
        <v>8.2400000000000001E-2</v>
      </c>
      <c r="BJ154">
        <v>8.2400000000000001E-2</v>
      </c>
      <c r="BK154">
        <f>0</f>
        <v>0</v>
      </c>
      <c r="BL154">
        <f t="shared" si="30"/>
        <v>0.53560000000000008</v>
      </c>
      <c r="BM154">
        <f t="shared" si="31"/>
        <v>0</v>
      </c>
      <c r="BN154">
        <f t="shared" si="32"/>
        <v>0</v>
      </c>
      <c r="BO154">
        <f t="shared" si="33"/>
        <v>1</v>
      </c>
      <c r="BP154" s="37">
        <f>IF($F154="","",IFERROR(INDEX(Familias!$C$5:$C$300,MATCH($F154,Familias!$A$5:$A$300,0)),""))</f>
        <v>2740</v>
      </c>
      <c r="BQ154" s="37">
        <f t="shared" si="34"/>
        <v>3152</v>
      </c>
      <c r="BR154" s="36">
        <f t="shared" si="35"/>
        <v>1.978</v>
      </c>
      <c r="BS154" s="36">
        <f t="shared" si="36"/>
        <v>0.53559999999999997</v>
      </c>
      <c r="BT154" s="36">
        <f t="shared" si="37"/>
        <v>1.4423999999999999</v>
      </c>
      <c r="BU154" s="36">
        <f t="shared" si="38"/>
        <v>1.1504000000000001</v>
      </c>
      <c r="BV154" s="39">
        <f t="shared" si="39"/>
        <v>0.79755962285080428</v>
      </c>
      <c r="BW154" s="39">
        <f t="shared" si="40"/>
        <v>0.99936548223350252</v>
      </c>
      <c r="BX154" s="40">
        <f t="shared" si="41"/>
        <v>3.556658395368073E-2</v>
      </c>
      <c r="BY154" s="40">
        <f t="shared" si="42"/>
        <v>7.7750206782464845E-2</v>
      </c>
      <c r="BZ154" t="str">
        <f t="shared" si="43"/>
        <v>OK</v>
      </c>
      <c r="CA154">
        <f t="shared" si="44"/>
        <v>1</v>
      </c>
    </row>
    <row r="155" spans="1:80" x14ac:dyDescent="0.25">
      <c r="A155" s="35">
        <v>45884</v>
      </c>
      <c r="B155" s="36">
        <v>2.0175999999999998</v>
      </c>
      <c r="C155" t="s">
        <v>113</v>
      </c>
      <c r="D155" t="s">
        <v>6</v>
      </c>
      <c r="E155" t="s">
        <v>126</v>
      </c>
      <c r="F155" t="s">
        <v>149</v>
      </c>
      <c r="G155">
        <v>656</v>
      </c>
      <c r="H155">
        <v>2140110659</v>
      </c>
      <c r="I155" t="s">
        <v>163</v>
      </c>
      <c r="J155" s="37">
        <v>3215</v>
      </c>
      <c r="K155" s="37"/>
      <c r="M155">
        <v>1175</v>
      </c>
      <c r="N155">
        <v>27.806535</v>
      </c>
      <c r="O155">
        <v>8</v>
      </c>
      <c r="P155">
        <v>16</v>
      </c>
      <c r="Q155">
        <v>94</v>
      </c>
      <c r="T155">
        <v>1</v>
      </c>
      <c r="V155" t="s">
        <v>120</v>
      </c>
      <c r="Y155" s="38">
        <v>0.70763888888888893</v>
      </c>
      <c r="Z155" s="38">
        <v>0.79166666666666663</v>
      </c>
      <c r="AA155" t="s">
        <v>117</v>
      </c>
      <c r="AC155" t="s">
        <v>136</v>
      </c>
      <c r="AF155">
        <v>4.2000000000000003E-2</v>
      </c>
      <c r="AG155">
        <v>8.4099999999999994E-2</v>
      </c>
      <c r="AO155">
        <v>8.4099999999999994E-2</v>
      </c>
      <c r="AQ155">
        <v>4.2000000000000003E-2</v>
      </c>
      <c r="AR155">
        <v>0.12609999999999999</v>
      </c>
      <c r="BI155">
        <v>8.4099999999999994E-2</v>
      </c>
      <c r="BJ155">
        <v>8.4099999999999994E-2</v>
      </c>
      <c r="BK155">
        <f>0</f>
        <v>0</v>
      </c>
      <c r="BL155">
        <f t="shared" si="30"/>
        <v>0.54649999999999999</v>
      </c>
      <c r="BM155">
        <f t="shared" si="31"/>
        <v>0</v>
      </c>
      <c r="BN155">
        <f t="shared" si="32"/>
        <v>0</v>
      </c>
      <c r="BO155">
        <f t="shared" si="33"/>
        <v>1</v>
      </c>
      <c r="BP155" s="37">
        <f>IF($F155="","",IFERROR(INDEX(Familias!$C$5:$C$300,MATCH($F155,Familias!$A$5:$A$300,0)),""))</f>
        <v>2740</v>
      </c>
      <c r="BQ155" s="37">
        <f t="shared" si="34"/>
        <v>3215</v>
      </c>
      <c r="BR155" s="36">
        <f t="shared" si="35"/>
        <v>2.0175999999999998</v>
      </c>
      <c r="BS155" s="36">
        <f t="shared" si="36"/>
        <v>0.54649999999999999</v>
      </c>
      <c r="BT155" s="36">
        <f t="shared" si="37"/>
        <v>1.4711000000000001</v>
      </c>
      <c r="BU155" s="36">
        <f t="shared" si="38"/>
        <v>1.1734</v>
      </c>
      <c r="BV155" s="39">
        <f t="shared" si="39"/>
        <v>0.7976344232207192</v>
      </c>
      <c r="BW155" s="39">
        <f t="shared" si="40"/>
        <v>1</v>
      </c>
      <c r="BX155" s="40">
        <f t="shared" si="41"/>
        <v>2.0425531914893616E-2</v>
      </c>
      <c r="BY155" s="40">
        <f t="shared" si="42"/>
        <v>0.08</v>
      </c>
      <c r="BZ155" t="str">
        <f t="shared" si="43"/>
        <v>OK</v>
      </c>
      <c r="CA155">
        <f t="shared" si="44"/>
        <v>1</v>
      </c>
    </row>
    <row r="156" spans="1:80" x14ac:dyDescent="0.25">
      <c r="A156" s="35">
        <v>45884</v>
      </c>
      <c r="B156" s="36">
        <v>2.6236999999999999</v>
      </c>
      <c r="C156" t="s">
        <v>119</v>
      </c>
      <c r="D156" t="s">
        <v>6</v>
      </c>
      <c r="E156" t="s">
        <v>126</v>
      </c>
      <c r="F156" t="s">
        <v>149</v>
      </c>
      <c r="G156">
        <v>656</v>
      </c>
      <c r="H156">
        <v>2140110659</v>
      </c>
      <c r="I156" t="s">
        <v>163</v>
      </c>
      <c r="J156" s="37">
        <v>3525</v>
      </c>
      <c r="K156" s="37">
        <v>15</v>
      </c>
      <c r="M156">
        <v>1223</v>
      </c>
      <c r="N156">
        <v>30.617460000000001</v>
      </c>
      <c r="O156">
        <v>20</v>
      </c>
      <c r="Q156">
        <v>47</v>
      </c>
      <c r="T156">
        <v>2</v>
      </c>
      <c r="V156" t="s">
        <v>116</v>
      </c>
      <c r="Y156" s="38">
        <v>0.79166666666666663</v>
      </c>
      <c r="Z156" s="38">
        <v>0.90069444444444446</v>
      </c>
      <c r="AA156" t="s">
        <v>117</v>
      </c>
      <c r="AC156" t="s">
        <v>172</v>
      </c>
      <c r="AD156">
        <v>3.6400000000000002E-2</v>
      </c>
      <c r="AE156">
        <v>0.32800000000000001</v>
      </c>
      <c r="AQ156">
        <v>5.4699999999999999E-2</v>
      </c>
      <c r="AR156">
        <v>0.16400000000000001</v>
      </c>
      <c r="BK156">
        <f>0</f>
        <v>0</v>
      </c>
      <c r="BL156">
        <f t="shared" si="30"/>
        <v>0.58310000000000006</v>
      </c>
      <c r="BM156">
        <f t="shared" si="31"/>
        <v>0</v>
      </c>
      <c r="BN156">
        <f t="shared" si="32"/>
        <v>0</v>
      </c>
      <c r="BO156">
        <f t="shared" si="33"/>
        <v>1</v>
      </c>
      <c r="BP156" s="37">
        <f>IF($F156="","",IFERROR(INDEX(Familias!$C$5:$C$300,MATCH($F156,Familias!$A$5:$A$300,0)),""))</f>
        <v>2740</v>
      </c>
      <c r="BQ156" s="37">
        <f t="shared" si="34"/>
        <v>3540</v>
      </c>
      <c r="BR156" s="36">
        <f t="shared" si="35"/>
        <v>2.6236999999999999</v>
      </c>
      <c r="BS156" s="36">
        <f t="shared" si="36"/>
        <v>0.58309999999999995</v>
      </c>
      <c r="BT156" s="36">
        <f t="shared" si="37"/>
        <v>2.0406</v>
      </c>
      <c r="BU156" s="36">
        <f t="shared" si="38"/>
        <v>1.292</v>
      </c>
      <c r="BV156" s="39">
        <f t="shared" si="39"/>
        <v>0.63314711359404097</v>
      </c>
      <c r="BW156" s="39">
        <f t="shared" si="40"/>
        <v>0.99576271186440679</v>
      </c>
      <c r="BX156" s="40">
        <f t="shared" si="41"/>
        <v>1.6353229762878167E-2</v>
      </c>
      <c r="BY156" s="40">
        <f t="shared" si="42"/>
        <v>3.8430089942763694E-2</v>
      </c>
      <c r="BZ156" t="str">
        <f t="shared" si="43"/>
        <v>OK</v>
      </c>
      <c r="CA156">
        <f t="shared" si="44"/>
        <v>1</v>
      </c>
    </row>
    <row r="157" spans="1:80" x14ac:dyDescent="0.25">
      <c r="A157" s="35">
        <v>45884</v>
      </c>
      <c r="B157" s="36">
        <v>3.0573000000000001</v>
      </c>
      <c r="C157" t="s">
        <v>119</v>
      </c>
      <c r="D157" t="s">
        <v>6</v>
      </c>
      <c r="E157" t="s">
        <v>126</v>
      </c>
      <c r="F157" t="s">
        <v>149</v>
      </c>
      <c r="G157">
        <v>654</v>
      </c>
      <c r="H157">
        <v>2140110656</v>
      </c>
      <c r="I157" t="s">
        <v>166</v>
      </c>
      <c r="J157" s="37">
        <v>4125</v>
      </c>
      <c r="K157" s="37"/>
      <c r="M157">
        <v>1488</v>
      </c>
      <c r="N157">
        <v>35.677124999999997</v>
      </c>
      <c r="O157">
        <v>21</v>
      </c>
      <c r="P157">
        <v>16</v>
      </c>
      <c r="Q157">
        <v>83</v>
      </c>
      <c r="V157" t="s">
        <v>116</v>
      </c>
      <c r="Y157" s="38">
        <v>0.90069444444444446</v>
      </c>
      <c r="Z157" s="38">
        <v>2.8472222222222222E-2</v>
      </c>
      <c r="AA157" t="s">
        <v>117</v>
      </c>
      <c r="AC157" t="s">
        <v>172</v>
      </c>
      <c r="AD157">
        <v>4.2500000000000003E-2</v>
      </c>
      <c r="AE157">
        <v>0.38219999999999998</v>
      </c>
      <c r="AQ157">
        <v>6.3700000000000007E-2</v>
      </c>
      <c r="AR157">
        <v>0.19109999999999999</v>
      </c>
      <c r="BK157">
        <f>0</f>
        <v>0</v>
      </c>
      <c r="BL157">
        <f t="shared" si="30"/>
        <v>0.67949999999999999</v>
      </c>
      <c r="BM157">
        <f t="shared" si="31"/>
        <v>0</v>
      </c>
      <c r="BN157">
        <f t="shared" si="32"/>
        <v>0</v>
      </c>
      <c r="BO157">
        <f t="shared" si="33"/>
        <v>1</v>
      </c>
      <c r="BP157" s="37">
        <f>IF($F157="","",IFERROR(INDEX(Familias!$C$5:$C$300,MATCH($F157,Familias!$A$5:$A$300,0)),""))</f>
        <v>2740</v>
      </c>
      <c r="BQ157" s="37">
        <f t="shared" si="34"/>
        <v>4125</v>
      </c>
      <c r="BR157" s="36">
        <f t="shared" si="35"/>
        <v>3.0573000000000001</v>
      </c>
      <c r="BS157" s="36">
        <f t="shared" si="36"/>
        <v>0.67949999999999999</v>
      </c>
      <c r="BT157" s="36">
        <f t="shared" si="37"/>
        <v>2.3778000000000001</v>
      </c>
      <c r="BU157" s="36">
        <f t="shared" si="38"/>
        <v>1.5055000000000001</v>
      </c>
      <c r="BV157" s="39">
        <f t="shared" si="39"/>
        <v>0.63314828833375392</v>
      </c>
      <c r="BW157" s="39">
        <f t="shared" si="40"/>
        <v>1</v>
      </c>
      <c r="BX157" s="40">
        <f t="shared" si="41"/>
        <v>2.4865591397849461E-2</v>
      </c>
      <c r="BY157" s="40">
        <f t="shared" si="42"/>
        <v>5.5779569892473117E-2</v>
      </c>
      <c r="BZ157" t="str">
        <f t="shared" si="43"/>
        <v>OK</v>
      </c>
      <c r="CA157">
        <f t="shared" si="44"/>
        <v>1</v>
      </c>
    </row>
    <row r="158" spans="1:80" x14ac:dyDescent="0.25">
      <c r="A158" s="35">
        <v>45884</v>
      </c>
      <c r="B158" s="36">
        <v>1.1858</v>
      </c>
      <c r="C158" t="s">
        <v>119</v>
      </c>
      <c r="D158" t="s">
        <v>6</v>
      </c>
      <c r="E158" t="s">
        <v>126</v>
      </c>
      <c r="F158" t="s">
        <v>149</v>
      </c>
      <c r="G158">
        <v>655</v>
      </c>
      <c r="H158">
        <v>2140110657</v>
      </c>
      <c r="I158" t="s">
        <v>173</v>
      </c>
      <c r="J158" s="37">
        <v>1600</v>
      </c>
      <c r="K158" s="37"/>
      <c r="M158">
        <v>533</v>
      </c>
      <c r="N158">
        <v>13.8384</v>
      </c>
      <c r="O158">
        <v>5</v>
      </c>
      <c r="T158">
        <v>0</v>
      </c>
      <c r="V158" t="s">
        <v>116</v>
      </c>
      <c r="Y158" s="38">
        <v>2.8472222222222222E-2</v>
      </c>
      <c r="Z158" s="38">
        <v>7.7777777777777779E-2</v>
      </c>
      <c r="AA158" t="s">
        <v>117</v>
      </c>
      <c r="AC158" t="s">
        <v>172</v>
      </c>
      <c r="AD158">
        <v>1.6500000000000001E-2</v>
      </c>
      <c r="AE158">
        <v>0.1482</v>
      </c>
      <c r="AQ158">
        <v>2.47E-2</v>
      </c>
      <c r="AR158">
        <v>7.4099999999999999E-2</v>
      </c>
      <c r="BK158">
        <f>0</f>
        <v>0</v>
      </c>
      <c r="BL158">
        <f t="shared" si="30"/>
        <v>0.26350000000000001</v>
      </c>
      <c r="BM158">
        <f t="shared" si="31"/>
        <v>0</v>
      </c>
      <c r="BN158">
        <f t="shared" si="32"/>
        <v>0</v>
      </c>
      <c r="BO158">
        <f t="shared" si="33"/>
        <v>1</v>
      </c>
      <c r="BP158" s="37">
        <f>IF($F158="","",IFERROR(INDEX(Familias!$C$5:$C$300,MATCH($F158,Familias!$A$5:$A$300,0)),""))</f>
        <v>2740</v>
      </c>
      <c r="BQ158" s="37">
        <f t="shared" si="34"/>
        <v>1600</v>
      </c>
      <c r="BR158" s="36">
        <f t="shared" si="35"/>
        <v>1.1858</v>
      </c>
      <c r="BS158" s="36">
        <f t="shared" si="36"/>
        <v>0.26350000000000001</v>
      </c>
      <c r="BT158" s="36">
        <f t="shared" si="37"/>
        <v>0.92230000000000001</v>
      </c>
      <c r="BU158" s="36">
        <f t="shared" si="38"/>
        <v>0.58389999999999997</v>
      </c>
      <c r="BV158" s="39">
        <f t="shared" si="39"/>
        <v>0.63309118508077633</v>
      </c>
      <c r="BW158" s="39">
        <f t="shared" si="40"/>
        <v>1</v>
      </c>
      <c r="BX158" s="40">
        <f t="shared" si="41"/>
        <v>9.3808630393996256E-3</v>
      </c>
      <c r="BY158" s="40">
        <f t="shared" si="42"/>
        <v>0</v>
      </c>
      <c r="BZ158" t="str">
        <f t="shared" si="43"/>
        <v>OK</v>
      </c>
      <c r="CA158">
        <f t="shared" si="44"/>
        <v>1</v>
      </c>
    </row>
    <row r="159" spans="1:80" x14ac:dyDescent="0.25">
      <c r="A159" s="35">
        <v>45884</v>
      </c>
      <c r="B159" s="36">
        <v>0.40760000000000002</v>
      </c>
      <c r="C159" t="s">
        <v>119</v>
      </c>
      <c r="D159" t="s">
        <v>6</v>
      </c>
      <c r="E159" t="s">
        <v>126</v>
      </c>
      <c r="F159" t="s">
        <v>149</v>
      </c>
      <c r="G159">
        <v>652</v>
      </c>
      <c r="H159">
        <v>2140110652</v>
      </c>
      <c r="I159" t="s">
        <v>174</v>
      </c>
      <c r="J159" s="37">
        <v>550</v>
      </c>
      <c r="K159" s="37"/>
      <c r="M159">
        <v>227</v>
      </c>
      <c r="N159">
        <v>4.7569500000000007</v>
      </c>
      <c r="O159">
        <v>19</v>
      </c>
      <c r="Q159">
        <v>35</v>
      </c>
      <c r="V159" t="s">
        <v>116</v>
      </c>
      <c r="Y159" s="38">
        <v>7.7777777777777779E-2</v>
      </c>
      <c r="Z159" s="38">
        <v>9.4444444444444442E-2</v>
      </c>
      <c r="AA159" t="s">
        <v>117</v>
      </c>
      <c r="AC159" t="s">
        <v>172</v>
      </c>
      <c r="AD159">
        <v>5.7000000000000002E-3</v>
      </c>
      <c r="AE159">
        <v>5.0999999999999997E-2</v>
      </c>
      <c r="AQ159">
        <v>8.5000000000000006E-3</v>
      </c>
      <c r="AR159">
        <v>2.5499999999999998E-2</v>
      </c>
      <c r="BK159">
        <f>0</f>
        <v>0</v>
      </c>
      <c r="BL159">
        <f t="shared" si="30"/>
        <v>9.0700000000000003E-2</v>
      </c>
      <c r="BM159">
        <f t="shared" si="31"/>
        <v>0</v>
      </c>
      <c r="BN159">
        <f t="shared" si="32"/>
        <v>0</v>
      </c>
      <c r="BO159">
        <f t="shared" si="33"/>
        <v>1</v>
      </c>
      <c r="BP159" s="37">
        <f>IF($F159="","",IFERROR(INDEX(Familias!$C$5:$C$300,MATCH($F159,Familias!$A$5:$A$300,0)),""))</f>
        <v>2740</v>
      </c>
      <c r="BQ159" s="37">
        <f t="shared" si="34"/>
        <v>550</v>
      </c>
      <c r="BR159" s="36">
        <f t="shared" si="35"/>
        <v>0.40760000000000002</v>
      </c>
      <c r="BS159" s="36">
        <f t="shared" si="36"/>
        <v>9.0700000000000003E-2</v>
      </c>
      <c r="BT159" s="36">
        <f t="shared" si="37"/>
        <v>0.31690000000000002</v>
      </c>
      <c r="BU159" s="36">
        <f t="shared" si="38"/>
        <v>0.20069999999999999</v>
      </c>
      <c r="BV159" s="39">
        <f t="shared" si="39"/>
        <v>0.63332281476806562</v>
      </c>
      <c r="BW159" s="39">
        <f t="shared" si="40"/>
        <v>1</v>
      </c>
      <c r="BX159" s="40">
        <f t="shared" si="41"/>
        <v>8.3700440528634359E-2</v>
      </c>
      <c r="BY159" s="40">
        <f t="shared" si="42"/>
        <v>0.15418502202643172</v>
      </c>
      <c r="BZ159" t="str">
        <f t="shared" si="43"/>
        <v>OK</v>
      </c>
      <c r="CA159">
        <f t="shared" si="44"/>
        <v>1</v>
      </c>
    </row>
    <row r="160" spans="1:80" x14ac:dyDescent="0.25">
      <c r="A160" s="35">
        <v>45884</v>
      </c>
      <c r="B160" s="36">
        <v>4.7256</v>
      </c>
      <c r="C160" t="s">
        <v>119</v>
      </c>
      <c r="D160" t="s">
        <v>6</v>
      </c>
      <c r="E160" t="s">
        <v>147</v>
      </c>
      <c r="F160" t="s">
        <v>175</v>
      </c>
      <c r="G160">
        <v>648</v>
      </c>
      <c r="H160">
        <v>2140110666</v>
      </c>
      <c r="I160" t="s">
        <v>176</v>
      </c>
      <c r="J160" s="37">
        <v>5500</v>
      </c>
      <c r="K160" s="37">
        <v>15</v>
      </c>
      <c r="M160">
        <v>1794</v>
      </c>
      <c r="N160">
        <v>40.886445199999031</v>
      </c>
      <c r="O160">
        <v>35</v>
      </c>
      <c r="Q160">
        <v>96</v>
      </c>
      <c r="R160">
        <v>40</v>
      </c>
      <c r="T160">
        <v>3</v>
      </c>
      <c r="V160" t="s">
        <v>116</v>
      </c>
      <c r="Y160" s="38">
        <v>9.4444444444444442E-2</v>
      </c>
      <c r="Z160" s="38">
        <v>0.29166666666666669</v>
      </c>
      <c r="AA160" t="s">
        <v>117</v>
      </c>
      <c r="AC160" t="s">
        <v>172</v>
      </c>
      <c r="AD160">
        <v>6.5600000000000006E-2</v>
      </c>
      <c r="AE160">
        <v>0.5907</v>
      </c>
      <c r="AQ160">
        <v>9.8400000000000001E-2</v>
      </c>
      <c r="AR160">
        <v>0.29530000000000001</v>
      </c>
      <c r="BK160">
        <f>0</f>
        <v>0</v>
      </c>
      <c r="BL160">
        <f t="shared" si="30"/>
        <v>1.05</v>
      </c>
      <c r="BM160">
        <f t="shared" si="31"/>
        <v>0</v>
      </c>
      <c r="BN160">
        <f t="shared" si="32"/>
        <v>0</v>
      </c>
      <c r="BO160">
        <f t="shared" si="33"/>
        <v>1</v>
      </c>
      <c r="BP160" s="37">
        <f>IF($F160="","",IFERROR(INDEX(Familias!$C$5:$C$300,MATCH($F160,Familias!$A$5:$A$300,0)),""))</f>
        <v>2370</v>
      </c>
      <c r="BQ160" s="37">
        <f t="shared" si="34"/>
        <v>5515</v>
      </c>
      <c r="BR160" s="36">
        <f t="shared" si="35"/>
        <v>4.7256</v>
      </c>
      <c r="BS160" s="36">
        <f t="shared" si="36"/>
        <v>1.05</v>
      </c>
      <c r="BT160" s="36">
        <f t="shared" si="37"/>
        <v>3.6756000000000002</v>
      </c>
      <c r="BU160" s="36">
        <f t="shared" si="38"/>
        <v>2.327</v>
      </c>
      <c r="BV160" s="39">
        <f t="shared" si="39"/>
        <v>0.63309391663946013</v>
      </c>
      <c r="BW160" s="39">
        <f t="shared" si="40"/>
        <v>0.99728014505893015</v>
      </c>
      <c r="BX160" s="40">
        <f t="shared" si="41"/>
        <v>4.1806020066889632E-2</v>
      </c>
      <c r="BY160" s="40">
        <f t="shared" si="42"/>
        <v>5.3511705685618728E-2</v>
      </c>
      <c r="BZ160" t="str">
        <f t="shared" si="43"/>
        <v>OK</v>
      </c>
      <c r="CA160">
        <f t="shared" si="44"/>
        <v>1</v>
      </c>
    </row>
    <row r="161" spans="1:80" x14ac:dyDescent="0.25">
      <c r="A161" s="35">
        <v>45885</v>
      </c>
      <c r="B161" s="36">
        <v>12</v>
      </c>
      <c r="C161" t="s">
        <v>113</v>
      </c>
      <c r="D161" t="s">
        <v>6</v>
      </c>
      <c r="E161" t="s">
        <v>147</v>
      </c>
      <c r="F161" t="s">
        <v>175</v>
      </c>
      <c r="G161">
        <v>648</v>
      </c>
      <c r="H161">
        <v>2140110666</v>
      </c>
      <c r="I161" t="s">
        <v>176</v>
      </c>
      <c r="J161" s="37">
        <v>21475</v>
      </c>
      <c r="K161" s="37">
        <v>15</v>
      </c>
      <c r="M161">
        <v>6374</v>
      </c>
      <c r="N161">
        <v>159.31998319999619</v>
      </c>
      <c r="O161">
        <v>40</v>
      </c>
      <c r="P161">
        <v>40</v>
      </c>
      <c r="Q161">
        <v>120</v>
      </c>
      <c r="T161">
        <v>8</v>
      </c>
      <c r="V161" t="s">
        <v>120</v>
      </c>
      <c r="Y161" s="38">
        <v>0.29166666666666669</v>
      </c>
      <c r="Z161" s="38">
        <v>0.79166666666666663</v>
      </c>
      <c r="AA161" t="s">
        <v>117</v>
      </c>
      <c r="AC161" t="s">
        <v>118</v>
      </c>
      <c r="AQ161">
        <v>0.25</v>
      </c>
      <c r="AR161">
        <v>0.75</v>
      </c>
      <c r="BI161">
        <v>0.33329999999999999</v>
      </c>
      <c r="BJ161">
        <v>0.5</v>
      </c>
      <c r="BK161">
        <f>0</f>
        <v>0</v>
      </c>
      <c r="BL161">
        <f t="shared" si="30"/>
        <v>1.8332999999999999</v>
      </c>
      <c r="BM161">
        <f t="shared" si="31"/>
        <v>0</v>
      </c>
      <c r="BN161">
        <f t="shared" si="32"/>
        <v>0</v>
      </c>
      <c r="BO161">
        <f t="shared" si="33"/>
        <v>1</v>
      </c>
      <c r="BP161" s="37">
        <f>IF($F161="","",IFERROR(INDEX(Familias!$C$5:$C$300,MATCH($F161,Familias!$A$5:$A$300,0)),""))</f>
        <v>2370</v>
      </c>
      <c r="BQ161" s="37">
        <f t="shared" si="34"/>
        <v>21490</v>
      </c>
      <c r="BR161" s="36">
        <f t="shared" si="35"/>
        <v>12</v>
      </c>
      <c r="BS161" s="36">
        <f t="shared" si="36"/>
        <v>1.8332999999999999</v>
      </c>
      <c r="BT161" s="36">
        <f t="shared" si="37"/>
        <v>10.166700000000001</v>
      </c>
      <c r="BU161" s="36">
        <f t="shared" si="38"/>
        <v>9.0675000000000008</v>
      </c>
      <c r="BV161" s="39">
        <f t="shared" si="39"/>
        <v>0.89188232169730597</v>
      </c>
      <c r="BW161" s="39">
        <f t="shared" si="40"/>
        <v>0.99930200093066546</v>
      </c>
      <c r="BX161" s="40">
        <f t="shared" si="41"/>
        <v>1.2550988390335738E-2</v>
      </c>
      <c r="BY161" s="40">
        <f t="shared" si="42"/>
        <v>1.8826482585503609E-2</v>
      </c>
      <c r="BZ161" t="str">
        <f t="shared" si="43"/>
        <v>OK</v>
      </c>
      <c r="CA161">
        <f t="shared" si="44"/>
        <v>1</v>
      </c>
    </row>
    <row r="162" spans="1:80" x14ac:dyDescent="0.25">
      <c r="A162" s="35">
        <v>45885</v>
      </c>
      <c r="B162" s="36">
        <v>5.2778999999999998</v>
      </c>
      <c r="C162" t="s">
        <v>119</v>
      </c>
      <c r="D162" t="s">
        <v>6</v>
      </c>
      <c r="E162" t="s">
        <v>147</v>
      </c>
      <c r="F162" t="s">
        <v>175</v>
      </c>
      <c r="G162">
        <v>648</v>
      </c>
      <c r="H162">
        <v>2140110666</v>
      </c>
      <c r="I162" t="s">
        <v>176</v>
      </c>
      <c r="J162" s="37">
        <v>8875</v>
      </c>
      <c r="K162" s="37">
        <v>5</v>
      </c>
      <c r="M162">
        <v>2761</v>
      </c>
      <c r="N162">
        <v>65.833478399998441</v>
      </c>
      <c r="O162">
        <v>16</v>
      </c>
      <c r="P162">
        <v>9</v>
      </c>
      <c r="Q162">
        <v>126</v>
      </c>
      <c r="T162">
        <v>4</v>
      </c>
      <c r="V162" t="s">
        <v>116</v>
      </c>
      <c r="Y162" s="38">
        <v>0.79166666666666663</v>
      </c>
      <c r="Z162" s="38">
        <v>1.180555555555556E-2</v>
      </c>
      <c r="AA162" t="s">
        <v>117</v>
      </c>
      <c r="AC162" t="s">
        <v>121</v>
      </c>
      <c r="AQ162">
        <v>0.87960000000000005</v>
      </c>
      <c r="AR162">
        <v>0.32990000000000003</v>
      </c>
      <c r="BI162">
        <v>0.2346</v>
      </c>
      <c r="BK162">
        <f>0</f>
        <v>0</v>
      </c>
      <c r="BL162">
        <f t="shared" si="30"/>
        <v>1.4440999999999999</v>
      </c>
      <c r="BM162">
        <f t="shared" si="31"/>
        <v>0</v>
      </c>
      <c r="BN162">
        <f t="shared" si="32"/>
        <v>0</v>
      </c>
      <c r="BO162">
        <f t="shared" si="33"/>
        <v>1</v>
      </c>
      <c r="BP162" s="37">
        <f>IF($F162="","",IFERROR(INDEX(Familias!$C$5:$C$300,MATCH($F162,Familias!$A$5:$A$300,0)),""))</f>
        <v>2370</v>
      </c>
      <c r="BQ162" s="37">
        <f t="shared" si="34"/>
        <v>8880</v>
      </c>
      <c r="BR162" s="36">
        <f t="shared" si="35"/>
        <v>5.2778999999999998</v>
      </c>
      <c r="BS162" s="36">
        <f t="shared" si="36"/>
        <v>1.4440999999999999</v>
      </c>
      <c r="BT162" s="36">
        <f t="shared" si="37"/>
        <v>3.8338000000000001</v>
      </c>
      <c r="BU162" s="36">
        <f t="shared" si="38"/>
        <v>3.7467999999999999</v>
      </c>
      <c r="BV162" s="39">
        <f t="shared" si="39"/>
        <v>0.9773071104387292</v>
      </c>
      <c r="BW162" s="39">
        <f t="shared" si="40"/>
        <v>0.99943693693693691</v>
      </c>
      <c r="BX162" s="40">
        <f t="shared" si="41"/>
        <v>9.0546903295907286E-3</v>
      </c>
      <c r="BY162" s="40">
        <f t="shared" si="42"/>
        <v>4.563563926113727E-2</v>
      </c>
      <c r="BZ162" t="str">
        <f t="shared" si="43"/>
        <v>OK</v>
      </c>
      <c r="CA162">
        <f t="shared" si="44"/>
        <v>1</v>
      </c>
    </row>
    <row r="163" spans="1:80" x14ac:dyDescent="0.25">
      <c r="A163" s="35">
        <v>45885</v>
      </c>
      <c r="B163" s="36">
        <v>6.7221000000000002</v>
      </c>
      <c r="C163" t="s">
        <v>119</v>
      </c>
      <c r="D163" t="s">
        <v>6</v>
      </c>
      <c r="E163" t="s">
        <v>147</v>
      </c>
      <c r="F163" t="s">
        <v>175</v>
      </c>
      <c r="G163">
        <v>651</v>
      </c>
      <c r="H163">
        <v>2140110669</v>
      </c>
      <c r="I163" t="s">
        <v>177</v>
      </c>
      <c r="J163" s="37">
        <v>11300</v>
      </c>
      <c r="K163" s="37">
        <v>10</v>
      </c>
      <c r="M163">
        <v>3398</v>
      </c>
      <c r="N163">
        <v>83.848720799998006</v>
      </c>
      <c r="O163">
        <v>14</v>
      </c>
      <c r="P163">
        <v>8</v>
      </c>
      <c r="Q163">
        <v>121</v>
      </c>
      <c r="V163" t="s">
        <v>116</v>
      </c>
      <c r="Y163" s="38">
        <v>1.180555555555556E-2</v>
      </c>
      <c r="Z163" s="38">
        <v>0.29166666666666669</v>
      </c>
      <c r="AA163" t="s">
        <v>117</v>
      </c>
      <c r="AC163" t="s">
        <v>121</v>
      </c>
      <c r="AQ163">
        <v>1.1204000000000001</v>
      </c>
      <c r="AR163">
        <v>0.42009999999999997</v>
      </c>
      <c r="BI163">
        <v>0.29880000000000001</v>
      </c>
      <c r="BK163">
        <f>0</f>
        <v>0</v>
      </c>
      <c r="BL163">
        <f t="shared" si="30"/>
        <v>1.8392999999999999</v>
      </c>
      <c r="BM163">
        <f t="shared" si="31"/>
        <v>0</v>
      </c>
      <c r="BN163">
        <f t="shared" si="32"/>
        <v>0</v>
      </c>
      <c r="BO163">
        <f t="shared" si="33"/>
        <v>1</v>
      </c>
      <c r="BP163" s="37">
        <f>IF($F163="","",IFERROR(INDEX(Familias!$C$5:$C$300,MATCH($F163,Familias!$A$5:$A$300,0)),""))</f>
        <v>2370</v>
      </c>
      <c r="BQ163" s="37">
        <f t="shared" si="34"/>
        <v>11310</v>
      </c>
      <c r="BR163" s="36">
        <f t="shared" si="35"/>
        <v>6.7221000000000002</v>
      </c>
      <c r="BS163" s="36">
        <f t="shared" si="36"/>
        <v>1.8392999999999999</v>
      </c>
      <c r="BT163" s="36">
        <f t="shared" si="37"/>
        <v>4.8827999999999996</v>
      </c>
      <c r="BU163" s="36">
        <f t="shared" si="38"/>
        <v>4.7721999999999998</v>
      </c>
      <c r="BV163" s="39">
        <f t="shared" si="39"/>
        <v>0.97734906201359883</v>
      </c>
      <c r="BW163" s="39">
        <f t="shared" si="40"/>
        <v>0.99911582670203358</v>
      </c>
      <c r="BX163" s="40">
        <f t="shared" si="41"/>
        <v>6.4743967039434958E-3</v>
      </c>
      <c r="BY163" s="40">
        <f t="shared" si="42"/>
        <v>3.5609181871689231E-2</v>
      </c>
      <c r="BZ163" t="str">
        <f t="shared" si="43"/>
        <v>OK</v>
      </c>
      <c r="CA163">
        <f t="shared" si="44"/>
        <v>1</v>
      </c>
    </row>
    <row r="164" spans="1:80" x14ac:dyDescent="0.25">
      <c r="A164" s="35">
        <v>45887</v>
      </c>
      <c r="B164" s="36">
        <v>12</v>
      </c>
      <c r="C164" t="s">
        <v>113</v>
      </c>
      <c r="D164" t="s">
        <v>6</v>
      </c>
      <c r="E164" t="s">
        <v>147</v>
      </c>
      <c r="F164" t="s">
        <v>175</v>
      </c>
      <c r="G164">
        <v>651</v>
      </c>
      <c r="H164">
        <v>2140110669</v>
      </c>
      <c r="I164" t="s">
        <v>177</v>
      </c>
      <c r="J164" s="37">
        <v>22125</v>
      </c>
      <c r="K164" s="37">
        <v>10</v>
      </c>
      <c r="M164">
        <v>6755</v>
      </c>
      <c r="N164">
        <v>164.1018067999961</v>
      </c>
      <c r="O164">
        <v>62</v>
      </c>
      <c r="P164">
        <v>9</v>
      </c>
      <c r="Q164">
        <v>260</v>
      </c>
      <c r="T164">
        <v>9</v>
      </c>
      <c r="V164" t="s">
        <v>116</v>
      </c>
      <c r="Y164" s="38">
        <v>0.29166666666666669</v>
      </c>
      <c r="Z164" s="38">
        <v>0.79166666666666663</v>
      </c>
      <c r="AA164" t="s">
        <v>117</v>
      </c>
      <c r="AC164" t="s">
        <v>118</v>
      </c>
      <c r="AD164">
        <v>1</v>
      </c>
      <c r="AO164">
        <v>0.5</v>
      </c>
      <c r="AQ164">
        <v>0.25</v>
      </c>
      <c r="AR164">
        <v>0.75</v>
      </c>
      <c r="BK164">
        <f>0</f>
        <v>0</v>
      </c>
      <c r="BL164">
        <f t="shared" si="30"/>
        <v>2.5</v>
      </c>
      <c r="BM164">
        <f t="shared" si="31"/>
        <v>0</v>
      </c>
      <c r="BN164">
        <f t="shared" si="32"/>
        <v>0</v>
      </c>
      <c r="BO164">
        <f t="shared" si="33"/>
        <v>1</v>
      </c>
      <c r="BP164" s="37">
        <f>IF($F164="","",IFERROR(INDEX(Familias!$C$5:$C$300,MATCH($F164,Familias!$A$5:$A$300,0)),""))</f>
        <v>2370</v>
      </c>
      <c r="BQ164" s="37">
        <f t="shared" si="34"/>
        <v>22135</v>
      </c>
      <c r="BR164" s="36">
        <f t="shared" si="35"/>
        <v>12</v>
      </c>
      <c r="BS164" s="36">
        <f t="shared" si="36"/>
        <v>2.5</v>
      </c>
      <c r="BT164" s="36">
        <f t="shared" si="37"/>
        <v>9.5</v>
      </c>
      <c r="BU164" s="36">
        <f t="shared" si="38"/>
        <v>9.3397000000000006</v>
      </c>
      <c r="BV164" s="39">
        <f t="shared" si="39"/>
        <v>0.98312631578947374</v>
      </c>
      <c r="BW164" s="39">
        <f t="shared" si="40"/>
        <v>0.99954822679015132</v>
      </c>
      <c r="BX164" s="40">
        <f t="shared" si="41"/>
        <v>1.0510732790525537E-2</v>
      </c>
      <c r="BY164" s="40">
        <f t="shared" si="42"/>
        <v>3.84900074019245E-2</v>
      </c>
      <c r="BZ164" t="str">
        <f t="shared" si="43"/>
        <v>OK</v>
      </c>
      <c r="CA164">
        <f t="shared" si="44"/>
        <v>1</v>
      </c>
    </row>
    <row r="165" spans="1:80" x14ac:dyDescent="0.25">
      <c r="A165" s="35">
        <v>45887</v>
      </c>
      <c r="B165" s="36">
        <v>1.2258</v>
      </c>
      <c r="C165" t="s">
        <v>119</v>
      </c>
      <c r="D165" t="s">
        <v>6</v>
      </c>
      <c r="E165" t="s">
        <v>147</v>
      </c>
      <c r="F165" t="s">
        <v>175</v>
      </c>
      <c r="G165">
        <v>651</v>
      </c>
      <c r="H165">
        <v>2140110669</v>
      </c>
      <c r="I165" t="s">
        <v>177</v>
      </c>
      <c r="J165" s="37">
        <v>2425</v>
      </c>
      <c r="K165" s="37"/>
      <c r="M165">
        <v>712</v>
      </c>
      <c r="N165">
        <v>17.978173999999569</v>
      </c>
      <c r="O165">
        <v>5</v>
      </c>
      <c r="P165">
        <v>8</v>
      </c>
      <c r="Q165">
        <v>12</v>
      </c>
      <c r="T165">
        <v>1</v>
      </c>
      <c r="V165" t="s">
        <v>120</v>
      </c>
      <c r="Y165" s="38">
        <v>0.79166666666666663</v>
      </c>
      <c r="Z165" s="38">
        <v>0.84305555555555556</v>
      </c>
      <c r="AA165" t="s">
        <v>117</v>
      </c>
      <c r="AC165" t="s">
        <v>136</v>
      </c>
      <c r="AF165">
        <v>1.7000000000000001E-2</v>
      </c>
      <c r="AG165">
        <v>5.11E-2</v>
      </c>
      <c r="AQ165">
        <v>2.5499999999999998E-2</v>
      </c>
      <c r="AR165">
        <v>7.6600000000000001E-2</v>
      </c>
      <c r="BI165">
        <v>3.4000000000000002E-2</v>
      </c>
      <c r="BJ165">
        <v>3.4000000000000002E-2</v>
      </c>
      <c r="BK165">
        <f>0</f>
        <v>0</v>
      </c>
      <c r="BL165">
        <f t="shared" si="30"/>
        <v>0.2382</v>
      </c>
      <c r="BM165">
        <f t="shared" si="31"/>
        <v>0</v>
      </c>
      <c r="BN165">
        <f t="shared" si="32"/>
        <v>0</v>
      </c>
      <c r="BO165">
        <f t="shared" si="33"/>
        <v>1</v>
      </c>
      <c r="BP165" s="37">
        <f>IF($F165="","",IFERROR(INDEX(Familias!$C$5:$C$300,MATCH($F165,Familias!$A$5:$A$300,0)),""))</f>
        <v>2370</v>
      </c>
      <c r="BQ165" s="37">
        <f t="shared" si="34"/>
        <v>2425</v>
      </c>
      <c r="BR165" s="36">
        <f t="shared" si="35"/>
        <v>1.2258</v>
      </c>
      <c r="BS165" s="36">
        <f t="shared" si="36"/>
        <v>0.2382</v>
      </c>
      <c r="BT165" s="36">
        <f t="shared" si="37"/>
        <v>0.98760000000000003</v>
      </c>
      <c r="BU165" s="36">
        <f t="shared" si="38"/>
        <v>1.0232000000000001</v>
      </c>
      <c r="BV165" s="39">
        <f t="shared" si="39"/>
        <v>1.0360469825840422</v>
      </c>
      <c r="BW165" s="39">
        <f t="shared" si="40"/>
        <v>1</v>
      </c>
      <c r="BX165" s="40">
        <f t="shared" si="41"/>
        <v>1.8258426966292134E-2</v>
      </c>
      <c r="BY165" s="40">
        <f t="shared" si="42"/>
        <v>1.6853932584269662E-2</v>
      </c>
      <c r="BZ165" t="str">
        <f t="shared" si="43"/>
        <v>OK</v>
      </c>
      <c r="CA165">
        <f t="shared" si="44"/>
        <v>1</v>
      </c>
    </row>
    <row r="166" spans="1:80" x14ac:dyDescent="0.25">
      <c r="A166" s="35">
        <v>45887</v>
      </c>
      <c r="B166" s="36">
        <v>7.6250999999999998</v>
      </c>
      <c r="C166" t="s">
        <v>119</v>
      </c>
      <c r="D166" t="s">
        <v>6</v>
      </c>
      <c r="E166" t="s">
        <v>147</v>
      </c>
      <c r="F166" t="s">
        <v>175</v>
      </c>
      <c r="G166">
        <v>687</v>
      </c>
      <c r="H166">
        <v>2140110670</v>
      </c>
      <c r="I166" t="s">
        <v>178</v>
      </c>
      <c r="J166" s="37">
        <v>15075</v>
      </c>
      <c r="K166" s="37">
        <v>10</v>
      </c>
      <c r="M166">
        <v>4442</v>
      </c>
      <c r="N166">
        <v>111.8353627999973</v>
      </c>
      <c r="O166">
        <v>15</v>
      </c>
      <c r="P166">
        <v>40</v>
      </c>
      <c r="Q166">
        <v>52</v>
      </c>
      <c r="R166">
        <v>30</v>
      </c>
      <c r="T166">
        <v>6</v>
      </c>
      <c r="V166" t="s">
        <v>120</v>
      </c>
      <c r="Y166" s="38">
        <v>0.84305555555555556</v>
      </c>
      <c r="Z166" s="38">
        <v>0.16041666666666671</v>
      </c>
      <c r="AA166" t="s">
        <v>117</v>
      </c>
      <c r="AC166" t="s">
        <v>136</v>
      </c>
      <c r="AF166">
        <v>0.10589999999999999</v>
      </c>
      <c r="AG166">
        <v>0.31769999999999998</v>
      </c>
      <c r="AQ166">
        <v>0.15890000000000001</v>
      </c>
      <c r="AR166">
        <v>0.47660000000000002</v>
      </c>
      <c r="BI166">
        <v>0.21179999999999999</v>
      </c>
      <c r="BJ166">
        <v>0.21179999999999999</v>
      </c>
      <c r="BK166">
        <f>0</f>
        <v>0</v>
      </c>
      <c r="BL166">
        <f t="shared" si="30"/>
        <v>1.4826999999999999</v>
      </c>
      <c r="BM166">
        <f t="shared" si="31"/>
        <v>0</v>
      </c>
      <c r="BN166">
        <f t="shared" si="32"/>
        <v>0</v>
      </c>
      <c r="BO166">
        <f t="shared" si="33"/>
        <v>1</v>
      </c>
      <c r="BP166" s="37">
        <f>IF($F166="","",IFERROR(INDEX(Familias!$C$5:$C$300,MATCH($F166,Familias!$A$5:$A$300,0)),""))</f>
        <v>2370</v>
      </c>
      <c r="BQ166" s="37">
        <f t="shared" si="34"/>
        <v>15085</v>
      </c>
      <c r="BR166" s="36">
        <f t="shared" si="35"/>
        <v>7.6250999999999998</v>
      </c>
      <c r="BS166" s="36">
        <f t="shared" si="36"/>
        <v>1.4826999999999999</v>
      </c>
      <c r="BT166" s="36">
        <f t="shared" si="37"/>
        <v>6.1424000000000003</v>
      </c>
      <c r="BU166" s="36">
        <f t="shared" si="38"/>
        <v>6.3650000000000002</v>
      </c>
      <c r="BV166" s="39">
        <f t="shared" si="39"/>
        <v>1.0362399062255796</v>
      </c>
      <c r="BW166" s="39">
        <f t="shared" si="40"/>
        <v>0.99933708982432878</v>
      </c>
      <c r="BX166" s="40">
        <f t="shared" si="41"/>
        <v>1.9135524538496172E-2</v>
      </c>
      <c r="BY166" s="40">
        <f t="shared" si="42"/>
        <v>1.1706438541197659E-2</v>
      </c>
      <c r="BZ166" t="str">
        <f t="shared" si="43"/>
        <v>OK</v>
      </c>
      <c r="CA166">
        <f t="shared" si="44"/>
        <v>1</v>
      </c>
    </row>
    <row r="167" spans="1:80" x14ac:dyDescent="0.25">
      <c r="A167" s="35">
        <v>45887</v>
      </c>
      <c r="B167" s="36">
        <v>3.1490999999999998</v>
      </c>
      <c r="C167" t="s">
        <v>119</v>
      </c>
      <c r="D167" t="s">
        <v>6</v>
      </c>
      <c r="E167" t="s">
        <v>147</v>
      </c>
      <c r="F167" t="s">
        <v>175</v>
      </c>
      <c r="G167">
        <v>686</v>
      </c>
      <c r="H167">
        <v>2140110667</v>
      </c>
      <c r="I167" t="s">
        <v>179</v>
      </c>
      <c r="J167" s="37">
        <v>6225</v>
      </c>
      <c r="K167" s="37">
        <v>5</v>
      </c>
      <c r="M167">
        <v>1908</v>
      </c>
      <c r="N167">
        <v>46.187226399998899</v>
      </c>
      <c r="O167">
        <v>15</v>
      </c>
      <c r="P167">
        <v>24</v>
      </c>
      <c r="Q167">
        <v>32</v>
      </c>
      <c r="T167">
        <v>3</v>
      </c>
      <c r="V167" t="s">
        <v>120</v>
      </c>
      <c r="Y167" s="38">
        <v>0.16041666666666671</v>
      </c>
      <c r="Z167" s="38">
        <v>0.29166666666666669</v>
      </c>
      <c r="AA167" t="s">
        <v>117</v>
      </c>
      <c r="AC167" t="s">
        <v>136</v>
      </c>
      <c r="AF167">
        <v>4.3700000000000003E-2</v>
      </c>
      <c r="AG167">
        <v>0.13120000000000001</v>
      </c>
      <c r="AQ167">
        <v>6.5600000000000006E-2</v>
      </c>
      <c r="AR167">
        <v>0.1968</v>
      </c>
      <c r="BI167">
        <v>8.7499999999999994E-2</v>
      </c>
      <c r="BJ167">
        <v>8.7499999999999994E-2</v>
      </c>
      <c r="BK167">
        <f>0</f>
        <v>0</v>
      </c>
      <c r="BL167">
        <f t="shared" si="30"/>
        <v>0.61230000000000007</v>
      </c>
      <c r="BM167">
        <f t="shared" si="31"/>
        <v>0</v>
      </c>
      <c r="BN167">
        <f t="shared" si="32"/>
        <v>0</v>
      </c>
      <c r="BO167">
        <f t="shared" si="33"/>
        <v>1</v>
      </c>
      <c r="BP167" s="37">
        <f>IF($F167="","",IFERROR(INDEX(Familias!$C$5:$C$300,MATCH($F167,Familias!$A$5:$A$300,0)),""))</f>
        <v>2370</v>
      </c>
      <c r="BQ167" s="37">
        <f t="shared" si="34"/>
        <v>6230</v>
      </c>
      <c r="BR167" s="36">
        <f t="shared" si="35"/>
        <v>3.1490999999999998</v>
      </c>
      <c r="BS167" s="36">
        <f t="shared" si="36"/>
        <v>0.61229999999999996</v>
      </c>
      <c r="BT167" s="36">
        <f t="shared" si="37"/>
        <v>2.5367999999999999</v>
      </c>
      <c r="BU167" s="36">
        <f t="shared" si="38"/>
        <v>2.6286999999999998</v>
      </c>
      <c r="BV167" s="39">
        <f t="shared" si="39"/>
        <v>1.0362267423525702</v>
      </c>
      <c r="BW167" s="39">
        <f t="shared" si="40"/>
        <v>0.9991974317817014</v>
      </c>
      <c r="BX167" s="40">
        <f t="shared" si="41"/>
        <v>2.0440251572327043E-2</v>
      </c>
      <c r="BY167" s="40">
        <f t="shared" si="42"/>
        <v>1.6771488469601678E-2</v>
      </c>
      <c r="BZ167" t="str">
        <f t="shared" si="43"/>
        <v>OK</v>
      </c>
      <c r="CA167">
        <f t="shared" si="44"/>
        <v>1</v>
      </c>
    </row>
    <row r="168" spans="1:80" x14ac:dyDescent="0.25">
      <c r="A168" s="35">
        <v>45888</v>
      </c>
      <c r="B168" s="36">
        <v>4.5545</v>
      </c>
      <c r="C168" t="s">
        <v>113</v>
      </c>
      <c r="D168" t="s">
        <v>6</v>
      </c>
      <c r="E168" t="s">
        <v>147</v>
      </c>
      <c r="F168" t="s">
        <v>175</v>
      </c>
      <c r="G168">
        <v>686</v>
      </c>
      <c r="H168">
        <v>2140110667</v>
      </c>
      <c r="I168" t="s">
        <v>179</v>
      </c>
      <c r="J168" s="37">
        <v>8825</v>
      </c>
      <c r="K168" s="37">
        <v>5</v>
      </c>
      <c r="M168">
        <v>2593</v>
      </c>
      <c r="N168">
        <v>65.462794399998444</v>
      </c>
      <c r="O168">
        <v>35</v>
      </c>
      <c r="P168">
        <v>16</v>
      </c>
      <c r="Q168">
        <v>25</v>
      </c>
      <c r="T168">
        <v>3</v>
      </c>
      <c r="V168" t="s">
        <v>116</v>
      </c>
      <c r="Y168" s="38">
        <v>0.29166666666666669</v>
      </c>
      <c r="Z168" s="38">
        <v>0.48125000000000001</v>
      </c>
      <c r="AA168" t="s">
        <v>117</v>
      </c>
      <c r="AC168" t="s">
        <v>121</v>
      </c>
      <c r="AD168">
        <v>6.3299999999999995E-2</v>
      </c>
      <c r="AE168">
        <v>0.28470000000000001</v>
      </c>
      <c r="AQ168">
        <v>9.4899999999999998E-2</v>
      </c>
      <c r="AR168">
        <v>0.28470000000000001</v>
      </c>
      <c r="BK168">
        <f>0</f>
        <v>0</v>
      </c>
      <c r="BL168">
        <f t="shared" si="30"/>
        <v>0.72760000000000002</v>
      </c>
      <c r="BM168">
        <f t="shared" si="31"/>
        <v>0</v>
      </c>
      <c r="BN168">
        <f t="shared" si="32"/>
        <v>0</v>
      </c>
      <c r="BO168">
        <f t="shared" si="33"/>
        <v>1</v>
      </c>
      <c r="BP168" s="37">
        <f>IF($F168="","",IFERROR(INDEX(Familias!$C$5:$C$300,MATCH($F168,Familias!$A$5:$A$300,0)),""))</f>
        <v>2370</v>
      </c>
      <c r="BQ168" s="37">
        <f t="shared" si="34"/>
        <v>8830</v>
      </c>
      <c r="BR168" s="36">
        <f t="shared" si="35"/>
        <v>4.5545</v>
      </c>
      <c r="BS168" s="36">
        <f t="shared" si="36"/>
        <v>0.72760000000000002</v>
      </c>
      <c r="BT168" s="36">
        <f t="shared" si="37"/>
        <v>3.8269000000000002</v>
      </c>
      <c r="BU168" s="36">
        <f t="shared" si="38"/>
        <v>3.7256999999999998</v>
      </c>
      <c r="BV168" s="39">
        <f t="shared" si="39"/>
        <v>0.97355561943087088</v>
      </c>
      <c r="BW168" s="39">
        <f t="shared" si="40"/>
        <v>0.99943374858437151</v>
      </c>
      <c r="BX168" s="40">
        <f t="shared" si="41"/>
        <v>1.9668337832626302E-2</v>
      </c>
      <c r="BY168" s="40">
        <f t="shared" si="42"/>
        <v>9.6413420748168149E-3</v>
      </c>
      <c r="BZ168" t="str">
        <f t="shared" si="43"/>
        <v>OK</v>
      </c>
      <c r="CA168">
        <f t="shared" si="44"/>
        <v>1</v>
      </c>
    </row>
    <row r="169" spans="1:80" x14ac:dyDescent="0.25">
      <c r="A169" s="35">
        <v>45888</v>
      </c>
      <c r="B169" s="36">
        <v>7.4455</v>
      </c>
      <c r="C169" t="s">
        <v>113</v>
      </c>
      <c r="D169" t="s">
        <v>6</v>
      </c>
      <c r="E169" t="s">
        <v>147</v>
      </c>
      <c r="F169" t="s">
        <v>175</v>
      </c>
      <c r="G169">
        <v>689</v>
      </c>
      <c r="H169">
        <v>2140110671</v>
      </c>
      <c r="I169" t="s">
        <v>180</v>
      </c>
      <c r="J169" s="37">
        <v>14425</v>
      </c>
      <c r="K169" s="37">
        <v>10</v>
      </c>
      <c r="M169">
        <v>4330</v>
      </c>
      <c r="N169">
        <v>107.01647079999741</v>
      </c>
      <c r="O169">
        <v>45</v>
      </c>
      <c r="P169">
        <v>38</v>
      </c>
      <c r="Q169">
        <v>18</v>
      </c>
      <c r="R169">
        <v>30</v>
      </c>
      <c r="T169">
        <v>6</v>
      </c>
      <c r="V169" t="s">
        <v>116</v>
      </c>
      <c r="Y169" s="38">
        <v>0.48125000000000001</v>
      </c>
      <c r="Z169" s="38">
        <v>0.79166666666666663</v>
      </c>
      <c r="AA169" t="s">
        <v>117</v>
      </c>
      <c r="AC169" t="s">
        <v>121</v>
      </c>
      <c r="AD169">
        <v>0.10340000000000001</v>
      </c>
      <c r="AE169">
        <v>0.46529999999999999</v>
      </c>
      <c r="AQ169">
        <v>0.15509999999999999</v>
      </c>
      <c r="AR169">
        <v>0.46529999999999999</v>
      </c>
      <c r="BK169">
        <f>0</f>
        <v>0</v>
      </c>
      <c r="BL169">
        <f t="shared" si="30"/>
        <v>1.1891</v>
      </c>
      <c r="BM169">
        <f t="shared" si="31"/>
        <v>0</v>
      </c>
      <c r="BN169">
        <f t="shared" si="32"/>
        <v>0</v>
      </c>
      <c r="BO169">
        <f t="shared" si="33"/>
        <v>1</v>
      </c>
      <c r="BP169" s="37">
        <f>IF($F169="","",IFERROR(INDEX(Familias!$C$5:$C$300,MATCH($F169,Familias!$A$5:$A$300,0)),""))</f>
        <v>2370</v>
      </c>
      <c r="BQ169" s="37">
        <f t="shared" si="34"/>
        <v>14435</v>
      </c>
      <c r="BR169" s="36">
        <f t="shared" si="35"/>
        <v>7.4455</v>
      </c>
      <c r="BS169" s="36">
        <f t="shared" si="36"/>
        <v>1.1891</v>
      </c>
      <c r="BT169" s="36">
        <f t="shared" si="37"/>
        <v>6.2564000000000002</v>
      </c>
      <c r="BU169" s="36">
        <f t="shared" si="38"/>
        <v>6.0907</v>
      </c>
      <c r="BV169" s="39">
        <f t="shared" si="39"/>
        <v>0.97351512051659095</v>
      </c>
      <c r="BW169" s="39">
        <f t="shared" si="40"/>
        <v>0.99930723934880494</v>
      </c>
      <c r="BX169" s="40">
        <f t="shared" si="41"/>
        <v>2.6096997690531178E-2</v>
      </c>
      <c r="BY169" s="40">
        <f t="shared" si="42"/>
        <v>4.1570438799076216E-3</v>
      </c>
      <c r="BZ169" t="str">
        <f t="shared" si="43"/>
        <v>OK</v>
      </c>
      <c r="CA169">
        <f t="shared" si="44"/>
        <v>1</v>
      </c>
    </row>
    <row r="170" spans="1:80" x14ac:dyDescent="0.25">
      <c r="A170" s="35">
        <v>45888</v>
      </c>
      <c r="B170" s="36">
        <v>0.40689999999999998</v>
      </c>
      <c r="C170" t="s">
        <v>119</v>
      </c>
      <c r="D170" t="s">
        <v>6</v>
      </c>
      <c r="E170" t="s">
        <v>147</v>
      </c>
      <c r="F170" t="s">
        <v>175</v>
      </c>
      <c r="G170">
        <v>689</v>
      </c>
      <c r="H170">
        <v>2140110671</v>
      </c>
      <c r="I170" t="s">
        <v>180</v>
      </c>
      <c r="J170" s="37">
        <v>625</v>
      </c>
      <c r="K170" s="37"/>
      <c r="M170">
        <v>625</v>
      </c>
      <c r="N170">
        <v>4.6335499999998886</v>
      </c>
      <c r="T170">
        <v>0</v>
      </c>
      <c r="V170" t="s">
        <v>120</v>
      </c>
      <c r="Y170" s="38">
        <v>0.79166666666666663</v>
      </c>
      <c r="Z170" s="38">
        <v>0.80833333333333335</v>
      </c>
      <c r="AA170" t="s">
        <v>117</v>
      </c>
      <c r="AC170" t="s">
        <v>136</v>
      </c>
      <c r="AF170">
        <v>1.1299999999999999E-2</v>
      </c>
      <c r="AG170">
        <v>3.39E-2</v>
      </c>
      <c r="AQ170">
        <v>8.5000000000000006E-3</v>
      </c>
      <c r="AR170">
        <v>2.5399999999999999E-2</v>
      </c>
      <c r="BI170">
        <v>5.7000000000000002E-3</v>
      </c>
      <c r="BJ170">
        <v>8.5000000000000006E-3</v>
      </c>
      <c r="BK170">
        <f>0</f>
        <v>0</v>
      </c>
      <c r="BL170">
        <f t="shared" si="30"/>
        <v>9.3299999999999994E-2</v>
      </c>
      <c r="BM170">
        <f t="shared" si="31"/>
        <v>0</v>
      </c>
      <c r="BN170">
        <f t="shared" si="32"/>
        <v>0</v>
      </c>
      <c r="BO170">
        <f t="shared" si="33"/>
        <v>1</v>
      </c>
      <c r="BP170" s="37">
        <f>IF($F170="","",IFERROR(INDEX(Familias!$C$5:$C$300,MATCH($F170,Familias!$A$5:$A$300,0)),""))</f>
        <v>2370</v>
      </c>
      <c r="BQ170" s="37">
        <f t="shared" si="34"/>
        <v>625</v>
      </c>
      <c r="BR170" s="36">
        <f t="shared" si="35"/>
        <v>0.40689999999999998</v>
      </c>
      <c r="BS170" s="36">
        <f t="shared" si="36"/>
        <v>9.3299999999999994E-2</v>
      </c>
      <c r="BT170" s="36">
        <f t="shared" si="37"/>
        <v>0.31359999999999999</v>
      </c>
      <c r="BU170" s="36">
        <f t="shared" si="38"/>
        <v>0.26369999999999999</v>
      </c>
      <c r="BV170" s="39">
        <f t="shared" si="39"/>
        <v>0.84088010204081631</v>
      </c>
      <c r="BW170" s="39">
        <f t="shared" si="40"/>
        <v>1</v>
      </c>
      <c r="BX170" s="40">
        <f t="shared" si="41"/>
        <v>0</v>
      </c>
      <c r="BY170" s="40">
        <f t="shared" si="42"/>
        <v>0</v>
      </c>
      <c r="BZ170" t="str">
        <f t="shared" si="43"/>
        <v>OK</v>
      </c>
      <c r="CA170">
        <f t="shared" si="44"/>
        <v>1</v>
      </c>
    </row>
    <row r="171" spans="1:80" x14ac:dyDescent="0.25">
      <c r="A171" s="35">
        <v>45888</v>
      </c>
      <c r="B171" s="36">
        <v>9.7711000000000006</v>
      </c>
      <c r="C171" t="s">
        <v>119</v>
      </c>
      <c r="D171" t="s">
        <v>6</v>
      </c>
      <c r="E171" t="s">
        <v>147</v>
      </c>
      <c r="F171" t="s">
        <v>175</v>
      </c>
      <c r="G171">
        <v>688</v>
      </c>
      <c r="H171">
        <v>2140110668</v>
      </c>
      <c r="I171" t="s">
        <v>181</v>
      </c>
      <c r="J171" s="37">
        <v>15000</v>
      </c>
      <c r="K171" s="37">
        <v>10</v>
      </c>
      <c r="M171">
        <v>4447</v>
      </c>
      <c r="N171">
        <v>111.2793367999974</v>
      </c>
      <c r="O171">
        <v>80</v>
      </c>
      <c r="P171">
        <v>48</v>
      </c>
      <c r="Q171">
        <v>74</v>
      </c>
      <c r="T171">
        <v>6</v>
      </c>
      <c r="V171" t="s">
        <v>120</v>
      </c>
      <c r="Y171" s="38">
        <v>0.80833333333333335</v>
      </c>
      <c r="Z171" s="38">
        <v>0.2159722222222222</v>
      </c>
      <c r="AA171" t="s">
        <v>117</v>
      </c>
      <c r="AC171" t="s">
        <v>136</v>
      </c>
      <c r="AF171">
        <v>0.27139999999999997</v>
      </c>
      <c r="AG171">
        <v>0.81430000000000002</v>
      </c>
      <c r="AQ171">
        <v>0.2036</v>
      </c>
      <c r="AR171">
        <v>0.61070000000000002</v>
      </c>
      <c r="BI171">
        <v>0.13569999999999999</v>
      </c>
      <c r="BJ171">
        <v>0.2036</v>
      </c>
      <c r="BK171">
        <f>0</f>
        <v>0</v>
      </c>
      <c r="BL171">
        <f t="shared" si="30"/>
        <v>2.2393000000000001</v>
      </c>
      <c r="BM171">
        <f t="shared" si="31"/>
        <v>0</v>
      </c>
      <c r="BN171">
        <f t="shared" si="32"/>
        <v>0</v>
      </c>
      <c r="BO171">
        <f t="shared" si="33"/>
        <v>1</v>
      </c>
      <c r="BP171" s="37">
        <f>IF($F171="","",IFERROR(INDEX(Familias!$C$5:$C$300,MATCH($F171,Familias!$A$5:$A$300,0)),""))</f>
        <v>2370</v>
      </c>
      <c r="BQ171" s="37">
        <f t="shared" si="34"/>
        <v>15010</v>
      </c>
      <c r="BR171" s="36">
        <f t="shared" si="35"/>
        <v>9.7711000000000006</v>
      </c>
      <c r="BS171" s="36">
        <f t="shared" si="36"/>
        <v>2.2393000000000001</v>
      </c>
      <c r="BT171" s="36">
        <f t="shared" si="37"/>
        <v>7.5317999999999996</v>
      </c>
      <c r="BU171" s="36">
        <f t="shared" si="38"/>
        <v>6.3333000000000004</v>
      </c>
      <c r="BV171" s="39">
        <f t="shared" si="39"/>
        <v>0.84087469130885062</v>
      </c>
      <c r="BW171" s="39">
        <f t="shared" si="40"/>
        <v>0.99933377748167884</v>
      </c>
      <c r="BX171" s="40">
        <f t="shared" si="41"/>
        <v>2.8783449516527997E-2</v>
      </c>
      <c r="BY171" s="40">
        <f t="shared" si="42"/>
        <v>1.6640431751742749E-2</v>
      </c>
      <c r="BZ171" t="str">
        <f t="shared" si="43"/>
        <v>OK</v>
      </c>
      <c r="CA171">
        <f t="shared" si="44"/>
        <v>1</v>
      </c>
    </row>
    <row r="172" spans="1:80" x14ac:dyDescent="0.25">
      <c r="A172" s="35">
        <v>45888</v>
      </c>
      <c r="B172" s="36">
        <v>1.8221000000000001</v>
      </c>
      <c r="C172" t="s">
        <v>119</v>
      </c>
      <c r="D172" t="s">
        <v>6</v>
      </c>
      <c r="E172" t="s">
        <v>126</v>
      </c>
      <c r="F172" t="s">
        <v>149</v>
      </c>
      <c r="G172">
        <v>713</v>
      </c>
      <c r="H172">
        <v>2140110642</v>
      </c>
      <c r="I172" t="s">
        <v>157</v>
      </c>
      <c r="J172" s="37">
        <v>3226</v>
      </c>
      <c r="K172" s="37">
        <v>10</v>
      </c>
      <c r="M172">
        <v>1340</v>
      </c>
      <c r="N172">
        <v>27.988164000000001</v>
      </c>
      <c r="O172">
        <v>50</v>
      </c>
      <c r="P172">
        <v>16</v>
      </c>
      <c r="Q172">
        <v>42</v>
      </c>
      <c r="R172">
        <v>70</v>
      </c>
      <c r="T172">
        <v>2</v>
      </c>
      <c r="V172" t="s">
        <v>120</v>
      </c>
      <c r="Y172" s="38">
        <v>0.2159722222222222</v>
      </c>
      <c r="Z172" s="38">
        <v>0.29166666666666669</v>
      </c>
      <c r="AA172" t="s">
        <v>117</v>
      </c>
      <c r="AC172" t="s">
        <v>136</v>
      </c>
      <c r="AF172">
        <v>5.0599999999999999E-2</v>
      </c>
      <c r="AG172">
        <v>0.15179999999999999</v>
      </c>
      <c r="AQ172">
        <v>3.7999999999999999E-2</v>
      </c>
      <c r="AR172">
        <v>0.1139</v>
      </c>
      <c r="BI172">
        <v>2.53E-2</v>
      </c>
      <c r="BJ172">
        <v>3.7999999999999999E-2</v>
      </c>
      <c r="BK172">
        <f>0</f>
        <v>0</v>
      </c>
      <c r="BL172">
        <f t="shared" si="30"/>
        <v>0.41759999999999997</v>
      </c>
      <c r="BM172">
        <f t="shared" si="31"/>
        <v>0</v>
      </c>
      <c r="BN172">
        <f t="shared" si="32"/>
        <v>0</v>
      </c>
      <c r="BO172">
        <f t="shared" si="33"/>
        <v>1</v>
      </c>
      <c r="BP172" s="37">
        <f>IF($F172="","",IFERROR(INDEX(Familias!$C$5:$C$300,MATCH($F172,Familias!$A$5:$A$300,0)),""))</f>
        <v>2740</v>
      </c>
      <c r="BQ172" s="37">
        <f t="shared" si="34"/>
        <v>3236</v>
      </c>
      <c r="BR172" s="36">
        <f t="shared" si="35"/>
        <v>1.8221000000000001</v>
      </c>
      <c r="BS172" s="36">
        <f t="shared" si="36"/>
        <v>0.41760000000000003</v>
      </c>
      <c r="BT172" s="36">
        <f t="shared" si="37"/>
        <v>1.4045000000000001</v>
      </c>
      <c r="BU172" s="36">
        <f t="shared" si="38"/>
        <v>1.181</v>
      </c>
      <c r="BV172" s="39">
        <f t="shared" si="39"/>
        <v>0.84086863652545385</v>
      </c>
      <c r="BW172" s="39">
        <f t="shared" si="40"/>
        <v>0.99690976514215079</v>
      </c>
      <c r="BX172" s="40">
        <f t="shared" si="41"/>
        <v>0.10149253731343283</v>
      </c>
      <c r="BY172" s="40">
        <f t="shared" si="42"/>
        <v>3.134328358208955E-2</v>
      </c>
      <c r="BZ172" t="str">
        <f t="shared" si="43"/>
        <v>OK</v>
      </c>
      <c r="CA172">
        <f t="shared" si="44"/>
        <v>1</v>
      </c>
    </row>
    <row r="173" spans="1:80" x14ac:dyDescent="0.25">
      <c r="A173" s="35">
        <v>45889</v>
      </c>
      <c r="B173" s="36">
        <v>7.1494999999999997</v>
      </c>
      <c r="C173" t="s">
        <v>113</v>
      </c>
      <c r="D173" t="s">
        <v>6</v>
      </c>
      <c r="E173" t="s">
        <v>126</v>
      </c>
      <c r="F173" t="s">
        <v>149</v>
      </c>
      <c r="G173">
        <v>713</v>
      </c>
      <c r="H173">
        <v>2140110642</v>
      </c>
      <c r="I173" t="s">
        <v>157</v>
      </c>
      <c r="J173" s="37">
        <v>13050</v>
      </c>
      <c r="K173" s="37">
        <v>8</v>
      </c>
      <c r="M173">
        <v>4363</v>
      </c>
      <c r="N173">
        <v>112.938642</v>
      </c>
      <c r="O173">
        <v>45</v>
      </c>
      <c r="P173">
        <v>15</v>
      </c>
      <c r="Q173">
        <v>139</v>
      </c>
      <c r="T173">
        <v>4</v>
      </c>
      <c r="V173" t="s">
        <v>116</v>
      </c>
      <c r="Y173" s="38">
        <v>0.29166666666666669</v>
      </c>
      <c r="Z173" s="38">
        <v>0.58958333333333335</v>
      </c>
      <c r="AA173" t="s">
        <v>117</v>
      </c>
      <c r="AC173" t="s">
        <v>121</v>
      </c>
      <c r="AD173">
        <v>9.9299999999999999E-2</v>
      </c>
      <c r="AQ173">
        <v>0.1489</v>
      </c>
      <c r="AR173">
        <v>0.44679999999999997</v>
      </c>
      <c r="BJ173">
        <v>2.6810999999999998</v>
      </c>
      <c r="BK173">
        <f>0</f>
        <v>0</v>
      </c>
      <c r="BL173">
        <f t="shared" si="30"/>
        <v>3.3760999999999997</v>
      </c>
      <c r="BM173">
        <f t="shared" si="31"/>
        <v>0</v>
      </c>
      <c r="BN173">
        <f t="shared" si="32"/>
        <v>0</v>
      </c>
      <c r="BO173">
        <f t="shared" si="33"/>
        <v>1</v>
      </c>
      <c r="BP173" s="37">
        <f>IF($F173="","",IFERROR(INDEX(Familias!$C$5:$C$300,MATCH($F173,Familias!$A$5:$A$300,0)),""))</f>
        <v>2740</v>
      </c>
      <c r="BQ173" s="37">
        <f t="shared" si="34"/>
        <v>13058</v>
      </c>
      <c r="BR173" s="36">
        <f t="shared" si="35"/>
        <v>7.1494999999999997</v>
      </c>
      <c r="BS173" s="36">
        <f t="shared" si="36"/>
        <v>3.3761000000000001</v>
      </c>
      <c r="BT173" s="36">
        <f t="shared" si="37"/>
        <v>3.7734000000000001</v>
      </c>
      <c r="BU173" s="36">
        <f t="shared" si="38"/>
        <v>4.7656999999999998</v>
      </c>
      <c r="BV173" s="39">
        <f t="shared" si="39"/>
        <v>1.2629723856468966</v>
      </c>
      <c r="BW173" s="39">
        <f t="shared" si="40"/>
        <v>0.99938734875172308</v>
      </c>
      <c r="BX173" s="40">
        <f t="shared" si="41"/>
        <v>1.3752005500802199E-2</v>
      </c>
      <c r="BY173" s="40">
        <f t="shared" si="42"/>
        <v>3.1858812743525096E-2</v>
      </c>
      <c r="BZ173" t="str">
        <f t="shared" si="43"/>
        <v>Revisar rendimiento</v>
      </c>
      <c r="CA173">
        <f t="shared" si="44"/>
        <v>1</v>
      </c>
    </row>
    <row r="174" spans="1:80" x14ac:dyDescent="0.25">
      <c r="A174" s="35">
        <v>45889</v>
      </c>
      <c r="B174" s="36">
        <v>4.8505000000000003</v>
      </c>
      <c r="C174" t="s">
        <v>113</v>
      </c>
      <c r="D174" t="s">
        <v>6</v>
      </c>
      <c r="E174" t="s">
        <v>126</v>
      </c>
      <c r="F174" t="s">
        <v>149</v>
      </c>
      <c r="G174">
        <v>633</v>
      </c>
      <c r="H174">
        <v>2140110616</v>
      </c>
      <c r="I174" t="s">
        <v>182</v>
      </c>
      <c r="J174" s="37">
        <v>8850</v>
      </c>
      <c r="K174" s="37">
        <v>9</v>
      </c>
      <c r="M174">
        <v>3004</v>
      </c>
      <c r="N174">
        <v>76.621491000000006</v>
      </c>
      <c r="O174">
        <v>25</v>
      </c>
      <c r="P174">
        <v>30</v>
      </c>
      <c r="T174">
        <v>4</v>
      </c>
      <c r="V174" t="s">
        <v>116</v>
      </c>
      <c r="Y174" s="38">
        <v>0.58958333333333335</v>
      </c>
      <c r="Z174" s="38">
        <v>0.79166666666666663</v>
      </c>
      <c r="AA174" t="s">
        <v>117</v>
      </c>
      <c r="AC174" t="s">
        <v>121</v>
      </c>
      <c r="AD174">
        <v>6.7400000000000002E-2</v>
      </c>
      <c r="AQ174">
        <v>0.1011</v>
      </c>
      <c r="AR174">
        <v>0.30320000000000003</v>
      </c>
      <c r="BJ174">
        <v>1.8189</v>
      </c>
      <c r="BK174">
        <f>0</f>
        <v>0</v>
      </c>
      <c r="BL174">
        <f t="shared" si="30"/>
        <v>2.2906</v>
      </c>
      <c r="BM174">
        <f t="shared" si="31"/>
        <v>0</v>
      </c>
      <c r="BN174">
        <f t="shared" si="32"/>
        <v>0</v>
      </c>
      <c r="BO174">
        <f t="shared" si="33"/>
        <v>1</v>
      </c>
      <c r="BP174" s="37">
        <f>IF($F174="","",IFERROR(INDEX(Familias!$C$5:$C$300,MATCH($F174,Familias!$A$5:$A$300,0)),""))</f>
        <v>2740</v>
      </c>
      <c r="BQ174" s="37">
        <f t="shared" si="34"/>
        <v>8859</v>
      </c>
      <c r="BR174" s="36">
        <f t="shared" si="35"/>
        <v>4.8505000000000003</v>
      </c>
      <c r="BS174" s="36">
        <f t="shared" si="36"/>
        <v>2.2906</v>
      </c>
      <c r="BT174" s="36">
        <f t="shared" si="37"/>
        <v>2.5598999999999998</v>
      </c>
      <c r="BU174" s="36">
        <f t="shared" si="38"/>
        <v>3.2332000000000001</v>
      </c>
      <c r="BV174" s="39">
        <f t="shared" si="39"/>
        <v>1.2630180866440097</v>
      </c>
      <c r="BW174" s="39">
        <f t="shared" si="40"/>
        <v>0.9989840839823908</v>
      </c>
      <c r="BX174" s="40">
        <f t="shared" si="41"/>
        <v>1.8308921438082555E-2</v>
      </c>
      <c r="BY174" s="40">
        <f t="shared" si="42"/>
        <v>0</v>
      </c>
      <c r="BZ174" t="str">
        <f t="shared" si="43"/>
        <v>Revisar rendimiento</v>
      </c>
      <c r="CA174">
        <f t="shared" si="44"/>
        <v>1</v>
      </c>
    </row>
    <row r="175" spans="1:80" x14ac:dyDescent="0.25">
      <c r="A175" s="35">
        <v>45889</v>
      </c>
      <c r="B175" s="36">
        <v>0.81599999999999995</v>
      </c>
      <c r="C175" t="s">
        <v>119</v>
      </c>
      <c r="D175" t="s">
        <v>6</v>
      </c>
      <c r="E175" t="s">
        <v>126</v>
      </c>
      <c r="F175" t="s">
        <v>149</v>
      </c>
      <c r="G175">
        <v>633</v>
      </c>
      <c r="H175">
        <v>2140110616</v>
      </c>
      <c r="I175" t="s">
        <v>182</v>
      </c>
      <c r="J175" s="37">
        <v>1320</v>
      </c>
      <c r="K175" s="37"/>
      <c r="M175">
        <v>530</v>
      </c>
      <c r="N175">
        <v>11.416679999999999</v>
      </c>
      <c r="P175">
        <v>15</v>
      </c>
      <c r="T175">
        <v>1</v>
      </c>
      <c r="V175" t="s">
        <v>120</v>
      </c>
      <c r="Y175" s="38">
        <v>0.79166666666666663</v>
      </c>
      <c r="Z175" s="38">
        <v>0.8256944444444444</v>
      </c>
      <c r="AA175" t="s">
        <v>117</v>
      </c>
      <c r="AC175" t="s">
        <v>136</v>
      </c>
      <c r="AQ175">
        <v>1.7000000000000001E-2</v>
      </c>
      <c r="AR175">
        <v>5.0999999999999997E-2</v>
      </c>
      <c r="BI175">
        <v>1.7000000000000001E-2</v>
      </c>
      <c r="BJ175">
        <v>9.0700000000000003E-2</v>
      </c>
      <c r="BK175">
        <f>0</f>
        <v>0</v>
      </c>
      <c r="BL175">
        <f t="shared" si="30"/>
        <v>0.17570000000000002</v>
      </c>
      <c r="BM175">
        <f t="shared" si="31"/>
        <v>0</v>
      </c>
      <c r="BN175">
        <f t="shared" si="32"/>
        <v>0</v>
      </c>
      <c r="BO175">
        <f t="shared" si="33"/>
        <v>1</v>
      </c>
      <c r="BP175" s="37">
        <f>IF($F175="","",IFERROR(INDEX(Familias!$C$5:$C$300,MATCH($F175,Familias!$A$5:$A$300,0)),""))</f>
        <v>2740</v>
      </c>
      <c r="BQ175" s="37">
        <f t="shared" si="34"/>
        <v>1320</v>
      </c>
      <c r="BR175" s="36">
        <f t="shared" si="35"/>
        <v>0.81599999999999995</v>
      </c>
      <c r="BS175" s="36">
        <f t="shared" si="36"/>
        <v>0.1757</v>
      </c>
      <c r="BT175" s="36">
        <f t="shared" si="37"/>
        <v>0.64029999999999998</v>
      </c>
      <c r="BU175" s="36">
        <f t="shared" si="38"/>
        <v>0.48180000000000001</v>
      </c>
      <c r="BV175" s="39">
        <f t="shared" si="39"/>
        <v>0.7524597844760269</v>
      </c>
      <c r="BW175" s="39">
        <f t="shared" si="40"/>
        <v>1</v>
      </c>
      <c r="BX175" s="40">
        <f t="shared" si="41"/>
        <v>2.8301886792452831E-2</v>
      </c>
      <c r="BY175" s="40">
        <f t="shared" si="42"/>
        <v>0</v>
      </c>
      <c r="BZ175" t="str">
        <f t="shared" si="43"/>
        <v>OK</v>
      </c>
      <c r="CA175">
        <f t="shared" si="44"/>
        <v>1</v>
      </c>
    </row>
    <row r="176" spans="1:80" x14ac:dyDescent="0.25">
      <c r="A176" s="35">
        <v>45889</v>
      </c>
      <c r="B176" s="36">
        <v>6.1943999999999999</v>
      </c>
      <c r="C176" t="s">
        <v>119</v>
      </c>
      <c r="D176" t="s">
        <v>6</v>
      </c>
      <c r="E176" t="s">
        <v>126</v>
      </c>
      <c r="F176" t="s">
        <v>149</v>
      </c>
      <c r="G176">
        <v>712</v>
      </c>
      <c r="H176">
        <v>2140110660</v>
      </c>
      <c r="I176" t="s">
        <v>155</v>
      </c>
      <c r="J176" s="37">
        <v>10000</v>
      </c>
      <c r="K176" s="37">
        <v>20</v>
      </c>
      <c r="M176">
        <v>3495</v>
      </c>
      <c r="N176">
        <v>86.662980000000005</v>
      </c>
      <c r="O176">
        <v>50</v>
      </c>
      <c r="P176">
        <v>24</v>
      </c>
      <c r="Q176">
        <v>54</v>
      </c>
      <c r="T176">
        <v>4</v>
      </c>
      <c r="V176" t="s">
        <v>120</v>
      </c>
      <c r="Y176" s="38">
        <v>0.8256944444444444</v>
      </c>
      <c r="Z176" s="38">
        <v>8.4027777777777785E-2</v>
      </c>
      <c r="AA176" t="s">
        <v>117</v>
      </c>
      <c r="AC176" t="s">
        <v>136</v>
      </c>
      <c r="AQ176">
        <v>0.12909999999999999</v>
      </c>
      <c r="AR176">
        <v>0.38719999999999999</v>
      </c>
      <c r="BI176">
        <v>0.12909999999999999</v>
      </c>
      <c r="BJ176">
        <v>0.68830000000000002</v>
      </c>
      <c r="BK176">
        <f>0</f>
        <v>0</v>
      </c>
      <c r="BL176">
        <f t="shared" si="30"/>
        <v>1.3336999999999999</v>
      </c>
      <c r="BM176">
        <f t="shared" si="31"/>
        <v>0</v>
      </c>
      <c r="BN176">
        <f t="shared" si="32"/>
        <v>0</v>
      </c>
      <c r="BO176">
        <f t="shared" si="33"/>
        <v>1</v>
      </c>
      <c r="BP176" s="37">
        <f>IF($F176="","",IFERROR(INDEX(Familias!$C$5:$C$300,MATCH($F176,Familias!$A$5:$A$300,0)),""))</f>
        <v>2740</v>
      </c>
      <c r="BQ176" s="37">
        <f t="shared" si="34"/>
        <v>10020</v>
      </c>
      <c r="BR176" s="36">
        <f t="shared" si="35"/>
        <v>6.1943999999999999</v>
      </c>
      <c r="BS176" s="36">
        <f t="shared" si="36"/>
        <v>1.3337000000000001</v>
      </c>
      <c r="BT176" s="36">
        <f t="shared" si="37"/>
        <v>4.8606999999999996</v>
      </c>
      <c r="BU176" s="36">
        <f t="shared" si="38"/>
        <v>3.6568999999999998</v>
      </c>
      <c r="BV176" s="39">
        <f t="shared" si="39"/>
        <v>0.75234019791388074</v>
      </c>
      <c r="BW176" s="39">
        <f t="shared" si="40"/>
        <v>0.99800399201596801</v>
      </c>
      <c r="BX176" s="40">
        <f t="shared" si="41"/>
        <v>2.1173104434907011E-2</v>
      </c>
      <c r="BY176" s="40">
        <f t="shared" si="42"/>
        <v>1.5450643776824034E-2</v>
      </c>
      <c r="BZ176" t="str">
        <f t="shared" si="43"/>
        <v>OK</v>
      </c>
      <c r="CA176">
        <f t="shared" si="44"/>
        <v>1</v>
      </c>
    </row>
    <row r="177" spans="1:80" x14ac:dyDescent="0.25">
      <c r="A177" s="35">
        <v>45889</v>
      </c>
      <c r="B177" s="36">
        <v>4.9894999999999996</v>
      </c>
      <c r="C177" t="s">
        <v>119</v>
      </c>
      <c r="D177" t="s">
        <v>6</v>
      </c>
      <c r="E177" t="s">
        <v>126</v>
      </c>
      <c r="F177" t="s">
        <v>149</v>
      </c>
      <c r="G177">
        <v>715</v>
      </c>
      <c r="H177">
        <v>2140110655</v>
      </c>
      <c r="I177" t="s">
        <v>183</v>
      </c>
      <c r="J177" s="37">
        <v>8061</v>
      </c>
      <c r="K177" s="37">
        <v>10</v>
      </c>
      <c r="M177">
        <v>2913</v>
      </c>
      <c r="N177">
        <v>69.806078999999997</v>
      </c>
      <c r="O177">
        <v>50</v>
      </c>
      <c r="P177">
        <v>32</v>
      </c>
      <c r="Q177">
        <v>62</v>
      </c>
      <c r="V177" t="s">
        <v>120</v>
      </c>
      <c r="Y177" s="38">
        <v>8.4027777777777785E-2</v>
      </c>
      <c r="Z177" s="38">
        <v>0.29166666666666669</v>
      </c>
      <c r="AA177" t="s">
        <v>117</v>
      </c>
      <c r="AC177" t="s">
        <v>136</v>
      </c>
      <c r="AQ177">
        <v>0.10390000000000001</v>
      </c>
      <c r="AR177">
        <v>0.31180000000000002</v>
      </c>
      <c r="BI177">
        <v>0.10390000000000001</v>
      </c>
      <c r="BJ177">
        <v>0.5544</v>
      </c>
      <c r="BK177">
        <f>0</f>
        <v>0</v>
      </c>
      <c r="BL177">
        <f t="shared" si="30"/>
        <v>1.0740000000000001</v>
      </c>
      <c r="BM177">
        <f t="shared" si="31"/>
        <v>0</v>
      </c>
      <c r="BN177">
        <f t="shared" si="32"/>
        <v>0</v>
      </c>
      <c r="BO177">
        <f t="shared" si="33"/>
        <v>1</v>
      </c>
      <c r="BP177" s="37">
        <f>IF($F177="","",IFERROR(INDEX(Familias!$C$5:$C$300,MATCH($F177,Familias!$A$5:$A$300,0)),""))</f>
        <v>2740</v>
      </c>
      <c r="BQ177" s="37">
        <f t="shared" si="34"/>
        <v>8071</v>
      </c>
      <c r="BR177" s="36">
        <f t="shared" si="35"/>
        <v>4.9894999999999996</v>
      </c>
      <c r="BS177" s="36">
        <f t="shared" si="36"/>
        <v>1.0740000000000001</v>
      </c>
      <c r="BT177" s="36">
        <f t="shared" si="37"/>
        <v>3.9155000000000002</v>
      </c>
      <c r="BU177" s="36">
        <f t="shared" si="38"/>
        <v>2.9456000000000002</v>
      </c>
      <c r="BV177" s="39">
        <f t="shared" si="39"/>
        <v>0.75229217213638111</v>
      </c>
      <c r="BW177" s="39">
        <f t="shared" si="40"/>
        <v>0.99876099615908809</v>
      </c>
      <c r="BX177" s="40">
        <f t="shared" si="41"/>
        <v>2.8149673875729489E-2</v>
      </c>
      <c r="BY177" s="40">
        <f t="shared" si="42"/>
        <v>2.1283899759697907E-2</v>
      </c>
      <c r="BZ177" t="str">
        <f t="shared" si="43"/>
        <v>OK</v>
      </c>
      <c r="CA177">
        <f t="shared" si="44"/>
        <v>1</v>
      </c>
    </row>
    <row r="178" spans="1:80" x14ac:dyDescent="0.25">
      <c r="A178" s="35">
        <v>45890</v>
      </c>
      <c r="B178" s="36">
        <v>2.5352999999999999</v>
      </c>
      <c r="C178" t="s">
        <v>113</v>
      </c>
      <c r="D178" t="s">
        <v>6</v>
      </c>
      <c r="E178" t="s">
        <v>126</v>
      </c>
      <c r="F178" t="s">
        <v>149</v>
      </c>
      <c r="G178">
        <v>715</v>
      </c>
      <c r="H178">
        <v>2140110655</v>
      </c>
      <c r="I178" t="s">
        <v>183</v>
      </c>
      <c r="J178" s="37">
        <v>3450</v>
      </c>
      <c r="K178" s="37">
        <v>5</v>
      </c>
      <c r="M178">
        <v>1156</v>
      </c>
      <c r="N178">
        <v>29.882294999999999</v>
      </c>
      <c r="O178">
        <v>6</v>
      </c>
      <c r="P178">
        <v>7</v>
      </c>
      <c r="T178">
        <v>1</v>
      </c>
      <c r="V178" t="s">
        <v>116</v>
      </c>
      <c r="Y178" s="38">
        <v>0.29166666666666669</v>
      </c>
      <c r="Z178" s="38">
        <v>0.3972222222222222</v>
      </c>
      <c r="AA178" t="s">
        <v>117</v>
      </c>
      <c r="AC178" t="s">
        <v>136</v>
      </c>
      <c r="AD178">
        <v>5.28E-2</v>
      </c>
      <c r="AE178">
        <v>8.7999999999999995E-2</v>
      </c>
      <c r="AF178">
        <v>0.1585</v>
      </c>
      <c r="AQ178">
        <v>5.28E-2</v>
      </c>
      <c r="AR178">
        <v>0.1585</v>
      </c>
      <c r="AW178">
        <v>0.2641</v>
      </c>
      <c r="BJ178">
        <v>0.21129999999999999</v>
      </c>
      <c r="BK178">
        <f>0</f>
        <v>0</v>
      </c>
      <c r="BL178">
        <f t="shared" si="30"/>
        <v>0.98599999999999999</v>
      </c>
      <c r="BM178">
        <f t="shared" si="31"/>
        <v>0</v>
      </c>
      <c r="BN178">
        <f t="shared" si="32"/>
        <v>0</v>
      </c>
      <c r="BO178">
        <f t="shared" si="33"/>
        <v>1</v>
      </c>
      <c r="BP178" s="37">
        <f>IF($F178="","",IFERROR(INDEX(Familias!$C$5:$C$300,MATCH($F178,Familias!$A$5:$A$300,0)),""))</f>
        <v>2740</v>
      </c>
      <c r="BQ178" s="37">
        <f t="shared" si="34"/>
        <v>3455</v>
      </c>
      <c r="BR178" s="36">
        <f t="shared" si="35"/>
        <v>2.5352999999999999</v>
      </c>
      <c r="BS178" s="36">
        <f t="shared" si="36"/>
        <v>0.98599999999999999</v>
      </c>
      <c r="BT178" s="36">
        <f t="shared" si="37"/>
        <v>1.5492999999999999</v>
      </c>
      <c r="BU178" s="36">
        <f t="shared" si="38"/>
        <v>1.2608999999999999</v>
      </c>
      <c r="BV178" s="39">
        <f t="shared" si="39"/>
        <v>0.8138514167688633</v>
      </c>
      <c r="BW178" s="39">
        <f t="shared" si="40"/>
        <v>0.9985528219971056</v>
      </c>
      <c r="BX178" s="40">
        <f t="shared" si="41"/>
        <v>1.124567474048443E-2</v>
      </c>
      <c r="BY178" s="40">
        <f t="shared" si="42"/>
        <v>0</v>
      </c>
      <c r="BZ178" t="str">
        <f t="shared" si="43"/>
        <v>OK</v>
      </c>
      <c r="CA178">
        <f t="shared" si="44"/>
        <v>1</v>
      </c>
    </row>
    <row r="179" spans="1:80" x14ac:dyDescent="0.25">
      <c r="A179" s="35">
        <v>45890</v>
      </c>
      <c r="B179" s="36">
        <v>4.2561</v>
      </c>
      <c r="C179" t="s">
        <v>113</v>
      </c>
      <c r="D179" t="s">
        <v>6</v>
      </c>
      <c r="E179" t="s">
        <v>126</v>
      </c>
      <c r="F179" t="s">
        <v>149</v>
      </c>
      <c r="G179">
        <v>652</v>
      </c>
      <c r="H179">
        <v>2140110652</v>
      </c>
      <c r="I179" t="s">
        <v>174</v>
      </c>
      <c r="J179" s="37">
        <v>5800</v>
      </c>
      <c r="K179" s="37"/>
      <c r="M179">
        <v>1996</v>
      </c>
      <c r="N179">
        <v>50.164200000000001</v>
      </c>
      <c r="O179">
        <v>40</v>
      </c>
      <c r="P179">
        <v>23</v>
      </c>
      <c r="T179">
        <v>3</v>
      </c>
      <c r="V179" t="s">
        <v>116</v>
      </c>
      <c r="Y179" s="38">
        <v>0.3972222222222222</v>
      </c>
      <c r="Z179" s="38">
        <v>0.57430555555555551</v>
      </c>
      <c r="AA179" t="s">
        <v>117</v>
      </c>
      <c r="AC179" t="s">
        <v>136</v>
      </c>
      <c r="AD179">
        <v>8.8700000000000001E-2</v>
      </c>
      <c r="AE179">
        <v>0.14779999999999999</v>
      </c>
      <c r="AF179">
        <v>0.26600000000000001</v>
      </c>
      <c r="AQ179">
        <v>8.8700000000000001E-2</v>
      </c>
      <c r="AR179">
        <v>0.26600000000000001</v>
      </c>
      <c r="AW179">
        <v>0.44330000000000003</v>
      </c>
      <c r="BJ179">
        <v>0.35470000000000002</v>
      </c>
      <c r="BK179">
        <f>0</f>
        <v>0</v>
      </c>
      <c r="BL179">
        <f t="shared" si="30"/>
        <v>1.6552</v>
      </c>
      <c r="BM179">
        <f t="shared" si="31"/>
        <v>0</v>
      </c>
      <c r="BN179">
        <f t="shared" si="32"/>
        <v>0</v>
      </c>
      <c r="BO179">
        <f t="shared" si="33"/>
        <v>1</v>
      </c>
      <c r="BP179" s="37">
        <f>IF($F179="","",IFERROR(INDEX(Familias!$C$5:$C$300,MATCH($F179,Familias!$A$5:$A$300,0)),""))</f>
        <v>2740</v>
      </c>
      <c r="BQ179" s="37">
        <f t="shared" si="34"/>
        <v>5800</v>
      </c>
      <c r="BR179" s="36">
        <f t="shared" si="35"/>
        <v>4.2561</v>
      </c>
      <c r="BS179" s="36">
        <f t="shared" si="36"/>
        <v>1.6552</v>
      </c>
      <c r="BT179" s="36">
        <f t="shared" si="37"/>
        <v>2.6009000000000002</v>
      </c>
      <c r="BU179" s="36">
        <f t="shared" si="38"/>
        <v>2.1168</v>
      </c>
      <c r="BV179" s="39">
        <f t="shared" si="39"/>
        <v>0.81387212118881924</v>
      </c>
      <c r="BW179" s="39">
        <f t="shared" si="40"/>
        <v>1</v>
      </c>
      <c r="BX179" s="40">
        <f t="shared" si="41"/>
        <v>3.1563126252505007E-2</v>
      </c>
      <c r="BY179" s="40">
        <f t="shared" si="42"/>
        <v>0</v>
      </c>
      <c r="BZ179" t="str">
        <f t="shared" si="43"/>
        <v>OK</v>
      </c>
      <c r="CA179">
        <f t="shared" si="44"/>
        <v>1</v>
      </c>
    </row>
    <row r="180" spans="1:80" x14ac:dyDescent="0.25">
      <c r="A180" s="35">
        <v>45890</v>
      </c>
      <c r="B180" s="36">
        <v>5.2085999999999997</v>
      </c>
      <c r="C180" t="s">
        <v>113</v>
      </c>
      <c r="D180" t="s">
        <v>6</v>
      </c>
      <c r="E180" t="s">
        <v>126</v>
      </c>
      <c r="F180" t="s">
        <v>133</v>
      </c>
      <c r="G180">
        <v>692</v>
      </c>
      <c r="H180">
        <v>2140110604</v>
      </c>
      <c r="I180" t="s">
        <v>139</v>
      </c>
      <c r="J180" s="37">
        <v>6000</v>
      </c>
      <c r="K180" s="37">
        <v>10</v>
      </c>
      <c r="M180">
        <v>2280</v>
      </c>
      <c r="N180">
        <v>51.980490000000003</v>
      </c>
      <c r="O180">
        <v>30</v>
      </c>
      <c r="P180">
        <v>7</v>
      </c>
      <c r="Q180">
        <v>115</v>
      </c>
      <c r="R180">
        <v>149</v>
      </c>
      <c r="V180" t="s">
        <v>116</v>
      </c>
      <c r="Y180" s="38">
        <v>0.57430555555555551</v>
      </c>
      <c r="Z180" s="38">
        <v>0.79166666666666663</v>
      </c>
      <c r="AA180" t="s">
        <v>117</v>
      </c>
      <c r="AC180" t="s">
        <v>136</v>
      </c>
      <c r="AD180">
        <v>0.1085</v>
      </c>
      <c r="AE180">
        <v>0.18090000000000001</v>
      </c>
      <c r="AF180">
        <v>0.32550000000000001</v>
      </c>
      <c r="AQ180">
        <v>0.1085</v>
      </c>
      <c r="AR180">
        <v>0.32550000000000001</v>
      </c>
      <c r="AW180">
        <v>0.54259999999999997</v>
      </c>
      <c r="BJ180">
        <v>0.434</v>
      </c>
      <c r="BK180">
        <f>0</f>
        <v>0</v>
      </c>
      <c r="BL180">
        <f t="shared" si="30"/>
        <v>2.0255000000000001</v>
      </c>
      <c r="BM180">
        <f t="shared" si="31"/>
        <v>0</v>
      </c>
      <c r="BN180">
        <f t="shared" si="32"/>
        <v>0</v>
      </c>
      <c r="BO180">
        <f t="shared" si="33"/>
        <v>1</v>
      </c>
      <c r="BP180" s="37">
        <f>IF($F180="","",IFERROR(INDEX(Familias!$C$5:$C$300,MATCH($F180,Familias!$A$5:$A$300,0)),""))</f>
        <v>2320</v>
      </c>
      <c r="BQ180" s="37">
        <f t="shared" si="34"/>
        <v>6010</v>
      </c>
      <c r="BR180" s="36">
        <f t="shared" si="35"/>
        <v>5.2085999999999997</v>
      </c>
      <c r="BS180" s="36">
        <f t="shared" si="36"/>
        <v>2.0255000000000001</v>
      </c>
      <c r="BT180" s="36">
        <f t="shared" si="37"/>
        <v>3.1831</v>
      </c>
      <c r="BU180" s="36">
        <f t="shared" si="38"/>
        <v>2.5905</v>
      </c>
      <c r="BV180" s="39">
        <f t="shared" si="39"/>
        <v>0.81382928591624515</v>
      </c>
      <c r="BW180" s="39">
        <f t="shared" si="40"/>
        <v>0.99833610648918469</v>
      </c>
      <c r="BX180" s="40">
        <f t="shared" si="41"/>
        <v>8.1578947368421056E-2</v>
      </c>
      <c r="BY180" s="40">
        <f t="shared" si="42"/>
        <v>5.0438596491228067E-2</v>
      </c>
      <c r="BZ180" t="str">
        <f t="shared" si="43"/>
        <v>OK</v>
      </c>
      <c r="CA180">
        <f t="shared" si="44"/>
        <v>1</v>
      </c>
    </row>
    <row r="181" spans="1:80" x14ac:dyDescent="0.25">
      <c r="A181" s="35">
        <v>45890</v>
      </c>
      <c r="B181" s="36">
        <v>12</v>
      </c>
      <c r="C181" t="s">
        <v>119</v>
      </c>
      <c r="D181" t="s">
        <v>6</v>
      </c>
      <c r="E181" t="s">
        <v>126</v>
      </c>
      <c r="F181" t="s">
        <v>133</v>
      </c>
      <c r="G181">
        <v>692</v>
      </c>
      <c r="H181">
        <v>2140110604</v>
      </c>
      <c r="I181" t="s">
        <v>139</v>
      </c>
      <c r="J181" s="37">
        <v>24300</v>
      </c>
      <c r="K181" s="37">
        <v>15</v>
      </c>
      <c r="M181">
        <v>8426</v>
      </c>
      <c r="N181">
        <v>210.30043499999999</v>
      </c>
      <c r="O181">
        <v>38</v>
      </c>
      <c r="P181">
        <v>80</v>
      </c>
      <c r="Q181">
        <v>211</v>
      </c>
      <c r="T181">
        <v>10</v>
      </c>
      <c r="V181" t="s">
        <v>120</v>
      </c>
      <c r="Y181" s="38">
        <v>0.79166666666666663</v>
      </c>
      <c r="Z181" s="38">
        <v>0.29166666666666669</v>
      </c>
      <c r="AA181" t="s">
        <v>117</v>
      </c>
      <c r="AC181" t="s">
        <v>118</v>
      </c>
      <c r="AQ181">
        <v>0.25</v>
      </c>
      <c r="AR181">
        <v>0.75</v>
      </c>
      <c r="BI181">
        <v>0.5</v>
      </c>
      <c r="BK181">
        <f>0</f>
        <v>0</v>
      </c>
      <c r="BL181">
        <f t="shared" si="30"/>
        <v>1.5</v>
      </c>
      <c r="BM181">
        <f t="shared" si="31"/>
        <v>0</v>
      </c>
      <c r="BN181">
        <f t="shared" si="32"/>
        <v>0</v>
      </c>
      <c r="BO181">
        <f t="shared" si="33"/>
        <v>1</v>
      </c>
      <c r="BP181" s="37">
        <f>IF($F181="","",IFERROR(INDEX(Familias!$C$5:$C$300,MATCH($F181,Familias!$A$5:$A$300,0)),""))</f>
        <v>2320</v>
      </c>
      <c r="BQ181" s="37">
        <f t="shared" si="34"/>
        <v>24315</v>
      </c>
      <c r="BR181" s="36">
        <f t="shared" si="35"/>
        <v>12</v>
      </c>
      <c r="BS181" s="36">
        <f t="shared" si="36"/>
        <v>1.5</v>
      </c>
      <c r="BT181" s="36">
        <f t="shared" si="37"/>
        <v>10.5</v>
      </c>
      <c r="BU181" s="36">
        <f t="shared" si="38"/>
        <v>10.480600000000001</v>
      </c>
      <c r="BV181" s="39">
        <f t="shared" si="39"/>
        <v>0.99815238095238101</v>
      </c>
      <c r="BW181" s="39">
        <f t="shared" si="40"/>
        <v>0.99938309685379401</v>
      </c>
      <c r="BX181" s="40">
        <f t="shared" si="41"/>
        <v>1.4004272489912177E-2</v>
      </c>
      <c r="BY181" s="40">
        <f t="shared" si="42"/>
        <v>2.5041538096368384E-2</v>
      </c>
      <c r="BZ181" t="str">
        <f t="shared" si="43"/>
        <v>OK</v>
      </c>
      <c r="CA181">
        <f t="shared" si="44"/>
        <v>1</v>
      </c>
    </row>
    <row r="182" spans="1:80" x14ac:dyDescent="0.25">
      <c r="A182" s="35">
        <v>45891</v>
      </c>
      <c r="B182" s="36">
        <v>12</v>
      </c>
      <c r="C182" t="s">
        <v>113</v>
      </c>
      <c r="D182" t="s">
        <v>6</v>
      </c>
      <c r="E182" t="s">
        <v>126</v>
      </c>
      <c r="F182" t="s">
        <v>133</v>
      </c>
      <c r="G182">
        <v>692</v>
      </c>
      <c r="H182">
        <v>2140110604</v>
      </c>
      <c r="I182" t="s">
        <v>139</v>
      </c>
      <c r="J182" s="37">
        <v>23150</v>
      </c>
      <c r="K182" s="37">
        <v>15</v>
      </c>
      <c r="M182">
        <v>8733</v>
      </c>
      <c r="N182">
        <v>200.354085</v>
      </c>
      <c r="O182">
        <v>200</v>
      </c>
      <c r="P182">
        <v>44</v>
      </c>
      <c r="Q182">
        <v>703</v>
      </c>
      <c r="T182">
        <v>11</v>
      </c>
      <c r="V182" t="s">
        <v>116</v>
      </c>
      <c r="Y182" s="38">
        <v>0.29166666666666669</v>
      </c>
      <c r="Z182" s="38">
        <v>0.79166666666666663</v>
      </c>
      <c r="AA182" t="s">
        <v>117</v>
      </c>
      <c r="AC182" t="s">
        <v>118</v>
      </c>
      <c r="AQ182">
        <v>0.25</v>
      </c>
      <c r="AR182">
        <v>0.75</v>
      </c>
      <c r="BE182">
        <v>0.33329999999999999</v>
      </c>
      <c r="BI182">
        <v>0.5</v>
      </c>
      <c r="BK182">
        <f>0</f>
        <v>0</v>
      </c>
      <c r="BL182">
        <f t="shared" si="30"/>
        <v>1.8332999999999999</v>
      </c>
      <c r="BM182">
        <f t="shared" si="31"/>
        <v>0</v>
      </c>
      <c r="BN182">
        <f t="shared" si="32"/>
        <v>0</v>
      </c>
      <c r="BO182">
        <f t="shared" si="33"/>
        <v>1</v>
      </c>
      <c r="BP182" s="37">
        <f>IF($F182="","",IFERROR(INDEX(Familias!$C$5:$C$300,MATCH($F182,Familias!$A$5:$A$300,0)),""))</f>
        <v>2320</v>
      </c>
      <c r="BQ182" s="37">
        <f t="shared" si="34"/>
        <v>23165</v>
      </c>
      <c r="BR182" s="36">
        <f t="shared" si="35"/>
        <v>12</v>
      </c>
      <c r="BS182" s="36">
        <f t="shared" si="36"/>
        <v>1.8332999999999999</v>
      </c>
      <c r="BT182" s="36">
        <f t="shared" si="37"/>
        <v>10.166700000000001</v>
      </c>
      <c r="BU182" s="36">
        <f t="shared" si="38"/>
        <v>9.9848999999999997</v>
      </c>
      <c r="BV182" s="39">
        <f t="shared" si="39"/>
        <v>0.98211809141609363</v>
      </c>
      <c r="BW182" s="39">
        <f t="shared" si="40"/>
        <v>0.99935247140082017</v>
      </c>
      <c r="BX182" s="40">
        <f t="shared" si="41"/>
        <v>2.7939997709836253E-2</v>
      </c>
      <c r="BY182" s="40">
        <f t="shared" si="42"/>
        <v>8.0499255696782318E-2</v>
      </c>
      <c r="BZ182" t="str">
        <f t="shared" si="43"/>
        <v>OK</v>
      </c>
      <c r="CA182">
        <f t="shared" si="44"/>
        <v>1</v>
      </c>
    </row>
    <row r="183" spans="1:80" x14ac:dyDescent="0.25">
      <c r="A183" s="35">
        <v>45891</v>
      </c>
      <c r="B183" s="36">
        <v>12</v>
      </c>
      <c r="C183" t="s">
        <v>119</v>
      </c>
      <c r="D183" t="s">
        <v>6</v>
      </c>
      <c r="E183" t="s">
        <v>126</v>
      </c>
      <c r="F183" t="s">
        <v>133</v>
      </c>
      <c r="G183">
        <v>692</v>
      </c>
      <c r="H183">
        <v>2140110604</v>
      </c>
      <c r="I183" t="s">
        <v>139</v>
      </c>
      <c r="J183" s="37">
        <v>24200</v>
      </c>
      <c r="K183" s="37">
        <v>15</v>
      </c>
      <c r="M183">
        <v>8555</v>
      </c>
      <c r="N183">
        <v>209.43553499999999</v>
      </c>
      <c r="O183">
        <v>170</v>
      </c>
      <c r="P183">
        <v>88</v>
      </c>
      <c r="Q183">
        <v>116</v>
      </c>
      <c r="V183" t="s">
        <v>120</v>
      </c>
      <c r="Y183" s="38">
        <v>0.79166666666666663</v>
      </c>
      <c r="Z183" s="38">
        <v>0.29166666666666669</v>
      </c>
      <c r="AA183" t="s">
        <v>117</v>
      </c>
      <c r="AC183" t="s">
        <v>118</v>
      </c>
      <c r="AQ183">
        <v>0.25</v>
      </c>
      <c r="AR183">
        <v>0.75</v>
      </c>
      <c r="BI183">
        <v>0.5</v>
      </c>
      <c r="BK183">
        <f>0</f>
        <v>0</v>
      </c>
      <c r="BL183">
        <f t="shared" si="30"/>
        <v>1.5</v>
      </c>
      <c r="BM183">
        <f t="shared" si="31"/>
        <v>0</v>
      </c>
      <c r="BN183">
        <f t="shared" si="32"/>
        <v>0</v>
      </c>
      <c r="BO183">
        <f t="shared" si="33"/>
        <v>1</v>
      </c>
      <c r="BP183" s="37">
        <f>IF($F183="","",IFERROR(INDEX(Familias!$C$5:$C$300,MATCH($F183,Familias!$A$5:$A$300,0)),""))</f>
        <v>2320</v>
      </c>
      <c r="BQ183" s="37">
        <f t="shared" si="34"/>
        <v>24215</v>
      </c>
      <c r="BR183" s="36">
        <f t="shared" si="35"/>
        <v>12</v>
      </c>
      <c r="BS183" s="36">
        <f t="shared" si="36"/>
        <v>1.5</v>
      </c>
      <c r="BT183" s="36">
        <f t="shared" si="37"/>
        <v>10.5</v>
      </c>
      <c r="BU183" s="36">
        <f t="shared" si="38"/>
        <v>10.4375</v>
      </c>
      <c r="BV183" s="39">
        <f t="shared" si="39"/>
        <v>0.99404761904761907</v>
      </c>
      <c r="BW183" s="39">
        <f t="shared" si="40"/>
        <v>0.9993805492463349</v>
      </c>
      <c r="BX183" s="40">
        <f t="shared" si="41"/>
        <v>3.0157802454704851E-2</v>
      </c>
      <c r="BY183" s="40">
        <f t="shared" si="42"/>
        <v>1.3559322033898305E-2</v>
      </c>
      <c r="BZ183" t="str">
        <f t="shared" si="43"/>
        <v>OK</v>
      </c>
      <c r="CA183">
        <f t="shared" si="44"/>
        <v>1</v>
      </c>
    </row>
    <row r="184" spans="1:80" x14ac:dyDescent="0.25">
      <c r="A184" s="35">
        <v>45892</v>
      </c>
      <c r="B184" s="36">
        <v>8.5998000000000001</v>
      </c>
      <c r="C184" t="s">
        <v>113</v>
      </c>
      <c r="D184" t="s">
        <v>6</v>
      </c>
      <c r="E184" t="s">
        <v>126</v>
      </c>
      <c r="F184" t="s">
        <v>133</v>
      </c>
      <c r="G184">
        <v>692</v>
      </c>
      <c r="H184">
        <v>2140110604</v>
      </c>
      <c r="I184" t="s">
        <v>139</v>
      </c>
      <c r="J184" s="37">
        <v>16425</v>
      </c>
      <c r="K184" s="37">
        <v>15</v>
      </c>
      <c r="M184">
        <v>5759</v>
      </c>
      <c r="N184">
        <v>142.18956</v>
      </c>
      <c r="O184">
        <v>155</v>
      </c>
      <c r="P184">
        <v>48</v>
      </c>
      <c r="Q184">
        <v>20</v>
      </c>
      <c r="T184">
        <v>7</v>
      </c>
      <c r="V184" t="s">
        <v>116</v>
      </c>
      <c r="Y184" s="38">
        <v>0.29166666666666669</v>
      </c>
      <c r="Z184" s="38">
        <v>0.65</v>
      </c>
      <c r="AA184" t="s">
        <v>117</v>
      </c>
      <c r="AC184" t="s">
        <v>121</v>
      </c>
      <c r="AE184">
        <v>0.59719999999999995</v>
      </c>
      <c r="AQ184">
        <v>0.1792</v>
      </c>
      <c r="AR184">
        <v>0.53749999999999998</v>
      </c>
      <c r="BI184">
        <v>0.35830000000000001</v>
      </c>
      <c r="BK184">
        <f>0</f>
        <v>0</v>
      </c>
      <c r="BL184">
        <f t="shared" si="30"/>
        <v>1.6721999999999999</v>
      </c>
      <c r="BM184">
        <f t="shared" si="31"/>
        <v>0</v>
      </c>
      <c r="BN184">
        <f t="shared" si="32"/>
        <v>0</v>
      </c>
      <c r="BO184">
        <f t="shared" si="33"/>
        <v>1</v>
      </c>
      <c r="BP184" s="37">
        <f>IF($F184="","",IFERROR(INDEX(Familias!$C$5:$C$300,MATCH($F184,Familias!$A$5:$A$300,0)),""))</f>
        <v>2320</v>
      </c>
      <c r="BQ184" s="37">
        <f t="shared" si="34"/>
        <v>16440</v>
      </c>
      <c r="BR184" s="36">
        <f t="shared" si="35"/>
        <v>8.5998000000000001</v>
      </c>
      <c r="BS184" s="36">
        <f t="shared" si="36"/>
        <v>1.6721999999999999</v>
      </c>
      <c r="BT184" s="36">
        <f t="shared" si="37"/>
        <v>6.9276</v>
      </c>
      <c r="BU184" s="36">
        <f t="shared" si="38"/>
        <v>7.0861999999999998</v>
      </c>
      <c r="BV184" s="39">
        <f t="shared" si="39"/>
        <v>1.0228939315202956</v>
      </c>
      <c r="BW184" s="39">
        <f t="shared" si="40"/>
        <v>0.99908759124087587</v>
      </c>
      <c r="BX184" s="40">
        <f t="shared" si="41"/>
        <v>3.5249175204028475E-2</v>
      </c>
      <c r="BY184" s="40">
        <f t="shared" si="42"/>
        <v>3.4728251432540372E-3</v>
      </c>
      <c r="BZ184" t="str">
        <f t="shared" si="43"/>
        <v>OK</v>
      </c>
      <c r="CA184">
        <f t="shared" si="44"/>
        <v>1</v>
      </c>
    </row>
    <row r="185" spans="1:80" x14ac:dyDescent="0.25">
      <c r="A185" s="35">
        <v>45892</v>
      </c>
      <c r="B185" s="36">
        <v>3.4001999999999999</v>
      </c>
      <c r="C185" t="s">
        <v>113</v>
      </c>
      <c r="D185" t="s">
        <v>6</v>
      </c>
      <c r="E185" t="s">
        <v>126</v>
      </c>
      <c r="F185" t="s">
        <v>133</v>
      </c>
      <c r="G185">
        <v>697</v>
      </c>
      <c r="H185">
        <v>2140110605</v>
      </c>
      <c r="I185" t="s">
        <v>140</v>
      </c>
      <c r="J185" s="37">
        <v>6475</v>
      </c>
      <c r="K185" s="37">
        <v>25</v>
      </c>
      <c r="M185">
        <v>2260</v>
      </c>
      <c r="N185">
        <v>56.218500000000013</v>
      </c>
      <c r="O185">
        <v>25</v>
      </c>
      <c r="P185">
        <v>16</v>
      </c>
      <c r="R185">
        <v>30</v>
      </c>
      <c r="T185">
        <v>3</v>
      </c>
      <c r="V185" t="s">
        <v>116</v>
      </c>
      <c r="Y185" s="38">
        <v>0.65</v>
      </c>
      <c r="Z185" s="38">
        <v>0.79166666666666663</v>
      </c>
      <c r="AA185" t="s">
        <v>117</v>
      </c>
      <c r="AC185" t="s">
        <v>121</v>
      </c>
      <c r="AE185">
        <v>0.2361</v>
      </c>
      <c r="AQ185">
        <v>7.0800000000000002E-2</v>
      </c>
      <c r="AR185">
        <v>0.21249999999999999</v>
      </c>
      <c r="BI185">
        <v>0.14169999999999999</v>
      </c>
      <c r="BK185">
        <f>0</f>
        <v>0</v>
      </c>
      <c r="BL185">
        <f t="shared" si="30"/>
        <v>0.66110000000000002</v>
      </c>
      <c r="BM185">
        <f t="shared" si="31"/>
        <v>0</v>
      </c>
      <c r="BN185">
        <f t="shared" si="32"/>
        <v>0</v>
      </c>
      <c r="BO185">
        <f t="shared" si="33"/>
        <v>1</v>
      </c>
      <c r="BP185" s="37">
        <f>IF($F185="","",IFERROR(INDEX(Familias!$C$5:$C$300,MATCH($F185,Familias!$A$5:$A$300,0)),""))</f>
        <v>2320</v>
      </c>
      <c r="BQ185" s="37">
        <f t="shared" si="34"/>
        <v>6500</v>
      </c>
      <c r="BR185" s="36">
        <f t="shared" si="35"/>
        <v>3.4001999999999999</v>
      </c>
      <c r="BS185" s="36">
        <f t="shared" si="36"/>
        <v>0.66110000000000002</v>
      </c>
      <c r="BT185" s="36">
        <f t="shared" si="37"/>
        <v>2.7391000000000001</v>
      </c>
      <c r="BU185" s="36">
        <f t="shared" si="38"/>
        <v>2.8016999999999999</v>
      </c>
      <c r="BV185" s="39">
        <f t="shared" si="39"/>
        <v>1.0228542221897703</v>
      </c>
      <c r="BW185" s="39">
        <f t="shared" si="40"/>
        <v>0.99615384615384617</v>
      </c>
      <c r="BX185" s="40">
        <f t="shared" si="41"/>
        <v>3.1415929203539826E-2</v>
      </c>
      <c r="BY185" s="40">
        <f t="shared" si="42"/>
        <v>0</v>
      </c>
      <c r="BZ185" t="str">
        <f t="shared" si="43"/>
        <v>OK</v>
      </c>
      <c r="CA185">
        <f t="shared" si="44"/>
        <v>1</v>
      </c>
    </row>
    <row r="186" spans="1:80" x14ac:dyDescent="0.25">
      <c r="A186" s="35">
        <v>45892</v>
      </c>
      <c r="B186" s="36">
        <v>12</v>
      </c>
      <c r="C186" t="s">
        <v>119</v>
      </c>
      <c r="D186" t="s">
        <v>6</v>
      </c>
      <c r="E186" t="s">
        <v>126</v>
      </c>
      <c r="F186" t="s">
        <v>133</v>
      </c>
      <c r="G186">
        <v>697</v>
      </c>
      <c r="H186">
        <v>2140110605</v>
      </c>
      <c r="I186" t="s">
        <v>140</v>
      </c>
      <c r="J186" s="37">
        <v>16650</v>
      </c>
      <c r="K186" s="37">
        <v>8</v>
      </c>
      <c r="M186">
        <v>5792</v>
      </c>
      <c r="N186">
        <v>144.075042</v>
      </c>
      <c r="O186">
        <v>70</v>
      </c>
      <c r="P186">
        <v>56</v>
      </c>
      <c r="Q186">
        <v>40</v>
      </c>
      <c r="T186">
        <v>7</v>
      </c>
      <c r="V186" t="s">
        <v>120</v>
      </c>
      <c r="Y186" s="38">
        <v>0.79166666666666663</v>
      </c>
      <c r="Z186" s="38">
        <v>0.29166666666666669</v>
      </c>
      <c r="AA186" t="s">
        <v>117</v>
      </c>
      <c r="AC186" t="s">
        <v>118</v>
      </c>
      <c r="AQ186">
        <v>0.25</v>
      </c>
      <c r="AR186">
        <v>0.75</v>
      </c>
      <c r="AW186">
        <v>0.5</v>
      </c>
      <c r="BI186">
        <v>0.5</v>
      </c>
      <c r="BK186">
        <f>0</f>
        <v>0</v>
      </c>
      <c r="BL186">
        <f t="shared" si="30"/>
        <v>2</v>
      </c>
      <c r="BM186">
        <f t="shared" si="31"/>
        <v>0</v>
      </c>
      <c r="BN186">
        <f t="shared" si="32"/>
        <v>0</v>
      </c>
      <c r="BO186">
        <f t="shared" si="33"/>
        <v>1</v>
      </c>
      <c r="BP186" s="37">
        <f>IF($F186="","",IFERROR(INDEX(Familias!$C$5:$C$300,MATCH($F186,Familias!$A$5:$A$300,0)),""))</f>
        <v>2320</v>
      </c>
      <c r="BQ186" s="37">
        <f t="shared" si="34"/>
        <v>16658</v>
      </c>
      <c r="BR186" s="36">
        <f t="shared" si="35"/>
        <v>12</v>
      </c>
      <c r="BS186" s="36">
        <f t="shared" si="36"/>
        <v>2</v>
      </c>
      <c r="BT186" s="36">
        <f t="shared" si="37"/>
        <v>10</v>
      </c>
      <c r="BU186" s="36">
        <f t="shared" si="38"/>
        <v>7.1802000000000001</v>
      </c>
      <c r="BV186" s="39">
        <f t="shared" si="39"/>
        <v>0.71801999999999999</v>
      </c>
      <c r="BW186" s="39">
        <f t="shared" si="40"/>
        <v>0.99951975027014051</v>
      </c>
      <c r="BX186" s="40">
        <f t="shared" si="41"/>
        <v>2.175414364640884E-2</v>
      </c>
      <c r="BY186" s="40">
        <f t="shared" si="42"/>
        <v>6.9060773480662981E-3</v>
      </c>
      <c r="BZ186" t="str">
        <f t="shared" si="43"/>
        <v>OK</v>
      </c>
      <c r="CA186">
        <f t="shared" si="44"/>
        <v>1</v>
      </c>
    </row>
    <row r="187" spans="1:80" x14ac:dyDescent="0.25">
      <c r="A187" s="35">
        <v>45894</v>
      </c>
      <c r="B187" s="36">
        <v>6.673</v>
      </c>
      <c r="C187" t="s">
        <v>113</v>
      </c>
      <c r="D187" t="s">
        <v>6</v>
      </c>
      <c r="E187" t="s">
        <v>126</v>
      </c>
      <c r="F187" t="s">
        <v>133</v>
      </c>
      <c r="G187">
        <v>697</v>
      </c>
      <c r="H187">
        <v>2140110605</v>
      </c>
      <c r="I187" t="s">
        <v>140</v>
      </c>
      <c r="J187" s="37">
        <v>6775</v>
      </c>
      <c r="K187" s="37">
        <v>2</v>
      </c>
      <c r="M187">
        <v>3</v>
      </c>
      <c r="N187">
        <v>58.614272999999997</v>
      </c>
      <c r="O187">
        <v>50</v>
      </c>
      <c r="P187">
        <v>24</v>
      </c>
      <c r="Q187">
        <v>22</v>
      </c>
      <c r="V187" t="s">
        <v>120</v>
      </c>
      <c r="Y187" s="38">
        <v>0.29166666666666669</v>
      </c>
      <c r="Z187" s="38">
        <v>0.56944444444444442</v>
      </c>
      <c r="AA187" t="s">
        <v>117</v>
      </c>
      <c r="AC187" t="s">
        <v>121</v>
      </c>
      <c r="AE187">
        <v>1.6682999999999999</v>
      </c>
      <c r="AQ187">
        <v>0.13900000000000001</v>
      </c>
      <c r="AR187">
        <v>0.41710000000000003</v>
      </c>
      <c r="BI187">
        <v>0.55610000000000004</v>
      </c>
      <c r="BJ187">
        <v>0.97309999999999997</v>
      </c>
      <c r="BK187">
        <f>0</f>
        <v>0</v>
      </c>
      <c r="BL187">
        <f t="shared" si="30"/>
        <v>3.7536</v>
      </c>
      <c r="BM187">
        <f t="shared" si="31"/>
        <v>0</v>
      </c>
      <c r="BN187">
        <f t="shared" si="32"/>
        <v>0</v>
      </c>
      <c r="BO187">
        <f t="shared" si="33"/>
        <v>1</v>
      </c>
      <c r="BP187" s="37">
        <f>IF($F187="","",IFERROR(INDEX(Familias!$C$5:$C$300,MATCH($F187,Familias!$A$5:$A$300,0)),""))</f>
        <v>2320</v>
      </c>
      <c r="BQ187" s="37">
        <f t="shared" si="34"/>
        <v>6777</v>
      </c>
      <c r="BR187" s="36">
        <f t="shared" si="35"/>
        <v>6.673</v>
      </c>
      <c r="BS187" s="36">
        <f t="shared" si="36"/>
        <v>3.7536</v>
      </c>
      <c r="BT187" s="36">
        <f t="shared" si="37"/>
        <v>2.9194</v>
      </c>
      <c r="BU187" s="36">
        <f t="shared" si="38"/>
        <v>2.9211</v>
      </c>
      <c r="BV187" s="39">
        <f t="shared" si="39"/>
        <v>1.0005823114338563</v>
      </c>
      <c r="BW187" s="39">
        <f t="shared" si="40"/>
        <v>0.99970488416703551</v>
      </c>
      <c r="BX187" s="40">
        <f t="shared" si="41"/>
        <v>24.666666666666668</v>
      </c>
      <c r="BY187" s="40">
        <f t="shared" si="42"/>
        <v>7.333333333333333</v>
      </c>
      <c r="BZ187" t="str">
        <f t="shared" si="43"/>
        <v>OK</v>
      </c>
      <c r="CA187">
        <f t="shared" si="44"/>
        <v>1</v>
      </c>
    </row>
    <row r="188" spans="1:80" x14ac:dyDescent="0.25">
      <c r="A188" s="35">
        <v>45894</v>
      </c>
      <c r="B188" s="36">
        <v>5.327</v>
      </c>
      <c r="C188" t="s">
        <v>113</v>
      </c>
      <c r="D188" t="s">
        <v>6</v>
      </c>
      <c r="E188" t="s">
        <v>126</v>
      </c>
      <c r="F188" t="s">
        <v>133</v>
      </c>
      <c r="G188">
        <v>797</v>
      </c>
      <c r="H188">
        <v>2140110606</v>
      </c>
      <c r="I188" t="s">
        <v>141</v>
      </c>
      <c r="J188" s="37">
        <v>5350</v>
      </c>
      <c r="K188" s="37">
        <v>60</v>
      </c>
      <c r="M188">
        <v>2522</v>
      </c>
      <c r="N188">
        <v>46.791089999999997</v>
      </c>
      <c r="O188">
        <v>200</v>
      </c>
      <c r="P188">
        <v>303</v>
      </c>
      <c r="R188">
        <v>130</v>
      </c>
      <c r="T188">
        <v>3</v>
      </c>
      <c r="V188" t="s">
        <v>120</v>
      </c>
      <c r="Y188" s="38">
        <v>0.56944444444444442</v>
      </c>
      <c r="Z188" s="38">
        <v>0.79166666666666663</v>
      </c>
      <c r="AA188" t="s">
        <v>117</v>
      </c>
      <c r="AC188" t="s">
        <v>121</v>
      </c>
      <c r="AE188">
        <v>1.3317000000000001</v>
      </c>
      <c r="AQ188">
        <v>0.111</v>
      </c>
      <c r="AR188">
        <v>0.33289999999999997</v>
      </c>
      <c r="BI188">
        <v>0.44390000000000002</v>
      </c>
      <c r="BJ188">
        <v>0.77690000000000003</v>
      </c>
      <c r="BK188">
        <f>0</f>
        <v>0</v>
      </c>
      <c r="BL188">
        <f t="shared" si="30"/>
        <v>2.9964</v>
      </c>
      <c r="BM188">
        <f t="shared" si="31"/>
        <v>0</v>
      </c>
      <c r="BN188">
        <f t="shared" si="32"/>
        <v>0</v>
      </c>
      <c r="BO188">
        <f t="shared" si="33"/>
        <v>1</v>
      </c>
      <c r="BP188" s="37">
        <f>IF($F188="","",IFERROR(INDEX(Familias!$C$5:$C$300,MATCH($F188,Familias!$A$5:$A$300,0)),""))</f>
        <v>2320</v>
      </c>
      <c r="BQ188" s="37">
        <f t="shared" si="34"/>
        <v>5410</v>
      </c>
      <c r="BR188" s="36">
        <f t="shared" si="35"/>
        <v>5.327</v>
      </c>
      <c r="BS188" s="36">
        <f t="shared" si="36"/>
        <v>2.9964</v>
      </c>
      <c r="BT188" s="36">
        <f t="shared" si="37"/>
        <v>2.3306</v>
      </c>
      <c r="BU188" s="36">
        <f t="shared" si="38"/>
        <v>2.3319000000000001</v>
      </c>
      <c r="BV188" s="39">
        <f t="shared" si="39"/>
        <v>1.0005577962756371</v>
      </c>
      <c r="BW188" s="39">
        <f t="shared" si="40"/>
        <v>0.98890942698706097</v>
      </c>
      <c r="BX188" s="40">
        <f t="shared" si="41"/>
        <v>0.25099127676447264</v>
      </c>
      <c r="BY188" s="40">
        <f t="shared" si="42"/>
        <v>0</v>
      </c>
      <c r="BZ188" t="str">
        <f t="shared" si="43"/>
        <v>OK</v>
      </c>
      <c r="CA188">
        <f t="shared" si="44"/>
        <v>1</v>
      </c>
    </row>
    <row r="189" spans="1:80" x14ac:dyDescent="0.25">
      <c r="A189" s="35">
        <v>45894</v>
      </c>
      <c r="B189" s="36">
        <v>12</v>
      </c>
      <c r="C189" t="s">
        <v>119</v>
      </c>
      <c r="D189" t="s">
        <v>6</v>
      </c>
      <c r="E189" t="s">
        <v>126</v>
      </c>
      <c r="F189" t="s">
        <v>133</v>
      </c>
      <c r="G189">
        <v>797</v>
      </c>
      <c r="H189">
        <v>2140110606</v>
      </c>
      <c r="I189" t="s">
        <v>141</v>
      </c>
      <c r="J189" s="37">
        <v>20675</v>
      </c>
      <c r="K189" s="37">
        <v>15</v>
      </c>
      <c r="M189">
        <v>7581</v>
      </c>
      <c r="N189">
        <v>178.94781</v>
      </c>
      <c r="O189">
        <v>100</v>
      </c>
      <c r="P189">
        <v>42</v>
      </c>
      <c r="Q189">
        <v>435</v>
      </c>
      <c r="T189">
        <v>10</v>
      </c>
      <c r="V189" t="s">
        <v>116</v>
      </c>
      <c r="Y189" s="38">
        <v>0.79166666666666663</v>
      </c>
      <c r="Z189" s="38">
        <v>0.29166666666666669</v>
      </c>
      <c r="AA189" t="s">
        <v>117</v>
      </c>
      <c r="AC189" t="s">
        <v>118</v>
      </c>
      <c r="AD189">
        <v>0.16669999999999999</v>
      </c>
      <c r="AJ189">
        <v>0.5</v>
      </c>
      <c r="AQ189">
        <v>0.25</v>
      </c>
      <c r="AR189">
        <v>0.75</v>
      </c>
      <c r="BK189">
        <f>0</f>
        <v>0</v>
      </c>
      <c r="BL189">
        <f t="shared" si="30"/>
        <v>1.6667000000000001</v>
      </c>
      <c r="BM189">
        <f t="shared" si="31"/>
        <v>0</v>
      </c>
      <c r="BN189">
        <f t="shared" si="32"/>
        <v>0</v>
      </c>
      <c r="BO189">
        <f t="shared" si="33"/>
        <v>1</v>
      </c>
      <c r="BP189" s="37">
        <f>IF($F189="","",IFERROR(INDEX(Familias!$C$5:$C$300,MATCH($F189,Familias!$A$5:$A$300,0)),""))</f>
        <v>2320</v>
      </c>
      <c r="BQ189" s="37">
        <f t="shared" si="34"/>
        <v>20690</v>
      </c>
      <c r="BR189" s="36">
        <f t="shared" si="35"/>
        <v>12</v>
      </c>
      <c r="BS189" s="36">
        <f t="shared" si="36"/>
        <v>1.6667000000000001</v>
      </c>
      <c r="BT189" s="36">
        <f t="shared" si="37"/>
        <v>10.333299999999999</v>
      </c>
      <c r="BU189" s="36">
        <f t="shared" si="38"/>
        <v>8.9181000000000008</v>
      </c>
      <c r="BV189" s="39">
        <f t="shared" si="39"/>
        <v>0.86304471949909523</v>
      </c>
      <c r="BW189" s="39">
        <f t="shared" si="40"/>
        <v>0.99927501208313196</v>
      </c>
      <c r="BX189" s="40">
        <f t="shared" si="41"/>
        <v>1.8731038121619838E-2</v>
      </c>
      <c r="BY189" s="40">
        <f t="shared" si="42"/>
        <v>5.7380292837356552E-2</v>
      </c>
      <c r="BZ189" t="str">
        <f t="shared" si="43"/>
        <v>OK</v>
      </c>
      <c r="CA189">
        <f t="shared" si="44"/>
        <v>1</v>
      </c>
    </row>
    <row r="190" spans="1:80" x14ac:dyDescent="0.25">
      <c r="A190" s="35">
        <v>45895</v>
      </c>
      <c r="B190" s="36">
        <v>12</v>
      </c>
      <c r="C190" t="s">
        <v>113</v>
      </c>
      <c r="D190" t="s">
        <v>6</v>
      </c>
      <c r="E190" t="s">
        <v>126</v>
      </c>
      <c r="F190" t="s">
        <v>133</v>
      </c>
      <c r="G190">
        <v>797</v>
      </c>
      <c r="H190">
        <v>2140110606</v>
      </c>
      <c r="I190" t="s">
        <v>141</v>
      </c>
      <c r="J190" s="37">
        <v>20775</v>
      </c>
      <c r="K190" s="37">
        <v>15</v>
      </c>
      <c r="M190">
        <v>7417</v>
      </c>
      <c r="N190">
        <v>179.81271000000001</v>
      </c>
      <c r="O190">
        <v>70</v>
      </c>
      <c r="P190">
        <v>72</v>
      </c>
      <c r="Q190">
        <v>250</v>
      </c>
      <c r="T190">
        <v>9</v>
      </c>
      <c r="V190" t="s">
        <v>120</v>
      </c>
      <c r="Y190" s="38">
        <v>0.29166666666666669</v>
      </c>
      <c r="Z190" s="38">
        <v>0.79166666666666663</v>
      </c>
      <c r="AA190" t="s">
        <v>117</v>
      </c>
      <c r="AC190" t="s">
        <v>118</v>
      </c>
      <c r="AQ190">
        <v>0.25</v>
      </c>
      <c r="BI190">
        <v>0.25</v>
      </c>
      <c r="BJ190">
        <v>1.8332999999999999</v>
      </c>
      <c r="BK190">
        <f>0</f>
        <v>0</v>
      </c>
      <c r="BL190">
        <f t="shared" si="30"/>
        <v>2.3332999999999999</v>
      </c>
      <c r="BM190">
        <f t="shared" si="31"/>
        <v>0</v>
      </c>
      <c r="BN190">
        <f t="shared" si="32"/>
        <v>0</v>
      </c>
      <c r="BO190">
        <f t="shared" si="33"/>
        <v>1</v>
      </c>
      <c r="BP190" s="37">
        <f>IF($F190="","",IFERROR(INDEX(Familias!$C$5:$C$300,MATCH($F190,Familias!$A$5:$A$300,0)),""))</f>
        <v>2320</v>
      </c>
      <c r="BQ190" s="37">
        <f t="shared" si="34"/>
        <v>20790</v>
      </c>
      <c r="BR190" s="36">
        <f t="shared" si="35"/>
        <v>12</v>
      </c>
      <c r="BS190" s="36">
        <f t="shared" si="36"/>
        <v>2.3332999999999999</v>
      </c>
      <c r="BT190" s="36">
        <f t="shared" si="37"/>
        <v>9.6667000000000005</v>
      </c>
      <c r="BU190" s="36">
        <f t="shared" si="38"/>
        <v>8.9611999999999998</v>
      </c>
      <c r="BV190" s="39">
        <f t="shared" si="39"/>
        <v>0.92701749304312742</v>
      </c>
      <c r="BW190" s="39">
        <f t="shared" si="40"/>
        <v>0.99927849927849932</v>
      </c>
      <c r="BX190" s="40">
        <f t="shared" si="41"/>
        <v>1.9145206956990696E-2</v>
      </c>
      <c r="BY190" s="40">
        <f t="shared" si="42"/>
        <v>3.3706350276392072E-2</v>
      </c>
      <c r="BZ190" t="str">
        <f t="shared" si="43"/>
        <v>OK</v>
      </c>
      <c r="CA190">
        <f t="shared" si="44"/>
        <v>1</v>
      </c>
    </row>
    <row r="191" spans="1:80" x14ac:dyDescent="0.25">
      <c r="A191" s="35">
        <v>45895</v>
      </c>
      <c r="B191" s="36">
        <v>0.81179999999999997</v>
      </c>
      <c r="C191" t="s">
        <v>119</v>
      </c>
      <c r="D191" t="s">
        <v>6</v>
      </c>
      <c r="E191" t="s">
        <v>126</v>
      </c>
      <c r="F191" t="s">
        <v>133</v>
      </c>
      <c r="G191">
        <v>797</v>
      </c>
      <c r="H191">
        <v>2140110606</v>
      </c>
      <c r="I191" t="s">
        <v>141</v>
      </c>
      <c r="J191" s="37">
        <v>1525</v>
      </c>
      <c r="K191" s="37">
        <v>10</v>
      </c>
      <c r="M191">
        <v>395</v>
      </c>
      <c r="N191">
        <v>13.276215000000001</v>
      </c>
      <c r="T191">
        <v>0</v>
      </c>
      <c r="V191" t="s">
        <v>116</v>
      </c>
      <c r="Y191" s="38">
        <v>0.79166666666666663</v>
      </c>
      <c r="Z191" s="38">
        <v>0.8256944444444444</v>
      </c>
      <c r="AA191" t="s">
        <v>117</v>
      </c>
      <c r="AC191" t="s">
        <v>121</v>
      </c>
      <c r="AD191">
        <v>1.1299999999999999E-2</v>
      </c>
      <c r="AE191">
        <v>5.6399999999999999E-2</v>
      </c>
      <c r="AQ191">
        <v>1.6899999999999998E-2</v>
      </c>
      <c r="AR191">
        <v>5.0700000000000002E-2</v>
      </c>
      <c r="BK191">
        <f>0</f>
        <v>0</v>
      </c>
      <c r="BL191">
        <f t="shared" si="30"/>
        <v>0.1353</v>
      </c>
      <c r="BM191">
        <f t="shared" si="31"/>
        <v>0</v>
      </c>
      <c r="BN191">
        <f t="shared" si="32"/>
        <v>0</v>
      </c>
      <c r="BO191">
        <f t="shared" si="33"/>
        <v>1</v>
      </c>
      <c r="BP191" s="37">
        <f>IF($F191="","",IFERROR(INDEX(Familias!$C$5:$C$300,MATCH($F191,Familias!$A$5:$A$300,0)),""))</f>
        <v>2320</v>
      </c>
      <c r="BQ191" s="37">
        <f t="shared" si="34"/>
        <v>1535</v>
      </c>
      <c r="BR191" s="36">
        <f t="shared" si="35"/>
        <v>0.81179999999999997</v>
      </c>
      <c r="BS191" s="36">
        <f t="shared" si="36"/>
        <v>0.1353</v>
      </c>
      <c r="BT191" s="36">
        <f t="shared" si="37"/>
        <v>0.67649999999999999</v>
      </c>
      <c r="BU191" s="36">
        <f t="shared" si="38"/>
        <v>0.66159999999999997</v>
      </c>
      <c r="BV191" s="39">
        <f t="shared" si="39"/>
        <v>0.97797487065779742</v>
      </c>
      <c r="BW191" s="39">
        <f t="shared" si="40"/>
        <v>0.99348534201954397</v>
      </c>
      <c r="BX191" s="40">
        <f t="shared" si="41"/>
        <v>0</v>
      </c>
      <c r="BY191" s="40">
        <f t="shared" si="42"/>
        <v>0</v>
      </c>
      <c r="BZ191" t="str">
        <f t="shared" si="43"/>
        <v>OK</v>
      </c>
      <c r="CA191">
        <f t="shared" si="44"/>
        <v>1</v>
      </c>
    </row>
    <row r="192" spans="1:80" x14ac:dyDescent="0.25">
      <c r="A192" s="35">
        <v>45895</v>
      </c>
      <c r="B192" s="36">
        <v>11.1882</v>
      </c>
      <c r="C192" t="s">
        <v>119</v>
      </c>
      <c r="D192" t="s">
        <v>6</v>
      </c>
      <c r="E192" t="s">
        <v>147</v>
      </c>
      <c r="F192" t="s">
        <v>147</v>
      </c>
      <c r="G192">
        <v>793</v>
      </c>
      <c r="H192">
        <v>2140110664</v>
      </c>
      <c r="I192" t="s">
        <v>184</v>
      </c>
      <c r="J192" s="37">
        <v>20775</v>
      </c>
      <c r="K192" s="37">
        <v>15</v>
      </c>
      <c r="M192">
        <v>6643</v>
      </c>
      <c r="N192">
        <v>154.13040719999631</v>
      </c>
      <c r="O192">
        <v>100</v>
      </c>
      <c r="P192">
        <v>70</v>
      </c>
      <c r="Q192">
        <v>468</v>
      </c>
      <c r="T192">
        <v>9</v>
      </c>
      <c r="V192" t="s">
        <v>116</v>
      </c>
      <c r="Y192" s="38">
        <v>0.8256944444444444</v>
      </c>
      <c r="Z192" s="38">
        <v>0.29166666666666669</v>
      </c>
      <c r="AA192" t="s">
        <v>117</v>
      </c>
      <c r="AC192" t="s">
        <v>121</v>
      </c>
      <c r="AD192">
        <v>0.15540000000000001</v>
      </c>
      <c r="AE192">
        <v>0.77700000000000002</v>
      </c>
      <c r="AQ192">
        <v>0.2331</v>
      </c>
      <c r="AR192">
        <v>0.69930000000000003</v>
      </c>
      <c r="BK192">
        <f>0</f>
        <v>0</v>
      </c>
      <c r="BL192">
        <f t="shared" si="30"/>
        <v>1.8648</v>
      </c>
      <c r="BM192">
        <f t="shared" si="31"/>
        <v>0</v>
      </c>
      <c r="BN192">
        <f t="shared" si="32"/>
        <v>0</v>
      </c>
      <c r="BO192">
        <f t="shared" si="33"/>
        <v>1</v>
      </c>
      <c r="BP192" s="37">
        <f>IF($F192="","",IFERROR(INDEX(Familias!$C$5:$C$300,MATCH($F192,Familias!$A$5:$A$300,0)),""))</f>
        <v>2280</v>
      </c>
      <c r="BQ192" s="37">
        <f t="shared" si="34"/>
        <v>20790</v>
      </c>
      <c r="BR192" s="36">
        <f t="shared" si="35"/>
        <v>11.1882</v>
      </c>
      <c r="BS192" s="36">
        <f t="shared" si="36"/>
        <v>1.8648</v>
      </c>
      <c r="BT192" s="36">
        <f t="shared" si="37"/>
        <v>9.3233999999999995</v>
      </c>
      <c r="BU192" s="36">
        <f t="shared" si="38"/>
        <v>9.1183999999999994</v>
      </c>
      <c r="BV192" s="39">
        <f t="shared" si="39"/>
        <v>0.97801231310466141</v>
      </c>
      <c r="BW192" s="39">
        <f t="shared" si="40"/>
        <v>0.99927849927849932</v>
      </c>
      <c r="BX192" s="40">
        <f t="shared" si="41"/>
        <v>2.5590847508655729E-2</v>
      </c>
      <c r="BY192" s="40">
        <f t="shared" si="42"/>
        <v>7.0450097847358117E-2</v>
      </c>
      <c r="BZ192" t="str">
        <f t="shared" si="43"/>
        <v>OK</v>
      </c>
      <c r="CA192">
        <f t="shared" si="44"/>
        <v>1</v>
      </c>
    </row>
    <row r="193" spans="1:80" x14ac:dyDescent="0.25">
      <c r="A193" s="35">
        <v>45896</v>
      </c>
      <c r="B193" s="36">
        <v>9.7954000000000008</v>
      </c>
      <c r="C193" t="s">
        <v>113</v>
      </c>
      <c r="D193" t="s">
        <v>6</v>
      </c>
      <c r="E193" t="s">
        <v>147</v>
      </c>
      <c r="F193" t="s">
        <v>147</v>
      </c>
      <c r="G193">
        <v>793</v>
      </c>
      <c r="H193">
        <v>2140110664</v>
      </c>
      <c r="I193" t="s">
        <v>184</v>
      </c>
      <c r="J193" s="37">
        <v>19900</v>
      </c>
      <c r="K193" s="37">
        <v>5</v>
      </c>
      <c r="M193">
        <v>5715</v>
      </c>
      <c r="N193">
        <v>147.56930039999651</v>
      </c>
      <c r="T193">
        <v>7</v>
      </c>
      <c r="V193" t="s">
        <v>120</v>
      </c>
      <c r="Y193" s="38">
        <v>0.29166666666666669</v>
      </c>
      <c r="Z193" s="38">
        <v>0.7</v>
      </c>
      <c r="AA193" t="s">
        <v>117</v>
      </c>
      <c r="AC193" t="s">
        <v>121</v>
      </c>
      <c r="AF193">
        <v>0.2041</v>
      </c>
      <c r="AG193">
        <v>0.40810000000000002</v>
      </c>
      <c r="AQ193">
        <v>0.2041</v>
      </c>
      <c r="BI193">
        <v>0.2041</v>
      </c>
      <c r="BK193">
        <f>0</f>
        <v>0</v>
      </c>
      <c r="BL193">
        <f t="shared" si="30"/>
        <v>1.0204</v>
      </c>
      <c r="BM193">
        <f t="shared" si="31"/>
        <v>0</v>
      </c>
      <c r="BN193">
        <f t="shared" si="32"/>
        <v>0</v>
      </c>
      <c r="BO193">
        <f t="shared" si="33"/>
        <v>1</v>
      </c>
      <c r="BP193" s="37">
        <f>IF($F193="","",IFERROR(INDEX(Familias!$C$5:$C$300,MATCH($F193,Familias!$A$5:$A$300,0)),""))</f>
        <v>2280</v>
      </c>
      <c r="BQ193" s="37">
        <f t="shared" si="34"/>
        <v>19905</v>
      </c>
      <c r="BR193" s="36">
        <f t="shared" si="35"/>
        <v>9.7954000000000008</v>
      </c>
      <c r="BS193" s="36">
        <f t="shared" si="36"/>
        <v>1.0204</v>
      </c>
      <c r="BT193" s="36">
        <f t="shared" si="37"/>
        <v>8.7750000000000004</v>
      </c>
      <c r="BU193" s="36">
        <f t="shared" si="38"/>
        <v>8.7302999999999997</v>
      </c>
      <c r="BV193" s="39">
        <f t="shared" si="39"/>
        <v>0.99490598290598287</v>
      </c>
      <c r="BW193" s="39">
        <f t="shared" si="40"/>
        <v>0.99974880683245415</v>
      </c>
      <c r="BX193" s="40">
        <f t="shared" si="41"/>
        <v>0</v>
      </c>
      <c r="BY193" s="40">
        <f t="shared" si="42"/>
        <v>0</v>
      </c>
      <c r="BZ193" t="str">
        <f t="shared" si="43"/>
        <v>OK</v>
      </c>
      <c r="CA193">
        <f t="shared" si="44"/>
        <v>1</v>
      </c>
    </row>
    <row r="194" spans="1:80" x14ac:dyDescent="0.25">
      <c r="A194" s="35">
        <v>45896</v>
      </c>
      <c r="B194" s="36">
        <v>2.2046000000000001</v>
      </c>
      <c r="C194" t="s">
        <v>113</v>
      </c>
      <c r="D194" t="s">
        <v>6</v>
      </c>
      <c r="E194" t="s">
        <v>147</v>
      </c>
      <c r="F194" t="s">
        <v>147</v>
      </c>
      <c r="G194">
        <v>849</v>
      </c>
      <c r="H194">
        <v>2140110665</v>
      </c>
      <c r="I194" t="s">
        <v>185</v>
      </c>
      <c r="J194" s="37">
        <v>4475</v>
      </c>
      <c r="K194" s="37">
        <v>5</v>
      </c>
      <c r="M194">
        <v>1401</v>
      </c>
      <c r="N194">
        <v>33.213286399999213</v>
      </c>
      <c r="O194">
        <v>15</v>
      </c>
      <c r="P194">
        <v>16</v>
      </c>
      <c r="Q194">
        <v>12</v>
      </c>
      <c r="R194">
        <v>20</v>
      </c>
      <c r="T194">
        <v>2</v>
      </c>
      <c r="V194" t="s">
        <v>120</v>
      </c>
      <c r="Y194" s="38">
        <v>0.7</v>
      </c>
      <c r="Z194" s="38">
        <v>0.79166666666666663</v>
      </c>
      <c r="AA194" t="s">
        <v>117</v>
      </c>
      <c r="AC194" t="s">
        <v>121</v>
      </c>
      <c r="AF194">
        <v>4.5900000000000003E-2</v>
      </c>
      <c r="AG194">
        <v>9.1899999999999996E-2</v>
      </c>
      <c r="AQ194">
        <v>4.5900000000000003E-2</v>
      </c>
      <c r="BI194">
        <v>4.5900000000000003E-2</v>
      </c>
      <c r="BK194">
        <f>0</f>
        <v>0</v>
      </c>
      <c r="BL194">
        <f t="shared" ref="BL194:BL257" si="45">N(AD194)+N(AE194)+N(AF194)+N(AG194)+N(AH194)+N(AI194)+N(AJ194)+N(AK194)+N(AL194)+N(AM194)+N(AN194)+N(AO194)+N(AP194)+N(AQ194)+N(AR194)+N(AS194)+N(AT194)+N(AU194)+N(AW194)+N(AX194)+N(AY194)+N(BC194)+N(BE194)+N(BF194)+N(BH194)+N(BI194)+N(BJ194)</f>
        <v>0.2296</v>
      </c>
      <c r="BM194">
        <f t="shared" ref="BM194:BM257" si="46">N(AZ194)+N(BA194)+N(BB194)+N(BD194)</f>
        <v>0</v>
      </c>
      <c r="BN194">
        <f t="shared" ref="BN194:BN257" si="47">N(AV194)+N(BG194)</f>
        <v>0</v>
      </c>
      <c r="BO194">
        <f t="shared" ref="BO194:BO257" si="48">IF($A194="","",IF(WEEKDAY($A194,2)=7,0,1))</f>
        <v>1</v>
      </c>
      <c r="BP194" s="37">
        <f>IF($F194="","",IFERROR(INDEX(Familias!$C$5:$C$300,MATCH($F194,Familias!$A$5:$A$300,0)),""))</f>
        <v>2280</v>
      </c>
      <c r="BQ194" s="37">
        <f t="shared" ref="BQ194:BQ257" si="49">IF(AND($J194="",$K194=""),"",N($J194)+N($K194))</f>
        <v>4480</v>
      </c>
      <c r="BR194" s="36">
        <f t="shared" ref="BR194:BR257" si="50">IF($A194="","",ROUND(N($B194),4))</f>
        <v>2.2046000000000001</v>
      </c>
      <c r="BS194" s="36">
        <f t="shared" ref="BS194:BS257" si="51">IF($A194="","",ROUND(SUM($AD194:$BJ194),4))</f>
        <v>0.2296</v>
      </c>
      <c r="BT194" s="36">
        <f t="shared" ref="BT194:BT257" si="52">IF($A194="","",ROUND(MAX(0,$BR194-$BS194),4))</f>
        <v>1.9750000000000001</v>
      </c>
      <c r="BU194" s="36">
        <f t="shared" ref="BU194:BU257" si="53">IF(OR($BQ194="",$BP194="",N($BP194)=0),"",ROUND($BQ194/$BP194,4))</f>
        <v>1.9649000000000001</v>
      </c>
      <c r="BV194" s="39">
        <f t="shared" ref="BV194:BV257" si="54">IF(OR($BU194="",N($BT194)=0),"",$BU194/$BT194)</f>
        <v>0.99488607594936707</v>
      </c>
      <c r="BW194" s="39">
        <f t="shared" ref="BW194:BW257" si="55">IF(N($BQ194)&gt;0,N($J194)/$BQ194,"")</f>
        <v>0.9988839285714286</v>
      </c>
      <c r="BX194" s="40">
        <f t="shared" ref="BX194:BX257" si="56">IF(N($M194)&gt;0,(N($P194)+N($O194)+N($R194))/$M194,"")</f>
        <v>3.6402569593147749E-2</v>
      </c>
      <c r="BY194" s="40">
        <f t="shared" ref="BY194:BY257" si="57">IF(N($M194)&gt;0,N($Q194)/$M194,"")</f>
        <v>8.5653104925053538E-3</v>
      </c>
      <c r="BZ194" t="str">
        <f t="shared" ref="BZ194:BZ257" si="58">IF($A194="","",IF($BO194=0,"Domingo",IF($AA194&lt;&gt;"Sí","Paradas no digitadas",IF($BQ194="",IF(N($BT194)&gt;0,"Sin producción","Parada total"),IF($F194="","Sin familia",IF($BP194="","Familia sin estándar",IF(AND($BV194&lt;&gt;"",N($BV194)&gt;1.1),"Revisar rendimiento","OK")))))))</f>
        <v>OK</v>
      </c>
      <c r="CA194">
        <f t="shared" ref="CA194:CA257" si="59">IF(OR($BU194="",$BO194&lt;&gt;1,$AA194&lt;&gt;"Sí"),0,1)</f>
        <v>1</v>
      </c>
    </row>
    <row r="195" spans="1:80" x14ac:dyDescent="0.25">
      <c r="A195" s="35">
        <v>45896</v>
      </c>
      <c r="B195" s="36">
        <v>12</v>
      </c>
      <c r="C195" t="s">
        <v>119</v>
      </c>
      <c r="D195" t="s">
        <v>6</v>
      </c>
      <c r="E195" t="s">
        <v>147</v>
      </c>
      <c r="F195" t="s">
        <v>147</v>
      </c>
      <c r="G195">
        <v>849</v>
      </c>
      <c r="H195">
        <v>2140110665</v>
      </c>
      <c r="I195" t="s">
        <v>185</v>
      </c>
      <c r="J195" s="37">
        <v>24225</v>
      </c>
      <c r="K195" s="37">
        <v>20</v>
      </c>
      <c r="M195">
        <v>7165</v>
      </c>
      <c r="N195">
        <v>179.74467159999571</v>
      </c>
      <c r="O195">
        <v>70</v>
      </c>
      <c r="P195">
        <v>42</v>
      </c>
      <c r="Q195">
        <v>71</v>
      </c>
      <c r="T195">
        <v>9</v>
      </c>
      <c r="V195" t="s">
        <v>116</v>
      </c>
      <c r="Y195" s="38">
        <v>0.79166666666666663</v>
      </c>
      <c r="Z195" s="38">
        <v>0.29166666666666669</v>
      </c>
      <c r="AA195" t="s">
        <v>117</v>
      </c>
      <c r="AC195" t="s">
        <v>118</v>
      </c>
      <c r="AD195">
        <v>0.16669999999999999</v>
      </c>
      <c r="AQ195">
        <v>0.25</v>
      </c>
      <c r="AR195">
        <v>0.75</v>
      </c>
      <c r="BK195">
        <f>0</f>
        <v>0</v>
      </c>
      <c r="BL195">
        <f t="shared" si="45"/>
        <v>1.1667000000000001</v>
      </c>
      <c r="BM195">
        <f t="shared" si="46"/>
        <v>0</v>
      </c>
      <c r="BN195">
        <f t="shared" si="47"/>
        <v>0</v>
      </c>
      <c r="BO195">
        <f t="shared" si="48"/>
        <v>1</v>
      </c>
      <c r="BP195" s="37">
        <f>IF($F195="","",IFERROR(INDEX(Familias!$C$5:$C$300,MATCH($F195,Familias!$A$5:$A$300,0)),""))</f>
        <v>2280</v>
      </c>
      <c r="BQ195" s="37">
        <f t="shared" si="49"/>
        <v>24245</v>
      </c>
      <c r="BR195" s="36">
        <f t="shared" si="50"/>
        <v>12</v>
      </c>
      <c r="BS195" s="36">
        <f t="shared" si="51"/>
        <v>1.1667000000000001</v>
      </c>
      <c r="BT195" s="36">
        <f t="shared" si="52"/>
        <v>10.833299999999999</v>
      </c>
      <c r="BU195" s="36">
        <f t="shared" si="53"/>
        <v>10.633800000000001</v>
      </c>
      <c r="BV195" s="39">
        <f t="shared" si="54"/>
        <v>0.98158455872171924</v>
      </c>
      <c r="BW195" s="39">
        <f t="shared" si="55"/>
        <v>0.99917508764693752</v>
      </c>
      <c r="BX195" s="40">
        <f t="shared" si="56"/>
        <v>1.5631542219120727E-2</v>
      </c>
      <c r="BY195" s="40">
        <f t="shared" si="57"/>
        <v>9.9092812281926027E-3</v>
      </c>
      <c r="BZ195" t="str">
        <f t="shared" si="58"/>
        <v>OK</v>
      </c>
      <c r="CA195">
        <f t="shared" si="59"/>
        <v>1</v>
      </c>
    </row>
    <row r="196" spans="1:80" x14ac:dyDescent="0.25">
      <c r="A196" s="35">
        <v>45897</v>
      </c>
      <c r="B196" s="36">
        <v>12</v>
      </c>
      <c r="C196" t="s">
        <v>113</v>
      </c>
      <c r="D196" t="s">
        <v>6</v>
      </c>
      <c r="E196" t="s">
        <v>147</v>
      </c>
      <c r="F196" t="s">
        <v>147</v>
      </c>
      <c r="G196">
        <v>849</v>
      </c>
      <c r="H196">
        <v>2140110665</v>
      </c>
      <c r="I196" t="s">
        <v>185</v>
      </c>
      <c r="J196" s="37">
        <v>10775</v>
      </c>
      <c r="K196" s="37"/>
      <c r="M196">
        <v>3120</v>
      </c>
      <c r="N196">
        <v>79.882401999998095</v>
      </c>
      <c r="O196">
        <v>43</v>
      </c>
      <c r="T196">
        <v>4</v>
      </c>
      <c r="V196" t="s">
        <v>120</v>
      </c>
      <c r="Y196" s="38">
        <v>0.29166666666666669</v>
      </c>
      <c r="Z196" s="38">
        <v>0.79166666666666663</v>
      </c>
      <c r="AA196" t="s">
        <v>117</v>
      </c>
      <c r="AC196" t="s">
        <v>118</v>
      </c>
      <c r="AE196">
        <v>6.25</v>
      </c>
      <c r="AR196">
        <v>0.75</v>
      </c>
      <c r="BI196">
        <v>0.33329999999999999</v>
      </c>
      <c r="BK196">
        <f>0</f>
        <v>0</v>
      </c>
      <c r="BL196">
        <f t="shared" si="45"/>
        <v>7.3333000000000004</v>
      </c>
      <c r="BM196">
        <f t="shared" si="46"/>
        <v>0</v>
      </c>
      <c r="BN196">
        <f t="shared" si="47"/>
        <v>0</v>
      </c>
      <c r="BO196">
        <f t="shared" si="48"/>
        <v>1</v>
      </c>
      <c r="BP196" s="37">
        <f>IF($F196="","",IFERROR(INDEX(Familias!$C$5:$C$300,MATCH($F196,Familias!$A$5:$A$300,0)),""))</f>
        <v>2280</v>
      </c>
      <c r="BQ196" s="37">
        <f t="shared" si="49"/>
        <v>10775</v>
      </c>
      <c r="BR196" s="36">
        <f t="shared" si="50"/>
        <v>12</v>
      </c>
      <c r="BS196" s="36">
        <f t="shared" si="51"/>
        <v>7.3333000000000004</v>
      </c>
      <c r="BT196" s="36">
        <f t="shared" si="52"/>
        <v>4.6666999999999996</v>
      </c>
      <c r="BU196" s="36">
        <f t="shared" si="53"/>
        <v>4.7259000000000002</v>
      </c>
      <c r="BV196" s="39">
        <f t="shared" si="54"/>
        <v>1.0126856236741166</v>
      </c>
      <c r="BW196" s="39">
        <f t="shared" si="55"/>
        <v>1</v>
      </c>
      <c r="BX196" s="40">
        <f t="shared" si="56"/>
        <v>1.3782051282051282E-2</v>
      </c>
      <c r="BY196" s="40">
        <f t="shared" si="57"/>
        <v>0</v>
      </c>
      <c r="BZ196" t="str">
        <f t="shared" si="58"/>
        <v>OK</v>
      </c>
      <c r="CA196">
        <f t="shared" si="59"/>
        <v>1</v>
      </c>
    </row>
    <row r="197" spans="1:80" x14ac:dyDescent="0.25">
      <c r="A197" s="35">
        <v>45897</v>
      </c>
      <c r="B197" s="36">
        <v>12</v>
      </c>
      <c r="C197" t="s">
        <v>119</v>
      </c>
      <c r="D197" t="s">
        <v>6</v>
      </c>
      <c r="F197" t="s">
        <v>186</v>
      </c>
      <c r="G197">
        <v>862</v>
      </c>
      <c r="H197">
        <v>2140110632</v>
      </c>
      <c r="I197" t="s">
        <v>187</v>
      </c>
      <c r="J197" s="37">
        <v>10950</v>
      </c>
      <c r="K197" s="37">
        <v>30</v>
      </c>
      <c r="M197">
        <v>3796</v>
      </c>
      <c r="N197">
        <v>101.7527579999979</v>
      </c>
      <c r="O197">
        <v>60</v>
      </c>
      <c r="P197">
        <v>28</v>
      </c>
      <c r="Q197">
        <v>86</v>
      </c>
      <c r="R197">
        <v>110</v>
      </c>
      <c r="T197">
        <v>7</v>
      </c>
      <c r="V197" t="s">
        <v>116</v>
      </c>
      <c r="Y197" s="38">
        <v>0.79166666666666663</v>
      </c>
      <c r="Z197" s="38">
        <v>0.29166666666666669</v>
      </c>
      <c r="AA197" t="s">
        <v>117</v>
      </c>
      <c r="AC197" t="s">
        <v>118</v>
      </c>
      <c r="AL197">
        <v>0.5</v>
      </c>
      <c r="AM197">
        <v>1.25</v>
      </c>
      <c r="AO197">
        <v>2.3332999999999999</v>
      </c>
      <c r="AQ197">
        <v>0.25</v>
      </c>
      <c r="AR197">
        <v>0.75</v>
      </c>
      <c r="BK197">
        <f>0</f>
        <v>0</v>
      </c>
      <c r="BL197">
        <f t="shared" si="45"/>
        <v>5.0832999999999995</v>
      </c>
      <c r="BM197">
        <f t="shared" si="46"/>
        <v>0</v>
      </c>
      <c r="BN197">
        <f t="shared" si="47"/>
        <v>0</v>
      </c>
      <c r="BO197">
        <f t="shared" si="48"/>
        <v>1</v>
      </c>
      <c r="BP197" s="37">
        <f>IF($F197="","",IFERROR(INDEX(Familias!$C$5:$C$300,MATCH($F197,Familias!$A$5:$A$300,0)),""))</f>
        <v>3160</v>
      </c>
      <c r="BQ197" s="37">
        <f t="shared" si="49"/>
        <v>10980</v>
      </c>
      <c r="BR197" s="36">
        <f t="shared" si="50"/>
        <v>12</v>
      </c>
      <c r="BS197" s="36">
        <f t="shared" si="51"/>
        <v>5.0833000000000004</v>
      </c>
      <c r="BT197" s="36">
        <f t="shared" si="52"/>
        <v>6.9166999999999996</v>
      </c>
      <c r="BU197" s="36">
        <f t="shared" si="53"/>
        <v>3.4746999999999999</v>
      </c>
      <c r="BV197" s="39">
        <f t="shared" si="54"/>
        <v>0.50236384402966738</v>
      </c>
      <c r="BW197" s="39">
        <f t="shared" si="55"/>
        <v>0.99726775956284153</v>
      </c>
      <c r="BX197" s="40">
        <f t="shared" si="56"/>
        <v>5.2160168598524764E-2</v>
      </c>
      <c r="BY197" s="40">
        <f t="shared" si="57"/>
        <v>2.2655426765015807E-2</v>
      </c>
      <c r="BZ197" t="str">
        <f t="shared" si="58"/>
        <v>OK</v>
      </c>
      <c r="CA197">
        <f t="shared" si="59"/>
        <v>1</v>
      </c>
    </row>
    <row r="198" spans="1:80" x14ac:dyDescent="0.25">
      <c r="A198" s="35">
        <v>45898</v>
      </c>
      <c r="B198" s="36">
        <v>12</v>
      </c>
      <c r="C198" t="s">
        <v>113</v>
      </c>
      <c r="D198" t="s">
        <v>6</v>
      </c>
      <c r="F198" t="s">
        <v>186</v>
      </c>
      <c r="G198">
        <v>862</v>
      </c>
      <c r="H198">
        <v>2140110632</v>
      </c>
      <c r="I198" t="s">
        <v>187</v>
      </c>
      <c r="J198" s="37">
        <v>14950</v>
      </c>
      <c r="K198" s="37"/>
      <c r="M198">
        <v>4901</v>
      </c>
      <c r="N198">
        <v>138.54314499999711</v>
      </c>
      <c r="O198">
        <v>20</v>
      </c>
      <c r="P198">
        <v>80</v>
      </c>
      <c r="T198">
        <v>9</v>
      </c>
      <c r="V198" t="s">
        <v>120</v>
      </c>
      <c r="Y198" s="38">
        <v>0.29166666666666669</v>
      </c>
      <c r="Z198" s="38">
        <v>0.79166666666666663</v>
      </c>
      <c r="AA198" t="s">
        <v>117</v>
      </c>
      <c r="AC198" t="s">
        <v>118</v>
      </c>
      <c r="AQ198">
        <v>0.25</v>
      </c>
      <c r="AR198">
        <v>0.75</v>
      </c>
      <c r="BA198">
        <v>1</v>
      </c>
      <c r="BJ198">
        <v>4.75</v>
      </c>
      <c r="BK198">
        <f>0</f>
        <v>0</v>
      </c>
      <c r="BL198">
        <f t="shared" si="45"/>
        <v>5.75</v>
      </c>
      <c r="BM198">
        <f t="shared" si="46"/>
        <v>1</v>
      </c>
      <c r="BN198">
        <f t="shared" si="47"/>
        <v>0</v>
      </c>
      <c r="BO198">
        <f t="shared" si="48"/>
        <v>1</v>
      </c>
      <c r="BP198" s="37">
        <f>IF($F198="","",IFERROR(INDEX(Familias!$C$5:$C$300,MATCH($F198,Familias!$A$5:$A$300,0)),""))</f>
        <v>3160</v>
      </c>
      <c r="BQ198" s="37">
        <f t="shared" si="49"/>
        <v>14950</v>
      </c>
      <c r="BR198" s="36">
        <f t="shared" si="50"/>
        <v>12</v>
      </c>
      <c r="BS198" s="36">
        <f t="shared" si="51"/>
        <v>6.75</v>
      </c>
      <c r="BT198" s="36">
        <f t="shared" si="52"/>
        <v>5.25</v>
      </c>
      <c r="BU198" s="36">
        <f t="shared" si="53"/>
        <v>4.7309999999999999</v>
      </c>
      <c r="BV198" s="39">
        <f t="shared" si="54"/>
        <v>0.90114285714285713</v>
      </c>
      <c r="BW198" s="39">
        <f t="shared" si="55"/>
        <v>1</v>
      </c>
      <c r="BX198" s="40">
        <f t="shared" si="56"/>
        <v>2.0403999183840033E-2</v>
      </c>
      <c r="BY198" s="40">
        <f t="shared" si="57"/>
        <v>0</v>
      </c>
      <c r="BZ198" t="str">
        <f t="shared" si="58"/>
        <v>OK</v>
      </c>
      <c r="CA198">
        <f t="shared" si="59"/>
        <v>1</v>
      </c>
    </row>
    <row r="199" spans="1:80" x14ac:dyDescent="0.25">
      <c r="A199" s="35">
        <v>45898</v>
      </c>
      <c r="B199" s="36">
        <v>12</v>
      </c>
      <c r="C199" t="s">
        <v>119</v>
      </c>
      <c r="D199" t="s">
        <v>6</v>
      </c>
      <c r="F199" t="s">
        <v>186</v>
      </c>
      <c r="G199">
        <v>862</v>
      </c>
      <c r="H199">
        <v>2140110632</v>
      </c>
      <c r="I199" t="s">
        <v>187</v>
      </c>
      <c r="J199" s="37">
        <v>15300</v>
      </c>
      <c r="K199" s="37">
        <v>10</v>
      </c>
      <c r="M199">
        <v>4932</v>
      </c>
      <c r="N199">
        <v>141.8793009999971</v>
      </c>
      <c r="O199">
        <v>40</v>
      </c>
      <c r="P199">
        <v>58</v>
      </c>
      <c r="V199" t="s">
        <v>116</v>
      </c>
      <c r="Y199" s="38">
        <v>0.79166666666666663</v>
      </c>
      <c r="Z199" s="38">
        <v>0.29166666666666669</v>
      </c>
      <c r="AA199" t="s">
        <v>117</v>
      </c>
      <c r="AC199" t="s">
        <v>118</v>
      </c>
      <c r="AO199">
        <v>0.75</v>
      </c>
      <c r="AQ199">
        <v>0.25</v>
      </c>
      <c r="AR199">
        <v>0.75</v>
      </c>
      <c r="BK199">
        <f>0</f>
        <v>0</v>
      </c>
      <c r="BL199">
        <f t="shared" si="45"/>
        <v>1.75</v>
      </c>
      <c r="BM199">
        <f t="shared" si="46"/>
        <v>0</v>
      </c>
      <c r="BN199">
        <f t="shared" si="47"/>
        <v>0</v>
      </c>
      <c r="BO199">
        <f t="shared" si="48"/>
        <v>1</v>
      </c>
      <c r="BP199" s="37">
        <f>IF($F199="","",IFERROR(INDEX(Familias!$C$5:$C$300,MATCH($F199,Familias!$A$5:$A$300,0)),""))</f>
        <v>3160</v>
      </c>
      <c r="BQ199" s="37">
        <f t="shared" si="49"/>
        <v>15310</v>
      </c>
      <c r="BR199" s="36">
        <f t="shared" si="50"/>
        <v>12</v>
      </c>
      <c r="BS199" s="36">
        <f t="shared" si="51"/>
        <v>1.75</v>
      </c>
      <c r="BT199" s="36">
        <f t="shared" si="52"/>
        <v>10.25</v>
      </c>
      <c r="BU199" s="36">
        <f t="shared" si="53"/>
        <v>4.8449</v>
      </c>
      <c r="BV199" s="39">
        <f t="shared" si="54"/>
        <v>0.47267317073170734</v>
      </c>
      <c r="BW199" s="39">
        <f t="shared" si="55"/>
        <v>0.99934683213585895</v>
      </c>
      <c r="BX199" s="40">
        <f t="shared" si="56"/>
        <v>1.9870235198702353E-2</v>
      </c>
      <c r="BY199" s="40">
        <f t="shared" si="57"/>
        <v>0</v>
      </c>
      <c r="BZ199" t="str">
        <f t="shared" si="58"/>
        <v>OK</v>
      </c>
      <c r="CA199">
        <f t="shared" si="59"/>
        <v>1</v>
      </c>
    </row>
    <row r="200" spans="1:80" x14ac:dyDescent="0.25">
      <c r="A200" s="35">
        <v>45901</v>
      </c>
      <c r="B200" s="36">
        <v>12</v>
      </c>
      <c r="C200" t="s">
        <v>113</v>
      </c>
      <c r="D200" t="s">
        <v>6</v>
      </c>
      <c r="F200" t="s">
        <v>186</v>
      </c>
      <c r="G200">
        <v>862</v>
      </c>
      <c r="H200">
        <v>2140110632</v>
      </c>
      <c r="I200" t="s">
        <v>187</v>
      </c>
      <c r="J200" s="37">
        <v>17700</v>
      </c>
      <c r="K200" s="37">
        <v>50</v>
      </c>
      <c r="M200">
        <v>5874</v>
      </c>
      <c r="N200">
        <v>164.4910249999966</v>
      </c>
      <c r="O200">
        <v>90</v>
      </c>
      <c r="P200">
        <v>52</v>
      </c>
      <c r="Q200">
        <v>34</v>
      </c>
      <c r="T200">
        <v>11</v>
      </c>
      <c r="V200" t="s">
        <v>116</v>
      </c>
      <c r="Y200" s="38">
        <v>0.29166666666666669</v>
      </c>
      <c r="Z200" s="38">
        <v>0.79166666666666663</v>
      </c>
      <c r="AA200" t="s">
        <v>117</v>
      </c>
      <c r="AC200" t="s">
        <v>118</v>
      </c>
      <c r="AD200">
        <v>1</v>
      </c>
      <c r="AQ200">
        <v>0.25</v>
      </c>
      <c r="AR200">
        <v>0.75</v>
      </c>
      <c r="BK200">
        <f>0</f>
        <v>0</v>
      </c>
      <c r="BL200">
        <f t="shared" si="45"/>
        <v>2</v>
      </c>
      <c r="BM200">
        <f t="shared" si="46"/>
        <v>0</v>
      </c>
      <c r="BN200">
        <f t="shared" si="47"/>
        <v>0</v>
      </c>
      <c r="BO200">
        <f t="shared" si="48"/>
        <v>1</v>
      </c>
      <c r="BP200" s="37">
        <f>IF($F200="","",IFERROR(INDEX(Familias!$C$5:$C$300,MATCH($F200,Familias!$A$5:$A$300,0)),""))</f>
        <v>3160</v>
      </c>
      <c r="BQ200" s="37">
        <f t="shared" si="49"/>
        <v>17750</v>
      </c>
      <c r="BR200" s="36">
        <f t="shared" si="50"/>
        <v>12</v>
      </c>
      <c r="BS200" s="36">
        <f t="shared" si="51"/>
        <v>2</v>
      </c>
      <c r="BT200" s="36">
        <f t="shared" si="52"/>
        <v>10</v>
      </c>
      <c r="BU200" s="36">
        <f t="shared" si="53"/>
        <v>5.6170999999999998</v>
      </c>
      <c r="BV200" s="39">
        <f t="shared" si="54"/>
        <v>0.56170999999999993</v>
      </c>
      <c r="BW200" s="39">
        <f t="shared" si="55"/>
        <v>0.9971830985915493</v>
      </c>
      <c r="BX200" s="40">
        <f t="shared" si="56"/>
        <v>2.417432754511406E-2</v>
      </c>
      <c r="BY200" s="40">
        <f t="shared" si="57"/>
        <v>5.7882192713653389E-3</v>
      </c>
      <c r="BZ200" t="str">
        <f t="shared" si="58"/>
        <v>OK</v>
      </c>
      <c r="CA200">
        <f t="shared" si="59"/>
        <v>1</v>
      </c>
    </row>
    <row r="201" spans="1:80" x14ac:dyDescent="0.25">
      <c r="A201" s="35">
        <v>45901</v>
      </c>
      <c r="B201" s="36">
        <v>0.7954</v>
      </c>
      <c r="C201" t="s">
        <v>119</v>
      </c>
      <c r="D201" t="s">
        <v>6</v>
      </c>
      <c r="F201" t="s">
        <v>186</v>
      </c>
      <c r="G201">
        <v>862</v>
      </c>
      <c r="H201">
        <v>2140110632</v>
      </c>
      <c r="I201" t="s">
        <v>187</v>
      </c>
      <c r="J201" s="37">
        <v>1150</v>
      </c>
      <c r="K201" s="37"/>
      <c r="M201">
        <v>408</v>
      </c>
      <c r="N201">
        <v>10.657164999999781</v>
      </c>
      <c r="O201">
        <v>2</v>
      </c>
      <c r="T201">
        <v>1</v>
      </c>
      <c r="V201" t="s">
        <v>120</v>
      </c>
      <c r="Y201" s="38">
        <v>0.79166666666666663</v>
      </c>
      <c r="Z201" s="38">
        <v>0.82499999999999996</v>
      </c>
      <c r="AA201" t="s">
        <v>117</v>
      </c>
      <c r="AC201" t="s">
        <v>121</v>
      </c>
      <c r="AF201">
        <v>1.0999999999999999E-2</v>
      </c>
      <c r="AG201">
        <v>2.76E-2</v>
      </c>
      <c r="AQ201">
        <v>1.66E-2</v>
      </c>
      <c r="AR201">
        <v>4.9700000000000001E-2</v>
      </c>
      <c r="BI201">
        <v>1.66E-2</v>
      </c>
      <c r="BK201">
        <f>0</f>
        <v>0</v>
      </c>
      <c r="BL201">
        <f t="shared" si="45"/>
        <v>0.1215</v>
      </c>
      <c r="BM201">
        <f t="shared" si="46"/>
        <v>0</v>
      </c>
      <c r="BN201">
        <f t="shared" si="47"/>
        <v>0</v>
      </c>
      <c r="BO201">
        <f t="shared" si="48"/>
        <v>1</v>
      </c>
      <c r="BP201" s="37">
        <f>IF($F201="","",IFERROR(INDEX(Familias!$C$5:$C$300,MATCH($F201,Familias!$A$5:$A$300,0)),""))</f>
        <v>3160</v>
      </c>
      <c r="BQ201" s="37">
        <f t="shared" si="49"/>
        <v>1150</v>
      </c>
      <c r="BR201" s="36">
        <f t="shared" si="50"/>
        <v>0.7954</v>
      </c>
      <c r="BS201" s="36">
        <f t="shared" si="51"/>
        <v>0.1215</v>
      </c>
      <c r="BT201" s="36">
        <f t="shared" si="52"/>
        <v>0.67390000000000005</v>
      </c>
      <c r="BU201" s="36">
        <f t="shared" si="53"/>
        <v>0.3639</v>
      </c>
      <c r="BV201" s="39">
        <f t="shared" si="54"/>
        <v>0.53999109660186972</v>
      </c>
      <c r="BW201" s="39">
        <f t="shared" si="55"/>
        <v>1</v>
      </c>
      <c r="BX201" s="40">
        <f t="shared" si="56"/>
        <v>4.9019607843137254E-3</v>
      </c>
      <c r="BY201" s="40">
        <f t="shared" si="57"/>
        <v>0</v>
      </c>
      <c r="BZ201" t="str">
        <f t="shared" si="58"/>
        <v>OK</v>
      </c>
      <c r="CA201">
        <f t="shared" si="59"/>
        <v>1</v>
      </c>
    </row>
    <row r="202" spans="1:80" x14ac:dyDescent="0.25">
      <c r="A202" s="35">
        <v>45901</v>
      </c>
      <c r="B202" s="36">
        <v>11.204599999999999</v>
      </c>
      <c r="C202" t="s">
        <v>119</v>
      </c>
      <c r="D202" t="s">
        <v>6</v>
      </c>
      <c r="F202" t="s">
        <v>186</v>
      </c>
      <c r="G202">
        <v>861</v>
      </c>
      <c r="H202">
        <v>2140110633</v>
      </c>
      <c r="I202" t="s">
        <v>188</v>
      </c>
      <c r="J202" s="37">
        <v>16200</v>
      </c>
      <c r="K202" s="37"/>
      <c r="M202">
        <v>5294</v>
      </c>
      <c r="N202">
        <v>150.12701999999689</v>
      </c>
      <c r="O202">
        <v>40</v>
      </c>
      <c r="P202">
        <v>65</v>
      </c>
      <c r="R202">
        <v>10</v>
      </c>
      <c r="T202">
        <v>10</v>
      </c>
      <c r="V202" t="s">
        <v>120</v>
      </c>
      <c r="Y202" s="38">
        <v>0.82499999999999996</v>
      </c>
      <c r="Z202" s="38">
        <v>0.29166666666666669</v>
      </c>
      <c r="AA202" t="s">
        <v>117</v>
      </c>
      <c r="AC202" t="s">
        <v>121</v>
      </c>
      <c r="AF202">
        <v>0.15559999999999999</v>
      </c>
      <c r="AG202">
        <v>0.38900000000000001</v>
      </c>
      <c r="AQ202">
        <v>0.2334</v>
      </c>
      <c r="AR202">
        <v>0.70030000000000003</v>
      </c>
      <c r="BI202">
        <v>0.2334</v>
      </c>
      <c r="BK202">
        <f>0</f>
        <v>0</v>
      </c>
      <c r="BL202">
        <f t="shared" si="45"/>
        <v>1.7117</v>
      </c>
      <c r="BM202">
        <f t="shared" si="46"/>
        <v>0</v>
      </c>
      <c r="BN202">
        <f t="shared" si="47"/>
        <v>0</v>
      </c>
      <c r="BO202">
        <f t="shared" si="48"/>
        <v>1</v>
      </c>
      <c r="BP202" s="37">
        <f>IF($F202="","",IFERROR(INDEX(Familias!$C$5:$C$300,MATCH($F202,Familias!$A$5:$A$300,0)),""))</f>
        <v>3160</v>
      </c>
      <c r="BQ202" s="37">
        <f t="shared" si="49"/>
        <v>16200</v>
      </c>
      <c r="BR202" s="36">
        <f t="shared" si="50"/>
        <v>11.204599999999999</v>
      </c>
      <c r="BS202" s="36">
        <f t="shared" si="51"/>
        <v>1.7117</v>
      </c>
      <c r="BT202" s="36">
        <f t="shared" si="52"/>
        <v>9.4929000000000006</v>
      </c>
      <c r="BU202" s="36">
        <f t="shared" si="53"/>
        <v>5.1265999999999998</v>
      </c>
      <c r="BV202" s="39">
        <f t="shared" si="54"/>
        <v>0.54004571837899895</v>
      </c>
      <c r="BW202" s="39">
        <f t="shared" si="55"/>
        <v>1</v>
      </c>
      <c r="BX202" s="40">
        <f t="shared" si="56"/>
        <v>2.1722704948998868E-2</v>
      </c>
      <c r="BY202" s="40">
        <f t="shared" si="57"/>
        <v>0</v>
      </c>
      <c r="BZ202" t="str">
        <f t="shared" si="58"/>
        <v>OK</v>
      </c>
      <c r="CA202">
        <f t="shared" si="59"/>
        <v>1</v>
      </c>
    </row>
    <row r="203" spans="1:80" x14ac:dyDescent="0.25">
      <c r="A203" s="35">
        <v>45902</v>
      </c>
      <c r="B203" s="36">
        <v>12</v>
      </c>
      <c r="C203" t="s">
        <v>113</v>
      </c>
      <c r="D203" t="s">
        <v>6</v>
      </c>
      <c r="F203" t="s">
        <v>186</v>
      </c>
      <c r="G203">
        <v>861</v>
      </c>
      <c r="H203">
        <v>2140110633</v>
      </c>
      <c r="I203" t="s">
        <v>188</v>
      </c>
      <c r="J203" s="37">
        <v>17100</v>
      </c>
      <c r="K203" s="37">
        <v>25</v>
      </c>
      <c r="M203">
        <v>5611</v>
      </c>
      <c r="N203">
        <v>158.69908749999669</v>
      </c>
      <c r="O203">
        <v>70</v>
      </c>
      <c r="P203">
        <v>42</v>
      </c>
      <c r="Q203">
        <v>100</v>
      </c>
      <c r="T203">
        <v>10</v>
      </c>
      <c r="V203" t="s">
        <v>116</v>
      </c>
      <c r="Y203" s="38">
        <v>0.29166666666666669</v>
      </c>
      <c r="Z203" s="38">
        <v>0.79166666666666663</v>
      </c>
      <c r="AA203" t="s">
        <v>117</v>
      </c>
      <c r="AC203" t="s">
        <v>118</v>
      </c>
      <c r="AD203">
        <v>0.16669999999999999</v>
      </c>
      <c r="AG203">
        <v>1.4</v>
      </c>
      <c r="AQ203">
        <v>0.25</v>
      </c>
      <c r="AR203">
        <v>0.75</v>
      </c>
      <c r="BK203">
        <f>0</f>
        <v>0</v>
      </c>
      <c r="BL203">
        <f t="shared" si="45"/>
        <v>2.5667</v>
      </c>
      <c r="BM203">
        <f t="shared" si="46"/>
        <v>0</v>
      </c>
      <c r="BN203">
        <f t="shared" si="47"/>
        <v>0</v>
      </c>
      <c r="BO203">
        <f t="shared" si="48"/>
        <v>1</v>
      </c>
      <c r="BP203" s="37">
        <f>IF($F203="","",IFERROR(INDEX(Familias!$C$5:$C$300,MATCH($F203,Familias!$A$5:$A$300,0)),""))</f>
        <v>3160</v>
      </c>
      <c r="BQ203" s="37">
        <f t="shared" si="49"/>
        <v>17125</v>
      </c>
      <c r="BR203" s="36">
        <f t="shared" si="50"/>
        <v>12</v>
      </c>
      <c r="BS203" s="36">
        <f t="shared" si="51"/>
        <v>2.5667</v>
      </c>
      <c r="BT203" s="36">
        <f t="shared" si="52"/>
        <v>9.4332999999999991</v>
      </c>
      <c r="BU203" s="36">
        <f t="shared" si="53"/>
        <v>5.4192999999999998</v>
      </c>
      <c r="BV203" s="39">
        <f t="shared" si="54"/>
        <v>0.57448612892625062</v>
      </c>
      <c r="BW203" s="39">
        <f t="shared" si="55"/>
        <v>0.99854014598540142</v>
      </c>
      <c r="BX203" s="40">
        <f t="shared" si="56"/>
        <v>1.9960791302798077E-2</v>
      </c>
      <c r="BY203" s="40">
        <f t="shared" si="57"/>
        <v>1.7822135091783996E-2</v>
      </c>
      <c r="BZ203" t="str">
        <f t="shared" si="58"/>
        <v>OK</v>
      </c>
      <c r="CA203">
        <f t="shared" si="59"/>
        <v>1</v>
      </c>
    </row>
    <row r="204" spans="1:80" x14ac:dyDescent="0.25">
      <c r="A204" s="35">
        <v>45902</v>
      </c>
      <c r="B204" s="36">
        <v>12</v>
      </c>
      <c r="C204" t="s">
        <v>119</v>
      </c>
      <c r="D204" t="s">
        <v>6</v>
      </c>
      <c r="E204" t="s">
        <v>126</v>
      </c>
      <c r="F204" t="s">
        <v>149</v>
      </c>
      <c r="G204">
        <v>716</v>
      </c>
      <c r="H204">
        <v>2140110651</v>
      </c>
      <c r="I204" t="s">
        <v>189</v>
      </c>
      <c r="J204" s="37">
        <v>9200</v>
      </c>
      <c r="K204" s="37">
        <v>15</v>
      </c>
      <c r="M204">
        <v>3532</v>
      </c>
      <c r="N204">
        <v>79.700535000000002</v>
      </c>
      <c r="O204">
        <v>200</v>
      </c>
      <c r="P204">
        <v>40</v>
      </c>
      <c r="Q204">
        <v>101</v>
      </c>
      <c r="T204">
        <v>5</v>
      </c>
      <c r="V204" t="s">
        <v>120</v>
      </c>
      <c r="Y204" s="38">
        <v>0.79166666666666663</v>
      </c>
      <c r="Z204" s="38">
        <v>0.29166666666666669</v>
      </c>
      <c r="AA204" t="s">
        <v>117</v>
      </c>
      <c r="AC204" t="s">
        <v>118</v>
      </c>
      <c r="AF204">
        <v>0.5</v>
      </c>
      <c r="AG204">
        <v>0.58330000000000004</v>
      </c>
      <c r="AO204">
        <v>0.66669999999999996</v>
      </c>
      <c r="AQ204">
        <v>0.25</v>
      </c>
      <c r="AR204">
        <v>0.75</v>
      </c>
      <c r="AS204">
        <v>0.16669999999999999</v>
      </c>
      <c r="BI204">
        <v>0.25</v>
      </c>
      <c r="BK204">
        <f>0</f>
        <v>0</v>
      </c>
      <c r="BL204">
        <f t="shared" si="45"/>
        <v>3.1667000000000001</v>
      </c>
      <c r="BM204">
        <f t="shared" si="46"/>
        <v>0</v>
      </c>
      <c r="BN204">
        <f t="shared" si="47"/>
        <v>0</v>
      </c>
      <c r="BO204">
        <f t="shared" si="48"/>
        <v>1</v>
      </c>
      <c r="BP204" s="37">
        <f>IF($F204="","",IFERROR(INDEX(Familias!$C$5:$C$300,MATCH($F204,Familias!$A$5:$A$300,0)),""))</f>
        <v>2740</v>
      </c>
      <c r="BQ204" s="37">
        <f t="shared" si="49"/>
        <v>9215</v>
      </c>
      <c r="BR204" s="36">
        <f t="shared" si="50"/>
        <v>12</v>
      </c>
      <c r="BS204" s="36">
        <f t="shared" si="51"/>
        <v>3.1667000000000001</v>
      </c>
      <c r="BT204" s="36">
        <f t="shared" si="52"/>
        <v>8.8332999999999995</v>
      </c>
      <c r="BU204" s="36">
        <f t="shared" si="53"/>
        <v>3.3631000000000002</v>
      </c>
      <c r="BV204" s="39">
        <f t="shared" si="54"/>
        <v>0.38072973860278725</v>
      </c>
      <c r="BW204" s="39">
        <f t="shared" si="55"/>
        <v>0.99837221920781338</v>
      </c>
      <c r="BX204" s="40">
        <f t="shared" si="56"/>
        <v>6.7950169875424682E-2</v>
      </c>
      <c r="BY204" s="40">
        <f t="shared" si="57"/>
        <v>2.8595696489241224E-2</v>
      </c>
      <c r="BZ204" t="str">
        <f t="shared" si="58"/>
        <v>OK</v>
      </c>
      <c r="CA204">
        <f t="shared" si="59"/>
        <v>1</v>
      </c>
    </row>
    <row r="205" spans="1:80" x14ac:dyDescent="0.25">
      <c r="A205" s="35">
        <v>45903</v>
      </c>
      <c r="B205" s="36">
        <v>12</v>
      </c>
      <c r="C205" t="s">
        <v>113</v>
      </c>
      <c r="D205" t="s">
        <v>6</v>
      </c>
      <c r="E205" t="s">
        <v>147</v>
      </c>
      <c r="F205" t="s">
        <v>147</v>
      </c>
      <c r="G205">
        <v>691</v>
      </c>
      <c r="H205">
        <v>2140110714</v>
      </c>
      <c r="I205" t="s">
        <v>190</v>
      </c>
      <c r="J205" s="37">
        <v>16550</v>
      </c>
      <c r="K205" s="37">
        <v>50</v>
      </c>
      <c r="M205">
        <v>5080</v>
      </c>
      <c r="N205">
        <v>0</v>
      </c>
      <c r="O205">
        <v>35</v>
      </c>
      <c r="P205">
        <v>40</v>
      </c>
      <c r="Q205">
        <v>50</v>
      </c>
      <c r="R205">
        <v>65</v>
      </c>
      <c r="T205">
        <v>7</v>
      </c>
      <c r="V205" t="s">
        <v>116</v>
      </c>
      <c r="Y205" s="38">
        <v>0.29166666666666669</v>
      </c>
      <c r="Z205" s="38">
        <v>0.79166666666666663</v>
      </c>
      <c r="AA205" t="s">
        <v>117</v>
      </c>
      <c r="AC205" t="s">
        <v>118</v>
      </c>
      <c r="AD205">
        <v>0.16669999999999999</v>
      </c>
      <c r="AF205">
        <v>1.5</v>
      </c>
      <c r="AO205">
        <v>0.33329999999999999</v>
      </c>
      <c r="AQ205">
        <v>0.16669999999999999</v>
      </c>
      <c r="AR205">
        <v>0.75</v>
      </c>
      <c r="BJ205">
        <v>0.5</v>
      </c>
      <c r="BK205">
        <f>0</f>
        <v>0</v>
      </c>
      <c r="BL205">
        <f t="shared" si="45"/>
        <v>3.4167000000000001</v>
      </c>
      <c r="BM205">
        <f t="shared" si="46"/>
        <v>0</v>
      </c>
      <c r="BN205">
        <f t="shared" si="47"/>
        <v>0</v>
      </c>
      <c r="BO205">
        <f t="shared" si="48"/>
        <v>1</v>
      </c>
      <c r="BP205" s="37">
        <f>IF($F205="","",IFERROR(INDEX(Familias!$C$5:$C$300,MATCH($F205,Familias!$A$5:$A$300,0)),""))</f>
        <v>2280</v>
      </c>
      <c r="BQ205" s="37">
        <f t="shared" si="49"/>
        <v>16600</v>
      </c>
      <c r="BR205" s="36">
        <f t="shared" si="50"/>
        <v>12</v>
      </c>
      <c r="BS205" s="36">
        <f t="shared" si="51"/>
        <v>3.4167000000000001</v>
      </c>
      <c r="BT205" s="36">
        <f t="shared" si="52"/>
        <v>8.5832999999999995</v>
      </c>
      <c r="BU205" s="36">
        <f t="shared" si="53"/>
        <v>7.2807000000000004</v>
      </c>
      <c r="BV205" s="39">
        <f t="shared" si="54"/>
        <v>0.84824018734053341</v>
      </c>
      <c r="BW205" s="39">
        <f t="shared" si="55"/>
        <v>0.99698795180722888</v>
      </c>
      <c r="BX205" s="40">
        <f t="shared" si="56"/>
        <v>2.7559055118110236E-2</v>
      </c>
      <c r="BY205" s="40">
        <f t="shared" si="57"/>
        <v>9.8425196850393699E-3</v>
      </c>
      <c r="BZ205" t="str">
        <f t="shared" si="58"/>
        <v>OK</v>
      </c>
      <c r="CA205">
        <f t="shared" si="59"/>
        <v>1</v>
      </c>
    </row>
    <row r="206" spans="1:80" x14ac:dyDescent="0.25">
      <c r="A206" s="35">
        <v>45903</v>
      </c>
      <c r="B206" s="36">
        <v>4.9074</v>
      </c>
      <c r="C206" t="s">
        <v>119</v>
      </c>
      <c r="D206" t="s">
        <v>6</v>
      </c>
      <c r="E206" t="s">
        <v>147</v>
      </c>
      <c r="F206" t="s">
        <v>147</v>
      </c>
      <c r="G206">
        <v>691</v>
      </c>
      <c r="H206">
        <v>2140110714</v>
      </c>
      <c r="I206" t="s">
        <v>190</v>
      </c>
      <c r="J206" s="37">
        <v>7350</v>
      </c>
      <c r="K206" s="37">
        <v>5</v>
      </c>
      <c r="M206">
        <v>2270</v>
      </c>
      <c r="N206">
        <v>0</v>
      </c>
      <c r="O206">
        <v>47</v>
      </c>
      <c r="P206">
        <v>24</v>
      </c>
      <c r="Q206">
        <v>32</v>
      </c>
      <c r="T206">
        <v>3</v>
      </c>
      <c r="V206" t="s">
        <v>120</v>
      </c>
      <c r="Y206" s="38">
        <v>0.79166666666666663</v>
      </c>
      <c r="Z206" s="38">
        <v>0.99583333333333335</v>
      </c>
      <c r="AA206" t="s">
        <v>117</v>
      </c>
      <c r="AC206" t="s">
        <v>121</v>
      </c>
      <c r="AF206">
        <v>0.1022</v>
      </c>
      <c r="AG206">
        <v>0.30669999999999997</v>
      </c>
      <c r="AQ206">
        <v>0.1022</v>
      </c>
      <c r="AR206">
        <v>0.30669999999999997</v>
      </c>
      <c r="BI206">
        <v>0.1704</v>
      </c>
      <c r="BK206">
        <f>0</f>
        <v>0</v>
      </c>
      <c r="BL206">
        <f t="shared" si="45"/>
        <v>0.98819999999999997</v>
      </c>
      <c r="BM206">
        <f t="shared" si="46"/>
        <v>0</v>
      </c>
      <c r="BN206">
        <f t="shared" si="47"/>
        <v>0</v>
      </c>
      <c r="BO206">
        <f t="shared" si="48"/>
        <v>1</v>
      </c>
      <c r="BP206" s="37">
        <f>IF($F206="","",IFERROR(INDEX(Familias!$C$5:$C$300,MATCH($F206,Familias!$A$5:$A$300,0)),""))</f>
        <v>2280</v>
      </c>
      <c r="BQ206" s="37">
        <f t="shared" si="49"/>
        <v>7355</v>
      </c>
      <c r="BR206" s="36">
        <f t="shared" si="50"/>
        <v>4.9074</v>
      </c>
      <c r="BS206" s="36">
        <f t="shared" si="51"/>
        <v>0.98819999999999997</v>
      </c>
      <c r="BT206" s="36">
        <f t="shared" si="52"/>
        <v>3.9192</v>
      </c>
      <c r="BU206" s="36">
        <f t="shared" si="53"/>
        <v>3.2259000000000002</v>
      </c>
      <c r="BV206" s="39">
        <f t="shared" si="54"/>
        <v>0.82310165339865282</v>
      </c>
      <c r="BW206" s="39">
        <f t="shared" si="55"/>
        <v>0.99932019034670294</v>
      </c>
      <c r="BX206" s="40">
        <f t="shared" si="56"/>
        <v>3.127753303964758E-2</v>
      </c>
      <c r="BY206" s="40">
        <f t="shared" si="57"/>
        <v>1.4096916299559472E-2</v>
      </c>
      <c r="BZ206" t="str">
        <f t="shared" si="58"/>
        <v>OK</v>
      </c>
      <c r="CA206">
        <f t="shared" si="59"/>
        <v>1</v>
      </c>
    </row>
    <row r="207" spans="1:80" x14ac:dyDescent="0.25">
      <c r="A207" s="35">
        <v>45903</v>
      </c>
      <c r="B207" s="36">
        <v>7.0926</v>
      </c>
      <c r="C207" t="s">
        <v>119</v>
      </c>
      <c r="D207" t="s">
        <v>6</v>
      </c>
      <c r="E207" t="s">
        <v>147</v>
      </c>
      <c r="F207" t="s">
        <v>147</v>
      </c>
      <c r="G207">
        <v>1016</v>
      </c>
      <c r="H207">
        <v>2140110663</v>
      </c>
      <c r="I207" t="s">
        <v>148</v>
      </c>
      <c r="J207" s="37">
        <v>10625</v>
      </c>
      <c r="K207" s="37">
        <v>5</v>
      </c>
      <c r="M207">
        <v>3115</v>
      </c>
      <c r="N207">
        <v>78.807418399998127</v>
      </c>
      <c r="P207">
        <v>32</v>
      </c>
      <c r="Q207">
        <v>72</v>
      </c>
      <c r="R207">
        <v>10</v>
      </c>
      <c r="T207">
        <v>4</v>
      </c>
      <c r="V207" t="s">
        <v>120</v>
      </c>
      <c r="Y207" s="38">
        <v>0.99583333333333335</v>
      </c>
      <c r="Z207" s="38">
        <v>0.29166666666666669</v>
      </c>
      <c r="AA207" t="s">
        <v>117</v>
      </c>
      <c r="AC207" t="s">
        <v>121</v>
      </c>
      <c r="AF207">
        <v>0.14779999999999999</v>
      </c>
      <c r="AG207">
        <v>0.44330000000000003</v>
      </c>
      <c r="AQ207">
        <v>0.14779999999999999</v>
      </c>
      <c r="AR207">
        <v>0.44330000000000003</v>
      </c>
      <c r="BI207">
        <v>0.24629999999999999</v>
      </c>
      <c r="BK207">
        <f>0</f>
        <v>0</v>
      </c>
      <c r="BL207">
        <f t="shared" si="45"/>
        <v>1.4284999999999999</v>
      </c>
      <c r="BM207">
        <f t="shared" si="46"/>
        <v>0</v>
      </c>
      <c r="BN207">
        <f t="shared" si="47"/>
        <v>0</v>
      </c>
      <c r="BO207">
        <f t="shared" si="48"/>
        <v>1</v>
      </c>
      <c r="BP207" s="37">
        <f>IF($F207="","",IFERROR(INDEX(Familias!$C$5:$C$300,MATCH($F207,Familias!$A$5:$A$300,0)),""))</f>
        <v>2280</v>
      </c>
      <c r="BQ207" s="37">
        <f t="shared" si="49"/>
        <v>10630</v>
      </c>
      <c r="BR207" s="36">
        <f t="shared" si="50"/>
        <v>7.0926</v>
      </c>
      <c r="BS207" s="36">
        <f t="shared" si="51"/>
        <v>1.4285000000000001</v>
      </c>
      <c r="BT207" s="36">
        <f t="shared" si="52"/>
        <v>5.6641000000000004</v>
      </c>
      <c r="BU207" s="36">
        <f t="shared" si="53"/>
        <v>4.6623000000000001</v>
      </c>
      <c r="BV207" s="39">
        <f t="shared" si="54"/>
        <v>0.82313165374905106</v>
      </c>
      <c r="BW207" s="39">
        <f t="shared" si="55"/>
        <v>0.99952963311382881</v>
      </c>
      <c r="BX207" s="40">
        <f t="shared" si="56"/>
        <v>1.3483146067415731E-2</v>
      </c>
      <c r="BY207" s="40">
        <f t="shared" si="57"/>
        <v>2.3113964686998396E-2</v>
      </c>
      <c r="BZ207" t="str">
        <f t="shared" si="58"/>
        <v>OK</v>
      </c>
      <c r="CA207">
        <f t="shared" si="59"/>
        <v>1</v>
      </c>
    </row>
    <row r="208" spans="1:80" x14ac:dyDescent="0.25">
      <c r="A208" s="35">
        <v>45904</v>
      </c>
      <c r="B208" s="36">
        <v>12</v>
      </c>
      <c r="C208" t="s">
        <v>113</v>
      </c>
      <c r="D208" t="s">
        <v>6</v>
      </c>
      <c r="E208" t="s">
        <v>147</v>
      </c>
      <c r="F208" t="s">
        <v>147</v>
      </c>
      <c r="G208">
        <v>1016</v>
      </c>
      <c r="H208">
        <v>2140110663</v>
      </c>
      <c r="I208" t="s">
        <v>148</v>
      </c>
      <c r="J208" s="37">
        <v>21400</v>
      </c>
      <c r="K208" s="37">
        <v>5</v>
      </c>
      <c r="M208">
        <v>6127</v>
      </c>
      <c r="N208">
        <v>158.68982039999619</v>
      </c>
      <c r="P208">
        <v>56</v>
      </c>
      <c r="Q208">
        <v>36</v>
      </c>
      <c r="T208">
        <v>8</v>
      </c>
      <c r="V208" t="s">
        <v>116</v>
      </c>
      <c r="Y208" s="38">
        <v>0.29166666666666669</v>
      </c>
      <c r="Z208" s="38">
        <v>0.79166666666666663</v>
      </c>
      <c r="AA208" t="s">
        <v>117</v>
      </c>
      <c r="AC208" t="s">
        <v>118</v>
      </c>
      <c r="AO208">
        <v>0.5</v>
      </c>
      <c r="AQ208">
        <v>0.25</v>
      </c>
      <c r="AR208">
        <v>0.75</v>
      </c>
      <c r="BB208">
        <v>0.5</v>
      </c>
      <c r="BI208">
        <v>0.33329999999999999</v>
      </c>
      <c r="BK208">
        <f>0</f>
        <v>0</v>
      </c>
      <c r="BL208">
        <f t="shared" si="45"/>
        <v>1.8332999999999999</v>
      </c>
      <c r="BM208">
        <f t="shared" si="46"/>
        <v>0.5</v>
      </c>
      <c r="BN208">
        <f t="shared" si="47"/>
        <v>0</v>
      </c>
      <c r="BO208">
        <f t="shared" si="48"/>
        <v>1</v>
      </c>
      <c r="BP208" s="37">
        <f>IF($F208="","",IFERROR(INDEX(Familias!$C$5:$C$300,MATCH($F208,Familias!$A$5:$A$300,0)),""))</f>
        <v>2280</v>
      </c>
      <c r="BQ208" s="37">
        <f t="shared" si="49"/>
        <v>21405</v>
      </c>
      <c r="BR208" s="36">
        <f t="shared" si="50"/>
        <v>12</v>
      </c>
      <c r="BS208" s="36">
        <f t="shared" si="51"/>
        <v>2.3332999999999999</v>
      </c>
      <c r="BT208" s="36">
        <f t="shared" si="52"/>
        <v>9.6667000000000005</v>
      </c>
      <c r="BU208" s="36">
        <f t="shared" si="53"/>
        <v>9.3881999999999994</v>
      </c>
      <c r="BV208" s="39">
        <f t="shared" si="54"/>
        <v>0.97118975451808776</v>
      </c>
      <c r="BW208" s="39">
        <f t="shared" si="55"/>
        <v>0.99976640971735575</v>
      </c>
      <c r="BX208" s="40">
        <f t="shared" si="56"/>
        <v>9.139872694630324E-3</v>
      </c>
      <c r="BY208" s="40">
        <f t="shared" si="57"/>
        <v>5.8756324465480663E-3</v>
      </c>
      <c r="BZ208" t="str">
        <f t="shared" si="58"/>
        <v>OK</v>
      </c>
      <c r="CA208">
        <f t="shared" si="59"/>
        <v>1</v>
      </c>
    </row>
    <row r="209" spans="1:80" x14ac:dyDescent="0.25">
      <c r="A209" s="35">
        <v>45904</v>
      </c>
      <c r="B209" s="36">
        <v>12</v>
      </c>
      <c r="C209" t="s">
        <v>119</v>
      </c>
      <c r="D209" t="s">
        <v>6</v>
      </c>
      <c r="E209" t="s">
        <v>147</v>
      </c>
      <c r="F209" t="s">
        <v>147</v>
      </c>
      <c r="G209">
        <v>1016</v>
      </c>
      <c r="H209">
        <v>2140110663</v>
      </c>
      <c r="I209" t="s">
        <v>148</v>
      </c>
      <c r="J209" s="37">
        <v>20650</v>
      </c>
      <c r="K209" s="37">
        <v>5</v>
      </c>
      <c r="M209">
        <v>5655</v>
      </c>
      <c r="N209">
        <v>153.12956039999639</v>
      </c>
      <c r="T209">
        <v>7</v>
      </c>
      <c r="V209" t="s">
        <v>120</v>
      </c>
      <c r="Y209" s="38">
        <v>0.79166666666666663</v>
      </c>
      <c r="Z209" s="38">
        <v>0.29166666666666669</v>
      </c>
      <c r="AA209" t="s">
        <v>117</v>
      </c>
      <c r="AC209" t="s">
        <v>118</v>
      </c>
      <c r="AQ209">
        <v>0.25</v>
      </c>
      <c r="AR209">
        <v>0.75</v>
      </c>
      <c r="BI209">
        <v>0.5</v>
      </c>
      <c r="BK209">
        <f>0</f>
        <v>0</v>
      </c>
      <c r="BL209">
        <f t="shared" si="45"/>
        <v>1.5</v>
      </c>
      <c r="BM209">
        <f t="shared" si="46"/>
        <v>0</v>
      </c>
      <c r="BN209">
        <f t="shared" si="47"/>
        <v>0</v>
      </c>
      <c r="BO209">
        <f t="shared" si="48"/>
        <v>1</v>
      </c>
      <c r="BP209" s="37">
        <f>IF($F209="","",IFERROR(INDEX(Familias!$C$5:$C$300,MATCH($F209,Familias!$A$5:$A$300,0)),""))</f>
        <v>2280</v>
      </c>
      <c r="BQ209" s="37">
        <f t="shared" si="49"/>
        <v>20655</v>
      </c>
      <c r="BR209" s="36">
        <f t="shared" si="50"/>
        <v>12</v>
      </c>
      <c r="BS209" s="36">
        <f t="shared" si="51"/>
        <v>1.5</v>
      </c>
      <c r="BT209" s="36">
        <f t="shared" si="52"/>
        <v>10.5</v>
      </c>
      <c r="BU209" s="36">
        <f t="shared" si="53"/>
        <v>9.0592000000000006</v>
      </c>
      <c r="BV209" s="39">
        <f t="shared" si="54"/>
        <v>0.86278095238095243</v>
      </c>
      <c r="BW209" s="39">
        <f t="shared" si="55"/>
        <v>0.99975792786250306</v>
      </c>
      <c r="BX209" s="40">
        <f t="shared" si="56"/>
        <v>0</v>
      </c>
      <c r="BY209" s="40">
        <f t="shared" si="57"/>
        <v>0</v>
      </c>
      <c r="BZ209" t="str">
        <f t="shared" si="58"/>
        <v>OK</v>
      </c>
      <c r="CA209">
        <f t="shared" si="59"/>
        <v>1</v>
      </c>
    </row>
    <row r="210" spans="1:80" x14ac:dyDescent="0.25">
      <c r="A210" s="35">
        <v>45905</v>
      </c>
      <c r="B210" s="36">
        <v>12</v>
      </c>
      <c r="C210" t="s">
        <v>113</v>
      </c>
      <c r="D210" t="s">
        <v>6</v>
      </c>
      <c r="E210" t="s">
        <v>147</v>
      </c>
      <c r="F210" t="s">
        <v>147</v>
      </c>
      <c r="G210">
        <v>1024</v>
      </c>
      <c r="H210">
        <v>2140110664</v>
      </c>
      <c r="I210" t="s">
        <v>184</v>
      </c>
      <c r="J210" s="37">
        <v>18200</v>
      </c>
      <c r="K210" s="37">
        <v>10</v>
      </c>
      <c r="M210">
        <v>5368</v>
      </c>
      <c r="N210">
        <v>135.00311279999681</v>
      </c>
      <c r="O210">
        <v>41</v>
      </c>
      <c r="P210">
        <v>92</v>
      </c>
      <c r="Q210">
        <v>50</v>
      </c>
      <c r="T210">
        <v>7</v>
      </c>
      <c r="V210" t="s">
        <v>116</v>
      </c>
      <c r="Y210" s="38">
        <v>0.29166666666666669</v>
      </c>
      <c r="Z210" s="38">
        <v>0.79166666666666663</v>
      </c>
      <c r="AA210" t="s">
        <v>117</v>
      </c>
      <c r="AC210" t="s">
        <v>118</v>
      </c>
      <c r="AE210">
        <v>0.66669999999999996</v>
      </c>
      <c r="AO210">
        <v>0.33329999999999999</v>
      </c>
      <c r="AQ210">
        <v>0.25</v>
      </c>
      <c r="BJ210">
        <v>1</v>
      </c>
      <c r="BK210">
        <f>0</f>
        <v>0</v>
      </c>
      <c r="BL210">
        <f t="shared" si="45"/>
        <v>2.25</v>
      </c>
      <c r="BM210">
        <f t="shared" si="46"/>
        <v>0</v>
      </c>
      <c r="BN210">
        <f t="shared" si="47"/>
        <v>0</v>
      </c>
      <c r="BO210">
        <f t="shared" si="48"/>
        <v>1</v>
      </c>
      <c r="BP210" s="37">
        <f>IF($F210="","",IFERROR(INDEX(Familias!$C$5:$C$300,MATCH($F210,Familias!$A$5:$A$300,0)),""))</f>
        <v>2280</v>
      </c>
      <c r="BQ210" s="37">
        <f t="shared" si="49"/>
        <v>18210</v>
      </c>
      <c r="BR210" s="36">
        <f t="shared" si="50"/>
        <v>12</v>
      </c>
      <c r="BS210" s="36">
        <f t="shared" si="51"/>
        <v>2.25</v>
      </c>
      <c r="BT210" s="36">
        <f t="shared" si="52"/>
        <v>9.75</v>
      </c>
      <c r="BU210" s="36">
        <f t="shared" si="53"/>
        <v>7.9867999999999997</v>
      </c>
      <c r="BV210" s="39">
        <f t="shared" si="54"/>
        <v>0.81915897435897433</v>
      </c>
      <c r="BW210" s="39">
        <f t="shared" si="55"/>
        <v>0.99945085118067001</v>
      </c>
      <c r="BX210" s="40">
        <f t="shared" si="56"/>
        <v>2.4776453055141579E-2</v>
      </c>
      <c r="BY210" s="40">
        <f t="shared" si="57"/>
        <v>9.314456035767511E-3</v>
      </c>
      <c r="BZ210" t="str">
        <f t="shared" si="58"/>
        <v>OK</v>
      </c>
      <c r="CA210">
        <f t="shared" si="59"/>
        <v>1</v>
      </c>
    </row>
    <row r="211" spans="1:80" x14ac:dyDescent="0.25">
      <c r="A211" s="35">
        <v>45905</v>
      </c>
      <c r="B211" s="36">
        <v>1.1223000000000001</v>
      </c>
      <c r="C211" t="s">
        <v>119</v>
      </c>
      <c r="D211" t="s">
        <v>6</v>
      </c>
      <c r="E211" t="s">
        <v>147</v>
      </c>
      <c r="F211" t="s">
        <v>147</v>
      </c>
      <c r="G211">
        <v>1024</v>
      </c>
      <c r="H211">
        <v>2140110664</v>
      </c>
      <c r="I211" t="s">
        <v>184</v>
      </c>
      <c r="J211" s="37">
        <v>1850</v>
      </c>
      <c r="K211" s="37"/>
      <c r="M211">
        <v>552</v>
      </c>
      <c r="N211">
        <v>13.71530799999967</v>
      </c>
      <c r="O211">
        <v>40</v>
      </c>
      <c r="T211">
        <v>1</v>
      </c>
      <c r="V211" t="s">
        <v>120</v>
      </c>
      <c r="Y211" s="38">
        <v>0.79166666666666663</v>
      </c>
      <c r="Z211" s="38">
        <v>0.83819444444444446</v>
      </c>
      <c r="AA211" t="s">
        <v>117</v>
      </c>
      <c r="AC211" t="s">
        <v>121</v>
      </c>
      <c r="AF211">
        <v>0.49099999999999999</v>
      </c>
      <c r="AG211">
        <v>4.6800000000000001E-2</v>
      </c>
      <c r="AQ211">
        <v>2.3400000000000001E-2</v>
      </c>
      <c r="AR211">
        <v>7.0099999999999996E-2</v>
      </c>
      <c r="BI211">
        <v>2.3400000000000001E-2</v>
      </c>
      <c r="BK211">
        <f>0</f>
        <v>0</v>
      </c>
      <c r="BL211">
        <f t="shared" si="45"/>
        <v>0.65469999999999995</v>
      </c>
      <c r="BM211">
        <f t="shared" si="46"/>
        <v>0</v>
      </c>
      <c r="BN211">
        <f t="shared" si="47"/>
        <v>0</v>
      </c>
      <c r="BO211">
        <f t="shared" si="48"/>
        <v>1</v>
      </c>
      <c r="BP211" s="37">
        <f>IF($F211="","",IFERROR(INDEX(Familias!$C$5:$C$300,MATCH($F211,Familias!$A$5:$A$300,0)),""))</f>
        <v>2280</v>
      </c>
      <c r="BQ211" s="37">
        <f t="shared" si="49"/>
        <v>1850</v>
      </c>
      <c r="BR211" s="36">
        <f t="shared" si="50"/>
        <v>1.1223000000000001</v>
      </c>
      <c r="BS211" s="36">
        <f t="shared" si="51"/>
        <v>0.65469999999999995</v>
      </c>
      <c r="BT211" s="36">
        <f t="shared" si="52"/>
        <v>0.46760000000000002</v>
      </c>
      <c r="BU211" s="36">
        <f t="shared" si="53"/>
        <v>0.81140000000000001</v>
      </c>
      <c r="BV211" s="39">
        <f t="shared" si="54"/>
        <v>1.7352437981180495</v>
      </c>
      <c r="BW211" s="39">
        <f t="shared" si="55"/>
        <v>1</v>
      </c>
      <c r="BX211" s="40">
        <f t="shared" si="56"/>
        <v>7.2463768115942032E-2</v>
      </c>
      <c r="BY211" s="40">
        <f t="shared" si="57"/>
        <v>0</v>
      </c>
      <c r="BZ211" t="str">
        <f t="shared" si="58"/>
        <v>Revisar rendimiento</v>
      </c>
      <c r="CA211">
        <f t="shared" si="59"/>
        <v>1</v>
      </c>
    </row>
    <row r="212" spans="1:80" x14ac:dyDescent="0.25">
      <c r="A212" s="35">
        <v>45905</v>
      </c>
      <c r="B212" s="36">
        <v>10.877700000000001</v>
      </c>
      <c r="C212" t="s">
        <v>119</v>
      </c>
      <c r="D212" t="s">
        <v>6</v>
      </c>
      <c r="E212" t="s">
        <v>147</v>
      </c>
      <c r="F212" t="s">
        <v>147</v>
      </c>
      <c r="G212">
        <v>1023</v>
      </c>
      <c r="H212">
        <v>2140110665</v>
      </c>
      <c r="I212" t="s">
        <v>185</v>
      </c>
      <c r="J212" s="37">
        <v>17925</v>
      </c>
      <c r="K212" s="37">
        <v>5</v>
      </c>
      <c r="M212">
        <v>5313</v>
      </c>
      <c r="N212">
        <v>132.92728239999681</v>
      </c>
      <c r="O212">
        <v>10</v>
      </c>
      <c r="P212">
        <v>56</v>
      </c>
      <c r="Q212">
        <v>20</v>
      </c>
      <c r="T212">
        <v>7</v>
      </c>
      <c r="V212" t="s">
        <v>120</v>
      </c>
      <c r="Y212" s="38">
        <v>0.83819444444444446</v>
      </c>
      <c r="Z212" s="38">
        <v>0.29166666666666669</v>
      </c>
      <c r="AA212" t="s">
        <v>117</v>
      </c>
      <c r="AC212" t="s">
        <v>121</v>
      </c>
      <c r="AF212">
        <v>4.7590000000000003</v>
      </c>
      <c r="AG212">
        <v>0.45319999999999999</v>
      </c>
      <c r="AQ212">
        <v>0.2266</v>
      </c>
      <c r="AR212">
        <v>0.67989999999999995</v>
      </c>
      <c r="BI212">
        <v>0.2266</v>
      </c>
      <c r="BK212">
        <f>0</f>
        <v>0</v>
      </c>
      <c r="BL212">
        <f t="shared" si="45"/>
        <v>6.3453000000000008</v>
      </c>
      <c r="BM212">
        <f t="shared" si="46"/>
        <v>0</v>
      </c>
      <c r="BN212">
        <f t="shared" si="47"/>
        <v>0</v>
      </c>
      <c r="BO212">
        <f t="shared" si="48"/>
        <v>1</v>
      </c>
      <c r="BP212" s="37">
        <f>IF($F212="","",IFERROR(INDEX(Familias!$C$5:$C$300,MATCH($F212,Familias!$A$5:$A$300,0)),""))</f>
        <v>2280</v>
      </c>
      <c r="BQ212" s="37">
        <f t="shared" si="49"/>
        <v>17930</v>
      </c>
      <c r="BR212" s="36">
        <f t="shared" si="50"/>
        <v>10.877700000000001</v>
      </c>
      <c r="BS212" s="36">
        <f t="shared" si="51"/>
        <v>6.3452999999999999</v>
      </c>
      <c r="BT212" s="36">
        <f t="shared" si="52"/>
        <v>4.5324</v>
      </c>
      <c r="BU212" s="36">
        <f t="shared" si="53"/>
        <v>7.8639999999999999</v>
      </c>
      <c r="BV212" s="39">
        <f t="shared" si="54"/>
        <v>1.735063101226723</v>
      </c>
      <c r="BW212" s="39">
        <f t="shared" si="55"/>
        <v>0.99972113775794758</v>
      </c>
      <c r="BX212" s="40">
        <f t="shared" si="56"/>
        <v>1.2422360248447204E-2</v>
      </c>
      <c r="BY212" s="40">
        <f t="shared" si="57"/>
        <v>3.764351590438547E-3</v>
      </c>
      <c r="BZ212" t="str">
        <f t="shared" si="58"/>
        <v>Revisar rendimiento</v>
      </c>
      <c r="CA212">
        <f t="shared" si="59"/>
        <v>1</v>
      </c>
    </row>
    <row r="213" spans="1:80" x14ac:dyDescent="0.25">
      <c r="A213" s="35">
        <v>45906</v>
      </c>
      <c r="B213" s="36">
        <v>12</v>
      </c>
      <c r="C213" t="s">
        <v>113</v>
      </c>
      <c r="D213" t="s">
        <v>6</v>
      </c>
      <c r="E213" t="s">
        <v>147</v>
      </c>
      <c r="F213" t="s">
        <v>147</v>
      </c>
      <c r="G213">
        <v>1023</v>
      </c>
      <c r="H213">
        <v>2140110665</v>
      </c>
      <c r="I213" t="s">
        <v>185</v>
      </c>
      <c r="J213" s="37">
        <v>20400</v>
      </c>
      <c r="K213" s="37">
        <v>10</v>
      </c>
      <c r="M213">
        <v>6152</v>
      </c>
      <c r="N213">
        <v>151.3132087999964</v>
      </c>
      <c r="O213">
        <v>30</v>
      </c>
      <c r="P213">
        <v>45</v>
      </c>
      <c r="Q213">
        <v>184</v>
      </c>
      <c r="T213">
        <v>8</v>
      </c>
      <c r="V213" t="s">
        <v>116</v>
      </c>
      <c r="Y213" s="38">
        <v>0.29166666666666669</v>
      </c>
      <c r="Z213" s="38">
        <v>0.79166666666666663</v>
      </c>
      <c r="AA213" t="s">
        <v>117</v>
      </c>
      <c r="AC213" t="s">
        <v>118</v>
      </c>
      <c r="AD213">
        <v>0.25</v>
      </c>
      <c r="AQ213">
        <v>0.25</v>
      </c>
      <c r="AR213">
        <v>0.75</v>
      </c>
      <c r="BK213">
        <f>0</f>
        <v>0</v>
      </c>
      <c r="BL213">
        <f t="shared" si="45"/>
        <v>1.25</v>
      </c>
      <c r="BM213">
        <f t="shared" si="46"/>
        <v>0</v>
      </c>
      <c r="BN213">
        <f t="shared" si="47"/>
        <v>0</v>
      </c>
      <c r="BO213">
        <f t="shared" si="48"/>
        <v>1</v>
      </c>
      <c r="BP213" s="37">
        <f>IF($F213="","",IFERROR(INDEX(Familias!$C$5:$C$300,MATCH($F213,Familias!$A$5:$A$300,0)),""))</f>
        <v>2280</v>
      </c>
      <c r="BQ213" s="37">
        <f t="shared" si="49"/>
        <v>20410</v>
      </c>
      <c r="BR213" s="36">
        <f t="shared" si="50"/>
        <v>12</v>
      </c>
      <c r="BS213" s="36">
        <f t="shared" si="51"/>
        <v>1.25</v>
      </c>
      <c r="BT213" s="36">
        <f t="shared" si="52"/>
        <v>10.75</v>
      </c>
      <c r="BU213" s="36">
        <f t="shared" si="53"/>
        <v>8.9518000000000004</v>
      </c>
      <c r="BV213" s="39">
        <f t="shared" si="54"/>
        <v>0.83272558139534891</v>
      </c>
      <c r="BW213" s="39">
        <f t="shared" si="55"/>
        <v>0.99951004409603139</v>
      </c>
      <c r="BX213" s="40">
        <f t="shared" si="56"/>
        <v>1.2191157347204161E-2</v>
      </c>
      <c r="BY213" s="40">
        <f t="shared" si="57"/>
        <v>2.9908972691807541E-2</v>
      </c>
      <c r="BZ213" t="str">
        <f t="shared" si="58"/>
        <v>OK</v>
      </c>
      <c r="CA213">
        <f t="shared" si="59"/>
        <v>1</v>
      </c>
    </row>
    <row r="214" spans="1:80" x14ac:dyDescent="0.25">
      <c r="A214" s="35">
        <v>45906</v>
      </c>
      <c r="B214" s="36">
        <v>12</v>
      </c>
      <c r="C214" t="s">
        <v>119</v>
      </c>
      <c r="D214" t="s">
        <v>6</v>
      </c>
      <c r="E214" t="s">
        <v>147</v>
      </c>
      <c r="F214" t="s">
        <v>147</v>
      </c>
      <c r="G214">
        <v>1023</v>
      </c>
      <c r="H214">
        <v>2140110665</v>
      </c>
      <c r="I214" t="s">
        <v>185</v>
      </c>
      <c r="J214" s="37">
        <v>1725</v>
      </c>
      <c r="K214" s="37"/>
      <c r="M214">
        <v>377</v>
      </c>
      <c r="N214">
        <v>12.7885979999997</v>
      </c>
      <c r="T214">
        <v>0</v>
      </c>
      <c r="V214" t="s">
        <v>120</v>
      </c>
      <c r="Y214" s="38">
        <v>0.79166666666666663</v>
      </c>
      <c r="Z214" s="38">
        <v>0.29166666666666669</v>
      </c>
      <c r="AA214" t="s">
        <v>117</v>
      </c>
      <c r="AC214" t="s">
        <v>118</v>
      </c>
      <c r="AE214">
        <v>0.25</v>
      </c>
      <c r="AG214">
        <v>0.5</v>
      </c>
      <c r="AQ214">
        <v>0.25</v>
      </c>
      <c r="AR214">
        <v>0.75</v>
      </c>
      <c r="BA214">
        <v>0.5</v>
      </c>
      <c r="BI214">
        <v>0.25</v>
      </c>
      <c r="BJ214">
        <v>1</v>
      </c>
      <c r="BK214">
        <f>0</f>
        <v>0</v>
      </c>
      <c r="BL214">
        <f t="shared" si="45"/>
        <v>3</v>
      </c>
      <c r="BM214">
        <f t="shared" si="46"/>
        <v>0.5</v>
      </c>
      <c r="BN214">
        <f t="shared" si="47"/>
        <v>0</v>
      </c>
      <c r="BO214">
        <f t="shared" si="48"/>
        <v>1</v>
      </c>
      <c r="BP214" s="37">
        <f>IF($F214="","",IFERROR(INDEX(Familias!$C$5:$C$300,MATCH($F214,Familias!$A$5:$A$300,0)),""))</f>
        <v>2280</v>
      </c>
      <c r="BQ214" s="37">
        <f t="shared" si="49"/>
        <v>1725</v>
      </c>
      <c r="BR214" s="36">
        <f t="shared" si="50"/>
        <v>12</v>
      </c>
      <c r="BS214" s="36">
        <f t="shared" si="51"/>
        <v>3.5</v>
      </c>
      <c r="BT214" s="36">
        <f t="shared" si="52"/>
        <v>8.5</v>
      </c>
      <c r="BU214" s="36">
        <f t="shared" si="53"/>
        <v>0.75660000000000005</v>
      </c>
      <c r="BV214" s="39">
        <f t="shared" si="54"/>
        <v>8.901176470588236E-2</v>
      </c>
      <c r="BW214" s="39">
        <f t="shared" si="55"/>
        <v>1</v>
      </c>
      <c r="BX214" s="40">
        <f t="shared" si="56"/>
        <v>0</v>
      </c>
      <c r="BY214" s="40">
        <f t="shared" si="57"/>
        <v>0</v>
      </c>
      <c r="BZ214" t="str">
        <f t="shared" si="58"/>
        <v>OK</v>
      </c>
      <c r="CA214">
        <f t="shared" si="59"/>
        <v>1</v>
      </c>
    </row>
    <row r="215" spans="1:80" x14ac:dyDescent="0.25">
      <c r="A215" s="35">
        <v>45908</v>
      </c>
      <c r="B215" s="36">
        <v>12</v>
      </c>
      <c r="C215" t="s">
        <v>113</v>
      </c>
      <c r="D215" t="s">
        <v>6</v>
      </c>
      <c r="J215" s="37">
        <v>0</v>
      </c>
      <c r="K215" s="37"/>
      <c r="V215" t="s">
        <v>120</v>
      </c>
      <c r="Y215" s="38">
        <v>0.29166666666666669</v>
      </c>
      <c r="Z215" s="38">
        <v>0.79166666666666663</v>
      </c>
      <c r="AA215" t="s">
        <v>117</v>
      </c>
      <c r="AC215" t="s">
        <v>118</v>
      </c>
      <c r="AQ215">
        <v>11.8</v>
      </c>
      <c r="BA215">
        <v>0.2</v>
      </c>
      <c r="BK215">
        <f>0</f>
        <v>0</v>
      </c>
      <c r="BL215">
        <f t="shared" si="45"/>
        <v>11.8</v>
      </c>
      <c r="BM215">
        <f t="shared" si="46"/>
        <v>0.2</v>
      </c>
      <c r="BN215">
        <f t="shared" si="47"/>
        <v>0</v>
      </c>
      <c r="BO215">
        <f t="shared" si="48"/>
        <v>1</v>
      </c>
      <c r="BP215" s="37" t="str">
        <f>IF($F215="","",IFERROR(INDEX(Familias!$C$5:$C$300,MATCH($F215,Familias!$A$5:$A$300,0)),""))</f>
        <v/>
      </c>
      <c r="BQ215" s="37">
        <f t="shared" si="49"/>
        <v>0</v>
      </c>
      <c r="BR215" s="36">
        <f t="shared" si="50"/>
        <v>12</v>
      </c>
      <c r="BS215" s="36">
        <f t="shared" si="51"/>
        <v>12</v>
      </c>
      <c r="BT215" s="36">
        <f t="shared" si="52"/>
        <v>0</v>
      </c>
      <c r="BU215" s="36" t="str">
        <f t="shared" si="53"/>
        <v/>
      </c>
      <c r="BV215" s="39" t="str">
        <f t="shared" si="54"/>
        <v/>
      </c>
      <c r="BW215" s="39" t="str">
        <f t="shared" si="55"/>
        <v/>
      </c>
      <c r="BX215" s="40" t="str">
        <f t="shared" si="56"/>
        <v/>
      </c>
      <c r="BY215" s="40" t="str">
        <f t="shared" si="57"/>
        <v/>
      </c>
      <c r="BZ215" t="str">
        <f t="shared" si="58"/>
        <v>Sin familia</v>
      </c>
      <c r="CA215">
        <f t="shared" si="59"/>
        <v>0</v>
      </c>
    </row>
    <row r="216" spans="1:80" x14ac:dyDescent="0.25">
      <c r="A216" s="35">
        <v>45908</v>
      </c>
      <c r="B216" s="36">
        <v>12</v>
      </c>
      <c r="C216" t="s">
        <v>119</v>
      </c>
      <c r="D216" t="s">
        <v>6</v>
      </c>
      <c r="E216" t="s">
        <v>147</v>
      </c>
      <c r="F216" t="s">
        <v>147</v>
      </c>
      <c r="G216">
        <v>1016</v>
      </c>
      <c r="H216">
        <v>2140110663</v>
      </c>
      <c r="I216" t="s">
        <v>148</v>
      </c>
      <c r="J216" s="37">
        <v>21425</v>
      </c>
      <c r="K216" s="37">
        <v>8</v>
      </c>
      <c r="M216">
        <v>6442</v>
      </c>
      <c r="N216">
        <v>158.8974034399962</v>
      </c>
      <c r="O216">
        <v>140</v>
      </c>
      <c r="P216">
        <v>51</v>
      </c>
      <c r="Q216">
        <v>38</v>
      </c>
      <c r="T216">
        <v>9</v>
      </c>
      <c r="V216" t="s">
        <v>116</v>
      </c>
      <c r="Y216" s="38">
        <v>0.79166666666666663</v>
      </c>
      <c r="Z216" s="38">
        <v>0.29166666666666669</v>
      </c>
      <c r="AA216" t="s">
        <v>117</v>
      </c>
      <c r="AC216" t="s">
        <v>118</v>
      </c>
      <c r="AD216">
        <v>0.25</v>
      </c>
      <c r="AR216">
        <v>1</v>
      </c>
      <c r="BK216">
        <f>0</f>
        <v>0</v>
      </c>
      <c r="BL216">
        <f t="shared" si="45"/>
        <v>1.25</v>
      </c>
      <c r="BM216">
        <f t="shared" si="46"/>
        <v>0</v>
      </c>
      <c r="BN216">
        <f t="shared" si="47"/>
        <v>0</v>
      </c>
      <c r="BO216">
        <f t="shared" si="48"/>
        <v>1</v>
      </c>
      <c r="BP216" s="37">
        <f>IF($F216="","",IFERROR(INDEX(Familias!$C$5:$C$300,MATCH($F216,Familias!$A$5:$A$300,0)),""))</f>
        <v>2280</v>
      </c>
      <c r="BQ216" s="37">
        <f t="shared" si="49"/>
        <v>21433</v>
      </c>
      <c r="BR216" s="36">
        <f t="shared" si="50"/>
        <v>12</v>
      </c>
      <c r="BS216" s="36">
        <f t="shared" si="51"/>
        <v>1.25</v>
      </c>
      <c r="BT216" s="36">
        <f t="shared" si="52"/>
        <v>10.75</v>
      </c>
      <c r="BU216" s="36">
        <f t="shared" si="53"/>
        <v>9.4003999999999994</v>
      </c>
      <c r="BV216" s="39">
        <f t="shared" si="54"/>
        <v>0.87445581395348837</v>
      </c>
      <c r="BW216" s="39">
        <f t="shared" si="55"/>
        <v>0.99962674380628003</v>
      </c>
      <c r="BX216" s="40">
        <f t="shared" si="56"/>
        <v>2.9649177274138468E-2</v>
      </c>
      <c r="BY216" s="40">
        <f t="shared" si="57"/>
        <v>5.8987891959018934E-3</v>
      </c>
      <c r="BZ216" t="str">
        <f t="shared" si="58"/>
        <v>OK</v>
      </c>
      <c r="CA216">
        <f t="shared" si="59"/>
        <v>1</v>
      </c>
    </row>
    <row r="217" spans="1:80" x14ac:dyDescent="0.25">
      <c r="A217" s="35">
        <v>45909</v>
      </c>
      <c r="B217" s="36">
        <v>6.5606999999999998</v>
      </c>
      <c r="C217" t="s">
        <v>113</v>
      </c>
      <c r="D217" t="s">
        <v>6</v>
      </c>
      <c r="E217" t="s">
        <v>147</v>
      </c>
      <c r="F217" t="s">
        <v>147</v>
      </c>
      <c r="G217">
        <v>1016</v>
      </c>
      <c r="H217">
        <v>2140110663</v>
      </c>
      <c r="I217" t="s">
        <v>148</v>
      </c>
      <c r="J217" s="37">
        <v>8850</v>
      </c>
      <c r="K217" s="37"/>
      <c r="M217">
        <v>2277</v>
      </c>
      <c r="N217">
        <v>65.61106799999844</v>
      </c>
      <c r="O217">
        <v>20</v>
      </c>
      <c r="P217">
        <v>16</v>
      </c>
      <c r="Q217">
        <v>32</v>
      </c>
      <c r="T217">
        <v>3</v>
      </c>
      <c r="V217" t="s">
        <v>120</v>
      </c>
      <c r="Y217" s="38">
        <v>0.29166666666666669</v>
      </c>
      <c r="Z217" s="38">
        <v>0.56527777777777777</v>
      </c>
      <c r="AA217" t="s">
        <v>117</v>
      </c>
      <c r="AC217" t="s">
        <v>121</v>
      </c>
      <c r="AG217">
        <v>0.1822</v>
      </c>
      <c r="AQ217">
        <v>0.13669999999999999</v>
      </c>
      <c r="AR217">
        <v>0.41</v>
      </c>
      <c r="BI217">
        <v>0.1822</v>
      </c>
      <c r="BJ217">
        <v>3.0981000000000001</v>
      </c>
      <c r="BK217">
        <f>0</f>
        <v>0</v>
      </c>
      <c r="BL217">
        <f t="shared" si="45"/>
        <v>4.0091999999999999</v>
      </c>
      <c r="BM217">
        <f t="shared" si="46"/>
        <v>0</v>
      </c>
      <c r="BN217">
        <f t="shared" si="47"/>
        <v>0</v>
      </c>
      <c r="BO217">
        <f t="shared" si="48"/>
        <v>1</v>
      </c>
      <c r="BP217" s="37">
        <f>IF($F217="","",IFERROR(INDEX(Familias!$C$5:$C$300,MATCH($F217,Familias!$A$5:$A$300,0)),""))</f>
        <v>2280</v>
      </c>
      <c r="BQ217" s="37">
        <f t="shared" si="49"/>
        <v>8850</v>
      </c>
      <c r="BR217" s="36">
        <f t="shared" si="50"/>
        <v>6.5606999999999998</v>
      </c>
      <c r="BS217" s="36">
        <f t="shared" si="51"/>
        <v>4.0091999999999999</v>
      </c>
      <c r="BT217" s="36">
        <f t="shared" si="52"/>
        <v>2.5514999999999999</v>
      </c>
      <c r="BU217" s="36">
        <f t="shared" si="53"/>
        <v>3.8816000000000002</v>
      </c>
      <c r="BV217" s="39">
        <f t="shared" si="54"/>
        <v>1.5213011953752695</v>
      </c>
      <c r="BW217" s="39">
        <f t="shared" si="55"/>
        <v>1</v>
      </c>
      <c r="BX217" s="40">
        <f t="shared" si="56"/>
        <v>1.5810276679841896E-2</v>
      </c>
      <c r="BY217" s="40">
        <f t="shared" si="57"/>
        <v>1.4053579270970576E-2</v>
      </c>
      <c r="BZ217" t="str">
        <f t="shared" si="58"/>
        <v>Revisar rendimiento</v>
      </c>
      <c r="CA217">
        <f t="shared" si="59"/>
        <v>1</v>
      </c>
    </row>
    <row r="218" spans="1:80" x14ac:dyDescent="0.25">
      <c r="A218" s="35">
        <v>45909</v>
      </c>
      <c r="B218" s="36">
        <v>5.4393000000000002</v>
      </c>
      <c r="C218" t="s">
        <v>113</v>
      </c>
      <c r="D218" t="s">
        <v>6</v>
      </c>
      <c r="E218" t="s">
        <v>126</v>
      </c>
      <c r="F218" t="s">
        <v>144</v>
      </c>
      <c r="G218">
        <v>1072</v>
      </c>
      <c r="H218">
        <v>2140110524</v>
      </c>
      <c r="I218" t="s">
        <v>145</v>
      </c>
      <c r="J218" s="37">
        <v>6550</v>
      </c>
      <c r="K218" s="37">
        <v>15</v>
      </c>
      <c r="M218">
        <v>2459</v>
      </c>
      <c r="N218">
        <v>56.780685000000013</v>
      </c>
      <c r="O218">
        <v>120</v>
      </c>
      <c r="P218">
        <v>26</v>
      </c>
      <c r="Q218">
        <v>46</v>
      </c>
      <c r="R218">
        <v>30</v>
      </c>
      <c r="V218" t="s">
        <v>120</v>
      </c>
      <c r="Y218" s="38">
        <v>0.56527777777777777</v>
      </c>
      <c r="Z218" s="38">
        <v>0.79166666666666663</v>
      </c>
      <c r="AA218" t="s">
        <v>117</v>
      </c>
      <c r="AC218" t="s">
        <v>121</v>
      </c>
      <c r="AG218">
        <v>0.15110000000000001</v>
      </c>
      <c r="AQ218">
        <v>0.1133</v>
      </c>
      <c r="AR218">
        <v>0.34</v>
      </c>
      <c r="BI218">
        <v>0.15110000000000001</v>
      </c>
      <c r="BJ218">
        <v>2.5686</v>
      </c>
      <c r="BK218">
        <f>0</f>
        <v>0</v>
      </c>
      <c r="BL218">
        <f t="shared" si="45"/>
        <v>3.3241000000000001</v>
      </c>
      <c r="BM218">
        <f t="shared" si="46"/>
        <v>0</v>
      </c>
      <c r="BN218">
        <f t="shared" si="47"/>
        <v>0</v>
      </c>
      <c r="BO218">
        <f t="shared" si="48"/>
        <v>1</v>
      </c>
      <c r="BP218" s="37">
        <f>IF($F218="","",IFERROR(INDEX(Familias!$C$5:$C$300,MATCH($F218,Familias!$A$5:$A$300,0)),""))</f>
        <v>2040</v>
      </c>
      <c r="BQ218" s="37">
        <f t="shared" si="49"/>
        <v>6565</v>
      </c>
      <c r="BR218" s="36">
        <f t="shared" si="50"/>
        <v>5.4393000000000002</v>
      </c>
      <c r="BS218" s="36">
        <f t="shared" si="51"/>
        <v>3.3241000000000001</v>
      </c>
      <c r="BT218" s="36">
        <f t="shared" si="52"/>
        <v>2.1152000000000002</v>
      </c>
      <c r="BU218" s="36">
        <f t="shared" si="53"/>
        <v>3.2181000000000002</v>
      </c>
      <c r="BV218" s="39">
        <f t="shared" si="54"/>
        <v>1.5214164145234492</v>
      </c>
      <c r="BW218" s="39">
        <f t="shared" si="55"/>
        <v>0.9977151561309977</v>
      </c>
      <c r="BX218" s="40">
        <f t="shared" si="56"/>
        <v>7.1573810492069942E-2</v>
      </c>
      <c r="BY218" s="40">
        <f t="shared" si="57"/>
        <v>1.870679137860919E-2</v>
      </c>
      <c r="BZ218" t="str">
        <f t="shared" si="58"/>
        <v>Revisar rendimiento</v>
      </c>
      <c r="CA218">
        <f t="shared" si="59"/>
        <v>1</v>
      </c>
    </row>
    <row r="219" spans="1:80" x14ac:dyDescent="0.25">
      <c r="A219" s="35">
        <v>45909</v>
      </c>
      <c r="B219" s="36">
        <v>12</v>
      </c>
      <c r="C219" t="s">
        <v>119</v>
      </c>
      <c r="D219" t="s">
        <v>6</v>
      </c>
      <c r="E219" t="s">
        <v>126</v>
      </c>
      <c r="F219" t="s">
        <v>144</v>
      </c>
      <c r="G219">
        <v>1072</v>
      </c>
      <c r="H219">
        <v>2140110524</v>
      </c>
      <c r="I219" t="s">
        <v>145</v>
      </c>
      <c r="J219" s="37">
        <v>19025</v>
      </c>
      <c r="K219" s="37">
        <v>5</v>
      </c>
      <c r="M219">
        <v>6691</v>
      </c>
      <c r="N219">
        <v>164.59047000000001</v>
      </c>
      <c r="O219">
        <v>175</v>
      </c>
      <c r="P219">
        <v>49</v>
      </c>
      <c r="Q219">
        <v>20</v>
      </c>
      <c r="T219">
        <v>8</v>
      </c>
      <c r="V219" t="s">
        <v>116</v>
      </c>
      <c r="Y219" s="38">
        <v>0.79166666666666663</v>
      </c>
      <c r="Z219" s="38">
        <v>0.29166666666666669</v>
      </c>
      <c r="AA219" t="s">
        <v>117</v>
      </c>
      <c r="AC219" t="s">
        <v>118</v>
      </c>
      <c r="AO219">
        <v>0.75</v>
      </c>
      <c r="AQ219">
        <v>0.25</v>
      </c>
      <c r="AR219">
        <v>0.75</v>
      </c>
      <c r="BK219">
        <f>0</f>
        <v>0</v>
      </c>
      <c r="BL219">
        <f t="shared" si="45"/>
        <v>1.75</v>
      </c>
      <c r="BM219">
        <f t="shared" si="46"/>
        <v>0</v>
      </c>
      <c r="BN219">
        <f t="shared" si="47"/>
        <v>0</v>
      </c>
      <c r="BO219">
        <f t="shared" si="48"/>
        <v>1</v>
      </c>
      <c r="BP219" s="37">
        <f>IF($F219="","",IFERROR(INDEX(Familias!$C$5:$C$300,MATCH($F219,Familias!$A$5:$A$300,0)),""))</f>
        <v>2040</v>
      </c>
      <c r="BQ219" s="37">
        <f t="shared" si="49"/>
        <v>19030</v>
      </c>
      <c r="BR219" s="36">
        <f t="shared" si="50"/>
        <v>12</v>
      </c>
      <c r="BS219" s="36">
        <f t="shared" si="51"/>
        <v>1.75</v>
      </c>
      <c r="BT219" s="36">
        <f t="shared" si="52"/>
        <v>10.25</v>
      </c>
      <c r="BU219" s="36">
        <f t="shared" si="53"/>
        <v>9.3284000000000002</v>
      </c>
      <c r="BV219" s="39">
        <f t="shared" si="54"/>
        <v>0.91008780487804886</v>
      </c>
      <c r="BW219" s="39">
        <f t="shared" si="55"/>
        <v>0.99973725696269045</v>
      </c>
      <c r="BX219" s="40">
        <f t="shared" si="56"/>
        <v>3.3477806008070543E-2</v>
      </c>
      <c r="BY219" s="40">
        <f t="shared" si="57"/>
        <v>2.9890898221491555E-3</v>
      </c>
      <c r="BZ219" t="str">
        <f t="shared" si="58"/>
        <v>OK</v>
      </c>
      <c r="CA219">
        <f t="shared" si="59"/>
        <v>1</v>
      </c>
    </row>
    <row r="220" spans="1:80" x14ac:dyDescent="0.25">
      <c r="A220" s="35">
        <v>45910</v>
      </c>
      <c r="B220" s="36">
        <v>12</v>
      </c>
      <c r="C220" t="s">
        <v>113</v>
      </c>
      <c r="D220" t="s">
        <v>6</v>
      </c>
      <c r="E220" t="s">
        <v>126</v>
      </c>
      <c r="F220" t="s">
        <v>144</v>
      </c>
      <c r="G220">
        <v>1072</v>
      </c>
      <c r="H220">
        <v>2140110524</v>
      </c>
      <c r="I220" t="s">
        <v>145</v>
      </c>
      <c r="J220" s="37">
        <v>18775</v>
      </c>
      <c r="K220" s="37">
        <v>20</v>
      </c>
      <c r="M220">
        <v>6620</v>
      </c>
      <c r="N220">
        <v>162.55795499999999</v>
      </c>
      <c r="O220">
        <v>100</v>
      </c>
      <c r="P220">
        <v>64</v>
      </c>
      <c r="Q220">
        <v>120</v>
      </c>
      <c r="T220">
        <v>8</v>
      </c>
      <c r="V220" t="s">
        <v>120</v>
      </c>
      <c r="Y220" s="38">
        <v>0.29166666666666669</v>
      </c>
      <c r="Z220" s="38">
        <v>0.79166666666666663</v>
      </c>
      <c r="AA220" t="s">
        <v>117</v>
      </c>
      <c r="AC220" t="s">
        <v>118</v>
      </c>
      <c r="AO220">
        <v>0.66669999999999996</v>
      </c>
      <c r="AQ220">
        <v>0.25</v>
      </c>
      <c r="AR220">
        <v>0.75</v>
      </c>
      <c r="BI220">
        <v>0.33329999999999999</v>
      </c>
      <c r="BK220">
        <f>0</f>
        <v>0</v>
      </c>
      <c r="BL220">
        <f t="shared" si="45"/>
        <v>2</v>
      </c>
      <c r="BM220">
        <f t="shared" si="46"/>
        <v>0</v>
      </c>
      <c r="BN220">
        <f t="shared" si="47"/>
        <v>0</v>
      </c>
      <c r="BO220">
        <f t="shared" si="48"/>
        <v>1</v>
      </c>
      <c r="BP220" s="37">
        <f>IF($F220="","",IFERROR(INDEX(Familias!$C$5:$C$300,MATCH($F220,Familias!$A$5:$A$300,0)),""))</f>
        <v>2040</v>
      </c>
      <c r="BQ220" s="37">
        <f t="shared" si="49"/>
        <v>18795</v>
      </c>
      <c r="BR220" s="36">
        <f t="shared" si="50"/>
        <v>12</v>
      </c>
      <c r="BS220" s="36">
        <f t="shared" si="51"/>
        <v>2</v>
      </c>
      <c r="BT220" s="36">
        <f t="shared" si="52"/>
        <v>10</v>
      </c>
      <c r="BU220" s="36">
        <f t="shared" si="53"/>
        <v>9.2132000000000005</v>
      </c>
      <c r="BV220" s="39">
        <f t="shared" si="54"/>
        <v>0.92132000000000003</v>
      </c>
      <c r="BW220" s="39">
        <f t="shared" si="55"/>
        <v>0.99893588720404358</v>
      </c>
      <c r="BX220" s="40">
        <f t="shared" si="56"/>
        <v>2.4773413897280966E-2</v>
      </c>
      <c r="BY220" s="40">
        <f t="shared" si="57"/>
        <v>1.812688821752266E-2</v>
      </c>
      <c r="BZ220" t="str">
        <f t="shared" si="58"/>
        <v>OK</v>
      </c>
      <c r="CA220">
        <f t="shared" si="59"/>
        <v>1</v>
      </c>
    </row>
    <row r="221" spans="1:80" x14ac:dyDescent="0.25">
      <c r="A221" s="35">
        <v>45910</v>
      </c>
      <c r="B221" s="36">
        <v>3.76</v>
      </c>
      <c r="C221" t="s">
        <v>119</v>
      </c>
      <c r="D221" t="s">
        <v>6</v>
      </c>
      <c r="E221" t="s">
        <v>126</v>
      </c>
      <c r="F221" t="s">
        <v>144</v>
      </c>
      <c r="G221">
        <v>1072</v>
      </c>
      <c r="H221">
        <v>2140110524</v>
      </c>
      <c r="I221" t="s">
        <v>145</v>
      </c>
      <c r="J221" s="37">
        <v>5200</v>
      </c>
      <c r="K221" s="37">
        <v>8</v>
      </c>
      <c r="M221">
        <v>1915</v>
      </c>
      <c r="N221">
        <v>45.043992000000003</v>
      </c>
      <c r="O221">
        <v>80</v>
      </c>
      <c r="P221">
        <v>22</v>
      </c>
      <c r="T221">
        <v>3</v>
      </c>
      <c r="V221" t="s">
        <v>116</v>
      </c>
      <c r="Y221" s="38">
        <v>0.79166666666666663</v>
      </c>
      <c r="Z221" s="38">
        <v>0.94861111111111107</v>
      </c>
      <c r="AA221" t="s">
        <v>117</v>
      </c>
      <c r="AC221" t="s">
        <v>121</v>
      </c>
      <c r="AE221">
        <v>1.0967</v>
      </c>
      <c r="AQ221">
        <v>7.8299999999999995E-2</v>
      </c>
      <c r="AR221">
        <v>0.23499999999999999</v>
      </c>
      <c r="BI221">
        <v>0.15670000000000001</v>
      </c>
      <c r="BK221">
        <f>0</f>
        <v>0</v>
      </c>
      <c r="BL221">
        <f t="shared" si="45"/>
        <v>1.5667000000000002</v>
      </c>
      <c r="BM221">
        <f t="shared" si="46"/>
        <v>0</v>
      </c>
      <c r="BN221">
        <f t="shared" si="47"/>
        <v>0</v>
      </c>
      <c r="BO221">
        <f t="shared" si="48"/>
        <v>1</v>
      </c>
      <c r="BP221" s="37">
        <f>IF($F221="","",IFERROR(INDEX(Familias!$C$5:$C$300,MATCH($F221,Familias!$A$5:$A$300,0)),""))</f>
        <v>2040</v>
      </c>
      <c r="BQ221" s="37">
        <f t="shared" si="49"/>
        <v>5208</v>
      </c>
      <c r="BR221" s="36">
        <f t="shared" si="50"/>
        <v>3.76</v>
      </c>
      <c r="BS221" s="36">
        <f t="shared" si="51"/>
        <v>1.5667</v>
      </c>
      <c r="BT221" s="36">
        <f t="shared" si="52"/>
        <v>2.1932999999999998</v>
      </c>
      <c r="BU221" s="36">
        <f t="shared" si="53"/>
        <v>2.5529000000000002</v>
      </c>
      <c r="BV221" s="39">
        <f t="shared" si="54"/>
        <v>1.1639538594811474</v>
      </c>
      <c r="BW221" s="39">
        <f t="shared" si="55"/>
        <v>0.99846390168970811</v>
      </c>
      <c r="BX221" s="40">
        <f t="shared" si="56"/>
        <v>5.3263707571801565E-2</v>
      </c>
      <c r="BY221" s="40">
        <f t="shared" si="57"/>
        <v>0</v>
      </c>
      <c r="BZ221" t="str">
        <f t="shared" si="58"/>
        <v>Revisar rendimiento</v>
      </c>
      <c r="CA221">
        <f t="shared" si="59"/>
        <v>1</v>
      </c>
    </row>
    <row r="222" spans="1:80" x14ac:dyDescent="0.25">
      <c r="A222" s="35">
        <v>45910</v>
      </c>
      <c r="B222" s="36">
        <v>8.24</v>
      </c>
      <c r="C222" t="s">
        <v>119</v>
      </c>
      <c r="D222" t="s">
        <v>6</v>
      </c>
      <c r="E222" t="s">
        <v>126</v>
      </c>
      <c r="F222" t="s">
        <v>133</v>
      </c>
      <c r="G222">
        <v>1087</v>
      </c>
      <c r="H222">
        <v>2140110604</v>
      </c>
      <c r="I222" t="s">
        <v>139</v>
      </c>
      <c r="J222" s="37">
        <v>12975</v>
      </c>
      <c r="K222" s="37">
        <v>5</v>
      </c>
      <c r="M222">
        <v>4512</v>
      </c>
      <c r="N222">
        <v>112.26402</v>
      </c>
      <c r="O222">
        <v>40</v>
      </c>
      <c r="P222">
        <v>31</v>
      </c>
      <c r="Q222">
        <v>30</v>
      </c>
      <c r="R222">
        <v>70</v>
      </c>
      <c r="T222">
        <v>5</v>
      </c>
      <c r="V222" t="s">
        <v>116</v>
      </c>
      <c r="Y222" s="38">
        <v>0.94861111111111107</v>
      </c>
      <c r="Z222" s="38">
        <v>0.29166666666666669</v>
      </c>
      <c r="AA222" t="s">
        <v>117</v>
      </c>
      <c r="AC222" t="s">
        <v>121</v>
      </c>
      <c r="AE222">
        <v>2.4033000000000002</v>
      </c>
      <c r="AQ222">
        <v>0.17169999999999999</v>
      </c>
      <c r="AR222">
        <v>0.51500000000000001</v>
      </c>
      <c r="BI222">
        <v>0.34329999999999999</v>
      </c>
      <c r="BK222">
        <f>0</f>
        <v>0</v>
      </c>
      <c r="BL222">
        <f t="shared" si="45"/>
        <v>3.4333000000000005</v>
      </c>
      <c r="BM222">
        <f t="shared" si="46"/>
        <v>0</v>
      </c>
      <c r="BN222">
        <f t="shared" si="47"/>
        <v>0</v>
      </c>
      <c r="BO222">
        <f t="shared" si="48"/>
        <v>1</v>
      </c>
      <c r="BP222" s="37">
        <f>IF($F222="","",IFERROR(INDEX(Familias!$C$5:$C$300,MATCH($F222,Familias!$A$5:$A$300,0)),""))</f>
        <v>2320</v>
      </c>
      <c r="BQ222" s="37">
        <f t="shared" si="49"/>
        <v>12980</v>
      </c>
      <c r="BR222" s="36">
        <f t="shared" si="50"/>
        <v>8.24</v>
      </c>
      <c r="BS222" s="36">
        <f t="shared" si="51"/>
        <v>3.4333</v>
      </c>
      <c r="BT222" s="36">
        <f t="shared" si="52"/>
        <v>4.8067000000000002</v>
      </c>
      <c r="BU222" s="36">
        <f t="shared" si="53"/>
        <v>5.5948000000000002</v>
      </c>
      <c r="BV222" s="39">
        <f t="shared" si="54"/>
        <v>1.1639586410635154</v>
      </c>
      <c r="BW222" s="39">
        <f t="shared" si="55"/>
        <v>0.99961479198767333</v>
      </c>
      <c r="BX222" s="40">
        <f t="shared" si="56"/>
        <v>3.125E-2</v>
      </c>
      <c r="BY222" s="40">
        <f t="shared" si="57"/>
        <v>6.648936170212766E-3</v>
      </c>
      <c r="BZ222" t="str">
        <f t="shared" si="58"/>
        <v>Revisar rendimiento</v>
      </c>
      <c r="CA222">
        <f t="shared" si="59"/>
        <v>1</v>
      </c>
    </row>
    <row r="223" spans="1:80" x14ac:dyDescent="0.25">
      <c r="A223" s="35">
        <v>45911</v>
      </c>
      <c r="B223" s="36">
        <v>12</v>
      </c>
      <c r="C223" t="s">
        <v>113</v>
      </c>
      <c r="D223" t="s">
        <v>6</v>
      </c>
      <c r="E223" t="s">
        <v>126</v>
      </c>
      <c r="F223" t="s">
        <v>133</v>
      </c>
      <c r="G223">
        <v>1087</v>
      </c>
      <c r="H223">
        <v>2140110604</v>
      </c>
      <c r="I223" t="s">
        <v>139</v>
      </c>
      <c r="J223" s="37">
        <v>16400</v>
      </c>
      <c r="K223" s="37">
        <v>5</v>
      </c>
      <c r="M223">
        <v>6085</v>
      </c>
      <c r="N223">
        <v>141.88684499999999</v>
      </c>
      <c r="O223">
        <v>100</v>
      </c>
      <c r="P223">
        <v>64</v>
      </c>
      <c r="Q223">
        <v>350</v>
      </c>
      <c r="T223">
        <v>8</v>
      </c>
      <c r="V223" t="s">
        <v>120</v>
      </c>
      <c r="Y223" s="38">
        <v>0.29166666666666669</v>
      </c>
      <c r="Z223" s="38">
        <v>0.79166666666666663</v>
      </c>
      <c r="AA223" t="s">
        <v>117</v>
      </c>
      <c r="AC223" t="s">
        <v>118</v>
      </c>
      <c r="AM223">
        <v>0.33329999999999999</v>
      </c>
      <c r="AO223">
        <v>0.5</v>
      </c>
      <c r="AQ223">
        <v>0.25</v>
      </c>
      <c r="AR223">
        <v>0.75</v>
      </c>
      <c r="BA223">
        <v>1.75</v>
      </c>
      <c r="BI223">
        <v>0.5</v>
      </c>
      <c r="BK223">
        <f>0</f>
        <v>0</v>
      </c>
      <c r="BL223">
        <f t="shared" si="45"/>
        <v>2.3332999999999999</v>
      </c>
      <c r="BM223">
        <f t="shared" si="46"/>
        <v>1.75</v>
      </c>
      <c r="BN223">
        <f t="shared" si="47"/>
        <v>0</v>
      </c>
      <c r="BO223">
        <f t="shared" si="48"/>
        <v>1</v>
      </c>
      <c r="BP223" s="37">
        <f>IF($F223="","",IFERROR(INDEX(Familias!$C$5:$C$300,MATCH($F223,Familias!$A$5:$A$300,0)),""))</f>
        <v>2320</v>
      </c>
      <c r="BQ223" s="37">
        <f t="shared" si="49"/>
        <v>16405</v>
      </c>
      <c r="BR223" s="36">
        <f t="shared" si="50"/>
        <v>12</v>
      </c>
      <c r="BS223" s="36">
        <f t="shared" si="51"/>
        <v>4.0833000000000004</v>
      </c>
      <c r="BT223" s="36">
        <f t="shared" si="52"/>
        <v>7.9166999999999996</v>
      </c>
      <c r="BU223" s="36">
        <f t="shared" si="53"/>
        <v>7.0711000000000004</v>
      </c>
      <c r="BV223" s="39">
        <f t="shared" si="54"/>
        <v>0.89318781815655524</v>
      </c>
      <c r="BW223" s="39">
        <f t="shared" si="55"/>
        <v>0.9996952148735142</v>
      </c>
      <c r="BX223" s="40">
        <f t="shared" si="56"/>
        <v>2.695152013147083E-2</v>
      </c>
      <c r="BY223" s="40">
        <f t="shared" si="57"/>
        <v>5.7518488085456038E-2</v>
      </c>
      <c r="BZ223" t="str">
        <f t="shared" si="58"/>
        <v>OK</v>
      </c>
      <c r="CA223">
        <f t="shared" si="59"/>
        <v>1</v>
      </c>
    </row>
    <row r="224" spans="1:80" x14ac:dyDescent="0.25">
      <c r="A224" s="35">
        <v>45911</v>
      </c>
      <c r="B224" s="36">
        <v>12</v>
      </c>
      <c r="C224" t="s">
        <v>119</v>
      </c>
      <c r="D224" t="s">
        <v>6</v>
      </c>
      <c r="E224" t="s">
        <v>126</v>
      </c>
      <c r="F224" t="s">
        <v>133</v>
      </c>
      <c r="G224">
        <v>1087</v>
      </c>
      <c r="H224">
        <v>2140110604</v>
      </c>
      <c r="I224" t="s">
        <v>139</v>
      </c>
      <c r="J224" s="37">
        <v>19750</v>
      </c>
      <c r="K224" s="37">
        <v>5</v>
      </c>
      <c r="M224">
        <v>7284</v>
      </c>
      <c r="N224">
        <v>170.860995</v>
      </c>
      <c r="O224">
        <v>95</v>
      </c>
      <c r="P224">
        <v>38</v>
      </c>
      <c r="Q224">
        <v>597</v>
      </c>
      <c r="T224">
        <v>9</v>
      </c>
      <c r="V224" t="s">
        <v>116</v>
      </c>
      <c r="Y224" s="38">
        <v>0.79166666666666663</v>
      </c>
      <c r="Z224" s="38">
        <v>0.29166666666666669</v>
      </c>
      <c r="AA224" t="s">
        <v>117</v>
      </c>
      <c r="AC224" t="s">
        <v>118</v>
      </c>
      <c r="AO224">
        <v>0.41670000000000001</v>
      </c>
      <c r="AQ224">
        <v>0.25</v>
      </c>
      <c r="AR224">
        <v>0.75</v>
      </c>
      <c r="BI224">
        <v>0.5</v>
      </c>
      <c r="BK224">
        <f>0</f>
        <v>0</v>
      </c>
      <c r="BL224">
        <f t="shared" si="45"/>
        <v>1.9167000000000001</v>
      </c>
      <c r="BM224">
        <f t="shared" si="46"/>
        <v>0</v>
      </c>
      <c r="BN224">
        <f t="shared" si="47"/>
        <v>0</v>
      </c>
      <c r="BO224">
        <f t="shared" si="48"/>
        <v>1</v>
      </c>
      <c r="BP224" s="37">
        <f>IF($F224="","",IFERROR(INDEX(Familias!$C$5:$C$300,MATCH($F224,Familias!$A$5:$A$300,0)),""))</f>
        <v>2320</v>
      </c>
      <c r="BQ224" s="37">
        <f t="shared" si="49"/>
        <v>19755</v>
      </c>
      <c r="BR224" s="36">
        <f t="shared" si="50"/>
        <v>12</v>
      </c>
      <c r="BS224" s="36">
        <f t="shared" si="51"/>
        <v>1.9167000000000001</v>
      </c>
      <c r="BT224" s="36">
        <f t="shared" si="52"/>
        <v>10.083299999999999</v>
      </c>
      <c r="BU224" s="36">
        <f t="shared" si="53"/>
        <v>8.5151000000000003</v>
      </c>
      <c r="BV224" s="39">
        <f t="shared" si="54"/>
        <v>0.84447551892733541</v>
      </c>
      <c r="BW224" s="39">
        <f t="shared" si="55"/>
        <v>0.99974689951910911</v>
      </c>
      <c r="BX224" s="40">
        <f t="shared" si="56"/>
        <v>1.8259198242723779E-2</v>
      </c>
      <c r="BY224" s="40">
        <f t="shared" si="57"/>
        <v>8.1960461285008238E-2</v>
      </c>
      <c r="BZ224" t="str">
        <f t="shared" si="58"/>
        <v>OK</v>
      </c>
      <c r="CA224">
        <f t="shared" si="59"/>
        <v>1</v>
      </c>
    </row>
    <row r="225" spans="1:80" x14ac:dyDescent="0.25">
      <c r="A225" s="35">
        <v>45912</v>
      </c>
      <c r="B225" s="36">
        <v>12</v>
      </c>
      <c r="C225" t="s">
        <v>113</v>
      </c>
      <c r="D225" t="s">
        <v>6</v>
      </c>
      <c r="E225" t="s">
        <v>126</v>
      </c>
      <c r="F225" t="s">
        <v>133</v>
      </c>
      <c r="G225">
        <v>1087</v>
      </c>
      <c r="H225">
        <v>2140110604</v>
      </c>
      <c r="I225" t="s">
        <v>139</v>
      </c>
      <c r="J225" s="37">
        <v>22150</v>
      </c>
      <c r="K225" s="37">
        <v>5</v>
      </c>
      <c r="M225">
        <v>7835</v>
      </c>
      <c r="N225">
        <v>191.618595</v>
      </c>
      <c r="O225">
        <v>170</v>
      </c>
      <c r="P225">
        <v>80</v>
      </c>
      <c r="Q225">
        <v>72</v>
      </c>
      <c r="T225">
        <v>10</v>
      </c>
      <c r="V225" t="s">
        <v>120</v>
      </c>
      <c r="Y225" s="38">
        <v>0.29166666666666669</v>
      </c>
      <c r="Z225" s="38">
        <v>0.79166666666666663</v>
      </c>
      <c r="AA225" t="s">
        <v>117</v>
      </c>
      <c r="AC225" t="s">
        <v>118</v>
      </c>
      <c r="AQ225">
        <v>0.25</v>
      </c>
      <c r="AR225">
        <v>0.75</v>
      </c>
      <c r="BI225">
        <v>0.33329999999999999</v>
      </c>
      <c r="BK225">
        <f>0</f>
        <v>0</v>
      </c>
      <c r="BL225">
        <f t="shared" si="45"/>
        <v>1.3332999999999999</v>
      </c>
      <c r="BM225">
        <f t="shared" si="46"/>
        <v>0</v>
      </c>
      <c r="BN225">
        <f t="shared" si="47"/>
        <v>0</v>
      </c>
      <c r="BO225">
        <f t="shared" si="48"/>
        <v>1</v>
      </c>
      <c r="BP225" s="37">
        <f>IF($F225="","",IFERROR(INDEX(Familias!$C$5:$C$300,MATCH($F225,Familias!$A$5:$A$300,0)),""))</f>
        <v>2320</v>
      </c>
      <c r="BQ225" s="37">
        <f t="shared" si="49"/>
        <v>22155</v>
      </c>
      <c r="BR225" s="36">
        <f t="shared" si="50"/>
        <v>12</v>
      </c>
      <c r="BS225" s="36">
        <f t="shared" si="51"/>
        <v>1.3332999999999999</v>
      </c>
      <c r="BT225" s="36">
        <f t="shared" si="52"/>
        <v>10.666700000000001</v>
      </c>
      <c r="BU225" s="36">
        <f t="shared" si="53"/>
        <v>9.5495999999999999</v>
      </c>
      <c r="BV225" s="39">
        <f t="shared" si="54"/>
        <v>0.89527220227436788</v>
      </c>
      <c r="BW225" s="39">
        <f t="shared" si="55"/>
        <v>0.99977431730986233</v>
      </c>
      <c r="BX225" s="40">
        <f t="shared" si="56"/>
        <v>3.1908104658583278E-2</v>
      </c>
      <c r="BY225" s="40">
        <f t="shared" si="57"/>
        <v>9.1895341416719841E-3</v>
      </c>
      <c r="BZ225" t="str">
        <f t="shared" si="58"/>
        <v>OK</v>
      </c>
      <c r="CA225">
        <f t="shared" si="59"/>
        <v>1</v>
      </c>
    </row>
    <row r="226" spans="1:80" x14ac:dyDescent="0.25">
      <c r="A226" s="35">
        <v>45912</v>
      </c>
      <c r="B226" s="36">
        <v>12</v>
      </c>
      <c r="C226" t="s">
        <v>119</v>
      </c>
      <c r="D226" t="s">
        <v>6</v>
      </c>
      <c r="E226" t="s">
        <v>126</v>
      </c>
      <c r="F226" t="s">
        <v>133</v>
      </c>
      <c r="G226">
        <v>1087</v>
      </c>
      <c r="H226">
        <v>2140110604</v>
      </c>
      <c r="I226" t="s">
        <v>139</v>
      </c>
      <c r="J226" s="37">
        <v>21775</v>
      </c>
      <c r="K226" s="37">
        <v>5</v>
      </c>
      <c r="M226">
        <v>7551</v>
      </c>
      <c r="N226">
        <v>188.37522000000001</v>
      </c>
      <c r="O226">
        <v>150</v>
      </c>
      <c r="P226">
        <v>61</v>
      </c>
      <c r="Q226">
        <v>40</v>
      </c>
      <c r="T226">
        <v>9</v>
      </c>
      <c r="V226" t="s">
        <v>116</v>
      </c>
      <c r="Y226" s="38">
        <v>0.79166666666666663</v>
      </c>
      <c r="Z226" s="38">
        <v>0.29166666666666669</v>
      </c>
      <c r="AA226" t="s">
        <v>117</v>
      </c>
      <c r="AC226" t="s">
        <v>118</v>
      </c>
      <c r="AQ226">
        <v>0.25</v>
      </c>
      <c r="AR226">
        <v>0.75</v>
      </c>
      <c r="BI226">
        <v>0.5</v>
      </c>
      <c r="BK226">
        <f>0</f>
        <v>0</v>
      </c>
      <c r="BL226">
        <f t="shared" si="45"/>
        <v>1.5</v>
      </c>
      <c r="BM226">
        <f t="shared" si="46"/>
        <v>0</v>
      </c>
      <c r="BN226">
        <f t="shared" si="47"/>
        <v>0</v>
      </c>
      <c r="BO226">
        <f t="shared" si="48"/>
        <v>1</v>
      </c>
      <c r="BP226" s="37">
        <f>IF($F226="","",IFERROR(INDEX(Familias!$C$5:$C$300,MATCH($F226,Familias!$A$5:$A$300,0)),""))</f>
        <v>2320</v>
      </c>
      <c r="BQ226" s="37">
        <f t="shared" si="49"/>
        <v>21780</v>
      </c>
      <c r="BR226" s="36">
        <f t="shared" si="50"/>
        <v>12</v>
      </c>
      <c r="BS226" s="36">
        <f t="shared" si="51"/>
        <v>1.5</v>
      </c>
      <c r="BT226" s="36">
        <f t="shared" si="52"/>
        <v>10.5</v>
      </c>
      <c r="BU226" s="36">
        <f t="shared" si="53"/>
        <v>9.3879000000000001</v>
      </c>
      <c r="BV226" s="39">
        <f t="shared" si="54"/>
        <v>0.89408571428571426</v>
      </c>
      <c r="BW226" s="39">
        <f t="shared" si="55"/>
        <v>0.99977043158861345</v>
      </c>
      <c r="BX226" s="40">
        <f t="shared" si="56"/>
        <v>2.7943318765726394E-2</v>
      </c>
      <c r="BY226" s="40">
        <f t="shared" si="57"/>
        <v>5.2973116143557146E-3</v>
      </c>
      <c r="BZ226" t="str">
        <f t="shared" si="58"/>
        <v>OK</v>
      </c>
      <c r="CA226">
        <f t="shared" si="59"/>
        <v>1</v>
      </c>
    </row>
    <row r="227" spans="1:80" x14ac:dyDescent="0.25">
      <c r="A227" s="35">
        <v>45913</v>
      </c>
      <c r="B227" s="36">
        <v>4.7469999999999999</v>
      </c>
      <c r="C227" t="s">
        <v>113</v>
      </c>
      <c r="D227" t="s">
        <v>6</v>
      </c>
      <c r="E227" t="s">
        <v>126</v>
      </c>
      <c r="F227" t="s">
        <v>133</v>
      </c>
      <c r="G227">
        <v>1087</v>
      </c>
      <c r="H227">
        <v>2140110604</v>
      </c>
      <c r="I227" t="s">
        <v>139</v>
      </c>
      <c r="J227" s="37">
        <v>7075</v>
      </c>
      <c r="K227" s="37"/>
      <c r="M227">
        <v>2616</v>
      </c>
      <c r="N227">
        <v>61.191674999999996</v>
      </c>
      <c r="O227">
        <v>46</v>
      </c>
      <c r="P227">
        <v>16</v>
      </c>
      <c r="Q227">
        <v>120</v>
      </c>
      <c r="T227">
        <v>3</v>
      </c>
      <c r="V227" t="s">
        <v>120</v>
      </c>
      <c r="Y227" s="38">
        <v>0.29166666666666669</v>
      </c>
      <c r="Z227" s="38">
        <v>0.48958333333333331</v>
      </c>
      <c r="AA227" t="s">
        <v>117</v>
      </c>
      <c r="AC227" t="s">
        <v>121</v>
      </c>
      <c r="AF227">
        <v>0.13189999999999999</v>
      </c>
      <c r="AG227">
        <v>0.26369999999999999</v>
      </c>
      <c r="AN227">
        <v>0.39560000000000001</v>
      </c>
      <c r="AQ227">
        <v>9.8900000000000002E-2</v>
      </c>
      <c r="AR227">
        <v>0.29670000000000002</v>
      </c>
      <c r="BI227">
        <v>0.1978</v>
      </c>
      <c r="BK227">
        <f>0</f>
        <v>0</v>
      </c>
      <c r="BL227">
        <f t="shared" si="45"/>
        <v>1.3845999999999998</v>
      </c>
      <c r="BM227">
        <f t="shared" si="46"/>
        <v>0</v>
      </c>
      <c r="BN227">
        <f t="shared" si="47"/>
        <v>0</v>
      </c>
      <c r="BO227">
        <f t="shared" si="48"/>
        <v>1</v>
      </c>
      <c r="BP227" s="37">
        <f>IF($F227="","",IFERROR(INDEX(Familias!$C$5:$C$300,MATCH($F227,Familias!$A$5:$A$300,0)),""))</f>
        <v>2320</v>
      </c>
      <c r="BQ227" s="37">
        <f t="shared" si="49"/>
        <v>7075</v>
      </c>
      <c r="BR227" s="36">
        <f t="shared" si="50"/>
        <v>4.7469999999999999</v>
      </c>
      <c r="BS227" s="36">
        <f t="shared" si="51"/>
        <v>1.3846000000000001</v>
      </c>
      <c r="BT227" s="36">
        <f t="shared" si="52"/>
        <v>3.3624000000000001</v>
      </c>
      <c r="BU227" s="36">
        <f t="shared" si="53"/>
        <v>3.0495999999999999</v>
      </c>
      <c r="BV227" s="39">
        <f t="shared" si="54"/>
        <v>0.90697121103973344</v>
      </c>
      <c r="BW227" s="39">
        <f t="shared" si="55"/>
        <v>1</v>
      </c>
      <c r="BX227" s="40">
        <f t="shared" si="56"/>
        <v>2.3700305810397553E-2</v>
      </c>
      <c r="BY227" s="40">
        <f t="shared" si="57"/>
        <v>4.5871559633027525E-2</v>
      </c>
      <c r="BZ227" t="str">
        <f t="shared" si="58"/>
        <v>OK</v>
      </c>
      <c r="CA227">
        <f t="shared" si="59"/>
        <v>1</v>
      </c>
    </row>
    <row r="228" spans="1:80" x14ac:dyDescent="0.25">
      <c r="A228" s="35">
        <v>45913</v>
      </c>
      <c r="B228" s="36">
        <v>7.2530000000000001</v>
      </c>
      <c r="C228" t="s">
        <v>113</v>
      </c>
      <c r="D228" t="s">
        <v>6</v>
      </c>
      <c r="E228" t="s">
        <v>126</v>
      </c>
      <c r="F228" t="s">
        <v>133</v>
      </c>
      <c r="G228">
        <v>1152</v>
      </c>
      <c r="H228">
        <v>2140110606</v>
      </c>
      <c r="I228" t="s">
        <v>141</v>
      </c>
      <c r="J228" s="37">
        <v>10800</v>
      </c>
      <c r="K228" s="37">
        <v>10</v>
      </c>
      <c r="M228">
        <v>3863</v>
      </c>
      <c r="N228">
        <v>93.49569000000001</v>
      </c>
      <c r="O228">
        <v>100</v>
      </c>
      <c r="P228">
        <v>32</v>
      </c>
      <c r="Q228">
        <v>30</v>
      </c>
      <c r="R228">
        <v>15</v>
      </c>
      <c r="T228">
        <v>4</v>
      </c>
      <c r="V228" t="s">
        <v>120</v>
      </c>
      <c r="Y228" s="38">
        <v>0.48958333333333331</v>
      </c>
      <c r="Z228" s="38">
        <v>0.79166666666666663</v>
      </c>
      <c r="AA228" t="s">
        <v>117</v>
      </c>
      <c r="AC228" t="s">
        <v>121</v>
      </c>
      <c r="AF228">
        <v>0.20150000000000001</v>
      </c>
      <c r="AG228">
        <v>0.40289999999999998</v>
      </c>
      <c r="AN228">
        <v>0.60440000000000005</v>
      </c>
      <c r="AQ228">
        <v>0.15110000000000001</v>
      </c>
      <c r="AR228">
        <v>0.45329999999999998</v>
      </c>
      <c r="BI228">
        <v>0.30220000000000002</v>
      </c>
      <c r="BK228">
        <f>0</f>
        <v>0</v>
      </c>
      <c r="BL228">
        <f t="shared" si="45"/>
        <v>2.1154000000000002</v>
      </c>
      <c r="BM228">
        <f t="shared" si="46"/>
        <v>0</v>
      </c>
      <c r="BN228">
        <f t="shared" si="47"/>
        <v>0</v>
      </c>
      <c r="BO228">
        <f t="shared" si="48"/>
        <v>1</v>
      </c>
      <c r="BP228" s="37">
        <f>IF($F228="","",IFERROR(INDEX(Familias!$C$5:$C$300,MATCH($F228,Familias!$A$5:$A$300,0)),""))</f>
        <v>2320</v>
      </c>
      <c r="BQ228" s="37">
        <f t="shared" si="49"/>
        <v>10810</v>
      </c>
      <c r="BR228" s="36">
        <f t="shared" si="50"/>
        <v>7.2530000000000001</v>
      </c>
      <c r="BS228" s="36">
        <f t="shared" si="51"/>
        <v>2.1154000000000002</v>
      </c>
      <c r="BT228" s="36">
        <f t="shared" si="52"/>
        <v>5.1375999999999999</v>
      </c>
      <c r="BU228" s="36">
        <f t="shared" si="53"/>
        <v>4.6595000000000004</v>
      </c>
      <c r="BV228" s="39">
        <f t="shared" si="54"/>
        <v>0.90694098411709756</v>
      </c>
      <c r="BW228" s="39">
        <f t="shared" si="55"/>
        <v>0.99907493061979646</v>
      </c>
      <c r="BX228" s="40">
        <f t="shared" si="56"/>
        <v>3.8053326430235568E-2</v>
      </c>
      <c r="BY228" s="40">
        <f t="shared" si="57"/>
        <v>7.7659849857623607E-3</v>
      </c>
      <c r="BZ228" t="str">
        <f t="shared" si="58"/>
        <v>OK</v>
      </c>
      <c r="CA228">
        <f t="shared" si="59"/>
        <v>1</v>
      </c>
    </row>
    <row r="229" spans="1:80" x14ac:dyDescent="0.25">
      <c r="A229" s="35">
        <v>45913</v>
      </c>
      <c r="B229" s="36">
        <v>8.1237999999999992</v>
      </c>
      <c r="C229" t="s">
        <v>119</v>
      </c>
      <c r="D229" t="s">
        <v>6</v>
      </c>
      <c r="E229" t="s">
        <v>126</v>
      </c>
      <c r="F229" t="s">
        <v>133</v>
      </c>
      <c r="G229">
        <v>1152</v>
      </c>
      <c r="H229">
        <v>2140110606</v>
      </c>
      <c r="I229" t="s">
        <v>141</v>
      </c>
      <c r="J229" s="37">
        <v>7600</v>
      </c>
      <c r="K229" s="37">
        <v>8</v>
      </c>
      <c r="M229">
        <v>2580</v>
      </c>
      <c r="N229">
        <v>65.801591999999999</v>
      </c>
      <c r="O229">
        <v>40</v>
      </c>
      <c r="T229">
        <v>3</v>
      </c>
      <c r="V229" t="s">
        <v>116</v>
      </c>
      <c r="Y229" s="38">
        <v>0.79166666666666663</v>
      </c>
      <c r="Z229" s="38">
        <v>0.12986111111111109</v>
      </c>
      <c r="AA229" t="s">
        <v>117</v>
      </c>
      <c r="AC229" t="s">
        <v>121</v>
      </c>
      <c r="AE229">
        <v>1.4668000000000001</v>
      </c>
      <c r="AQ229">
        <v>1.3540000000000001</v>
      </c>
      <c r="AR229">
        <v>0.50770000000000004</v>
      </c>
      <c r="BI229">
        <v>0.33850000000000002</v>
      </c>
      <c r="BK229">
        <f>0</f>
        <v>0</v>
      </c>
      <c r="BL229">
        <f t="shared" si="45"/>
        <v>3.6669999999999998</v>
      </c>
      <c r="BM229">
        <f t="shared" si="46"/>
        <v>0</v>
      </c>
      <c r="BN229">
        <f t="shared" si="47"/>
        <v>0</v>
      </c>
      <c r="BO229">
        <f t="shared" si="48"/>
        <v>1</v>
      </c>
      <c r="BP229" s="37">
        <f>IF($F229="","",IFERROR(INDEX(Familias!$C$5:$C$300,MATCH($F229,Familias!$A$5:$A$300,0)),""))</f>
        <v>2320</v>
      </c>
      <c r="BQ229" s="37">
        <f t="shared" si="49"/>
        <v>7608</v>
      </c>
      <c r="BR229" s="36">
        <f t="shared" si="50"/>
        <v>8.1237999999999992</v>
      </c>
      <c r="BS229" s="36">
        <f t="shared" si="51"/>
        <v>3.6669999999999998</v>
      </c>
      <c r="BT229" s="36">
        <f t="shared" si="52"/>
        <v>4.4568000000000003</v>
      </c>
      <c r="BU229" s="36">
        <f t="shared" si="53"/>
        <v>3.2793000000000001</v>
      </c>
      <c r="BV229" s="39">
        <f t="shared" si="54"/>
        <v>0.73579698438341412</v>
      </c>
      <c r="BW229" s="39">
        <f t="shared" si="55"/>
        <v>0.9989484752891693</v>
      </c>
      <c r="BX229" s="40">
        <f t="shared" si="56"/>
        <v>1.5503875968992248E-2</v>
      </c>
      <c r="BY229" s="40">
        <f t="shared" si="57"/>
        <v>0</v>
      </c>
      <c r="BZ229" t="str">
        <f t="shared" si="58"/>
        <v>OK</v>
      </c>
      <c r="CA229">
        <f t="shared" si="59"/>
        <v>1</v>
      </c>
    </row>
    <row r="230" spans="1:80" x14ac:dyDescent="0.25">
      <c r="A230" s="35">
        <v>45913</v>
      </c>
      <c r="B230" s="36">
        <v>3.8761999999999999</v>
      </c>
      <c r="C230" t="s">
        <v>119</v>
      </c>
      <c r="D230" t="s">
        <v>6</v>
      </c>
      <c r="E230" t="s">
        <v>126</v>
      </c>
      <c r="F230" t="s">
        <v>191</v>
      </c>
      <c r="G230">
        <v>1161</v>
      </c>
      <c r="H230">
        <v>2140110533</v>
      </c>
      <c r="I230" t="s">
        <v>192</v>
      </c>
      <c r="J230" s="37">
        <v>5800</v>
      </c>
      <c r="K230" s="37">
        <v>5</v>
      </c>
      <c r="M230">
        <v>1389</v>
      </c>
      <c r="N230">
        <v>47.177235000000003</v>
      </c>
      <c r="P230">
        <v>18</v>
      </c>
      <c r="R230">
        <v>30</v>
      </c>
      <c r="V230" t="s">
        <v>116</v>
      </c>
      <c r="Y230" s="38">
        <v>0.12986111111111109</v>
      </c>
      <c r="Z230" s="38">
        <v>0.29166666666666669</v>
      </c>
      <c r="AA230" t="s">
        <v>117</v>
      </c>
      <c r="AC230" t="s">
        <v>121</v>
      </c>
      <c r="AE230">
        <v>0.69989999999999997</v>
      </c>
      <c r="AQ230">
        <v>0.64600000000000002</v>
      </c>
      <c r="AR230">
        <v>0.24229999999999999</v>
      </c>
      <c r="BI230">
        <v>0.1615</v>
      </c>
      <c r="BK230">
        <f>0</f>
        <v>0</v>
      </c>
      <c r="BL230">
        <f t="shared" si="45"/>
        <v>1.7496999999999998</v>
      </c>
      <c r="BM230">
        <f t="shared" si="46"/>
        <v>0</v>
      </c>
      <c r="BN230">
        <f t="shared" si="47"/>
        <v>0</v>
      </c>
      <c r="BO230">
        <f t="shared" si="48"/>
        <v>1</v>
      </c>
      <c r="BP230" s="37">
        <f>IF($F230="","",IFERROR(INDEX(Familias!$C$5:$C$300,MATCH($F230,Familias!$A$5:$A$300,0)),""))</f>
        <v>3710</v>
      </c>
      <c r="BQ230" s="37">
        <f t="shared" si="49"/>
        <v>5805</v>
      </c>
      <c r="BR230" s="36">
        <f t="shared" si="50"/>
        <v>3.8761999999999999</v>
      </c>
      <c r="BS230" s="36">
        <f t="shared" si="51"/>
        <v>1.7497</v>
      </c>
      <c r="BT230" s="36">
        <f t="shared" si="52"/>
        <v>2.1265000000000001</v>
      </c>
      <c r="BU230" s="36">
        <f t="shared" si="53"/>
        <v>1.5647</v>
      </c>
      <c r="BV230" s="39">
        <f t="shared" si="54"/>
        <v>0.73581001645897015</v>
      </c>
      <c r="BW230" s="39">
        <f t="shared" si="55"/>
        <v>0.99913867355727826</v>
      </c>
      <c r="BX230" s="40">
        <f t="shared" si="56"/>
        <v>3.4557235421166309E-2</v>
      </c>
      <c r="BY230" s="40">
        <f t="shared" si="57"/>
        <v>0</v>
      </c>
      <c r="BZ230" t="str">
        <f t="shared" si="58"/>
        <v>OK</v>
      </c>
      <c r="CA230">
        <f t="shared" si="59"/>
        <v>1</v>
      </c>
    </row>
    <row r="231" spans="1:80" x14ac:dyDescent="0.25">
      <c r="A231" s="35">
        <v>45915</v>
      </c>
      <c r="B231" s="36">
        <v>12</v>
      </c>
      <c r="C231" t="s">
        <v>113</v>
      </c>
      <c r="D231" t="s">
        <v>6</v>
      </c>
      <c r="E231" t="s">
        <v>126</v>
      </c>
      <c r="F231" t="s">
        <v>191</v>
      </c>
      <c r="G231">
        <v>1161</v>
      </c>
      <c r="H231">
        <v>2140110533</v>
      </c>
      <c r="I231" t="s">
        <v>192</v>
      </c>
      <c r="J231" s="37">
        <v>29550</v>
      </c>
      <c r="K231" s="37">
        <v>5</v>
      </c>
      <c r="M231">
        <v>5435</v>
      </c>
      <c r="N231">
        <v>240.19348500000001</v>
      </c>
      <c r="O231">
        <v>100</v>
      </c>
      <c r="P231">
        <v>60</v>
      </c>
      <c r="T231">
        <v>10</v>
      </c>
      <c r="V231" t="s">
        <v>116</v>
      </c>
      <c r="Y231" s="38">
        <v>0.29166666666666669</v>
      </c>
      <c r="Z231" s="38">
        <v>0.79166666666666663</v>
      </c>
      <c r="AA231" t="s">
        <v>117</v>
      </c>
      <c r="AC231" t="s">
        <v>118</v>
      </c>
      <c r="AD231">
        <v>0.75</v>
      </c>
      <c r="AQ231">
        <v>0.25</v>
      </c>
      <c r="AR231">
        <v>0.75</v>
      </c>
      <c r="BJ231">
        <v>1.0832999999999999</v>
      </c>
      <c r="BK231">
        <f>0</f>
        <v>0</v>
      </c>
      <c r="BL231">
        <f t="shared" si="45"/>
        <v>2.8332999999999999</v>
      </c>
      <c r="BM231">
        <f t="shared" si="46"/>
        <v>0</v>
      </c>
      <c r="BN231">
        <f t="shared" si="47"/>
        <v>0</v>
      </c>
      <c r="BO231">
        <f t="shared" si="48"/>
        <v>1</v>
      </c>
      <c r="BP231" s="37">
        <f>IF($F231="","",IFERROR(INDEX(Familias!$C$5:$C$300,MATCH($F231,Familias!$A$5:$A$300,0)),""))</f>
        <v>3710</v>
      </c>
      <c r="BQ231" s="37">
        <f t="shared" si="49"/>
        <v>29555</v>
      </c>
      <c r="BR231" s="36">
        <f t="shared" si="50"/>
        <v>12</v>
      </c>
      <c r="BS231" s="36">
        <f t="shared" si="51"/>
        <v>2.8332999999999999</v>
      </c>
      <c r="BT231" s="36">
        <f t="shared" si="52"/>
        <v>9.1667000000000005</v>
      </c>
      <c r="BU231" s="36">
        <f t="shared" si="53"/>
        <v>7.9663000000000004</v>
      </c>
      <c r="BV231" s="39">
        <f t="shared" si="54"/>
        <v>0.86904774891727665</v>
      </c>
      <c r="BW231" s="39">
        <f t="shared" si="55"/>
        <v>0.99983082388766709</v>
      </c>
      <c r="BX231" s="40">
        <f t="shared" si="56"/>
        <v>2.9438822447102116E-2</v>
      </c>
      <c r="BY231" s="40">
        <f t="shared" si="57"/>
        <v>0</v>
      </c>
      <c r="BZ231" t="str">
        <f t="shared" si="58"/>
        <v>OK</v>
      </c>
      <c r="CA231">
        <f t="shared" si="59"/>
        <v>1</v>
      </c>
    </row>
    <row r="232" spans="1:80" x14ac:dyDescent="0.25">
      <c r="A232" s="35">
        <v>45915</v>
      </c>
      <c r="B232" s="36">
        <v>12</v>
      </c>
      <c r="C232" t="s">
        <v>119</v>
      </c>
      <c r="D232" t="s">
        <v>6</v>
      </c>
      <c r="E232" t="s">
        <v>126</v>
      </c>
      <c r="F232" t="s">
        <v>191</v>
      </c>
      <c r="G232">
        <v>1161</v>
      </c>
      <c r="H232">
        <v>2140110533</v>
      </c>
      <c r="I232" t="s">
        <v>192</v>
      </c>
      <c r="J232" s="37">
        <v>32700</v>
      </c>
      <c r="K232" s="37">
        <v>15</v>
      </c>
      <c r="M232">
        <v>5896</v>
      </c>
      <c r="N232">
        <v>265.87480499999998</v>
      </c>
      <c r="Q232">
        <v>56</v>
      </c>
      <c r="T232">
        <v>9</v>
      </c>
      <c r="V232" t="s">
        <v>120</v>
      </c>
      <c r="Y232" s="38">
        <v>0.79166666666666663</v>
      </c>
      <c r="Z232" s="38">
        <v>0.29166666666666669</v>
      </c>
      <c r="AA232" t="s">
        <v>117</v>
      </c>
      <c r="AC232" t="s">
        <v>118</v>
      </c>
      <c r="AQ232">
        <v>0.25</v>
      </c>
      <c r="AR232">
        <v>0.75</v>
      </c>
      <c r="BI232">
        <v>0.5</v>
      </c>
      <c r="BK232">
        <f>0</f>
        <v>0</v>
      </c>
      <c r="BL232">
        <f t="shared" si="45"/>
        <v>1.5</v>
      </c>
      <c r="BM232">
        <f t="shared" si="46"/>
        <v>0</v>
      </c>
      <c r="BN232">
        <f t="shared" si="47"/>
        <v>0</v>
      </c>
      <c r="BO232">
        <f t="shared" si="48"/>
        <v>1</v>
      </c>
      <c r="BP232" s="37">
        <f>IF($F232="","",IFERROR(INDEX(Familias!$C$5:$C$300,MATCH($F232,Familias!$A$5:$A$300,0)),""))</f>
        <v>3710</v>
      </c>
      <c r="BQ232" s="37">
        <f t="shared" si="49"/>
        <v>32715</v>
      </c>
      <c r="BR232" s="36">
        <f t="shared" si="50"/>
        <v>12</v>
      </c>
      <c r="BS232" s="36">
        <f t="shared" si="51"/>
        <v>1.5</v>
      </c>
      <c r="BT232" s="36">
        <f t="shared" si="52"/>
        <v>10.5</v>
      </c>
      <c r="BU232" s="36">
        <f t="shared" si="53"/>
        <v>8.8180999999999994</v>
      </c>
      <c r="BV232" s="39">
        <f t="shared" si="54"/>
        <v>0.83981904761904758</v>
      </c>
      <c r="BW232" s="39">
        <f t="shared" si="55"/>
        <v>0.99954149472718934</v>
      </c>
      <c r="BX232" s="40">
        <f t="shared" si="56"/>
        <v>0</v>
      </c>
      <c r="BY232" s="40">
        <f t="shared" si="57"/>
        <v>9.497964721845319E-3</v>
      </c>
      <c r="BZ232" t="str">
        <f t="shared" si="58"/>
        <v>OK</v>
      </c>
      <c r="CA232">
        <f t="shared" si="59"/>
        <v>1</v>
      </c>
    </row>
    <row r="233" spans="1:80" x14ac:dyDescent="0.25">
      <c r="A233" s="35">
        <v>45916</v>
      </c>
      <c r="B233" s="36">
        <v>12</v>
      </c>
      <c r="C233" t="s">
        <v>113</v>
      </c>
      <c r="D233" t="s">
        <v>6</v>
      </c>
      <c r="E233" t="s">
        <v>126</v>
      </c>
      <c r="F233" t="s">
        <v>191</v>
      </c>
      <c r="G233">
        <v>1161</v>
      </c>
      <c r="H233">
        <v>2140110533</v>
      </c>
      <c r="I233" t="s">
        <v>192</v>
      </c>
      <c r="J233" s="37">
        <v>37350</v>
      </c>
      <c r="K233" s="37">
        <v>5</v>
      </c>
      <c r="M233">
        <v>6988</v>
      </c>
      <c r="N233">
        <v>303.58408500000002</v>
      </c>
      <c r="O233">
        <v>152</v>
      </c>
      <c r="P233">
        <v>74</v>
      </c>
      <c r="Q233">
        <v>44</v>
      </c>
      <c r="T233">
        <v>10</v>
      </c>
      <c r="V233" t="s">
        <v>116</v>
      </c>
      <c r="Y233" s="38">
        <v>0.29166666666666669</v>
      </c>
      <c r="Z233" s="38">
        <v>0.79166666666666663</v>
      </c>
      <c r="AA233" t="s">
        <v>117</v>
      </c>
      <c r="AC233" t="s">
        <v>118</v>
      </c>
      <c r="AQ233">
        <v>0.25</v>
      </c>
      <c r="AR233">
        <v>0.75</v>
      </c>
      <c r="BI233">
        <v>0.5</v>
      </c>
      <c r="BJ233">
        <v>0.41670000000000001</v>
      </c>
      <c r="BK233">
        <f>0</f>
        <v>0</v>
      </c>
      <c r="BL233">
        <f t="shared" si="45"/>
        <v>1.9167000000000001</v>
      </c>
      <c r="BM233">
        <f t="shared" si="46"/>
        <v>0</v>
      </c>
      <c r="BN233">
        <f t="shared" si="47"/>
        <v>0</v>
      </c>
      <c r="BO233">
        <f t="shared" si="48"/>
        <v>1</v>
      </c>
      <c r="BP233" s="37">
        <f>IF($F233="","",IFERROR(INDEX(Familias!$C$5:$C$300,MATCH($F233,Familias!$A$5:$A$300,0)),""))</f>
        <v>3710</v>
      </c>
      <c r="BQ233" s="37">
        <f t="shared" si="49"/>
        <v>37355</v>
      </c>
      <c r="BR233" s="36">
        <f t="shared" si="50"/>
        <v>12</v>
      </c>
      <c r="BS233" s="36">
        <f t="shared" si="51"/>
        <v>1.9167000000000001</v>
      </c>
      <c r="BT233" s="36">
        <f t="shared" si="52"/>
        <v>10.083299999999999</v>
      </c>
      <c r="BU233" s="36">
        <f t="shared" si="53"/>
        <v>10.0687</v>
      </c>
      <c r="BV233" s="39">
        <f t="shared" si="54"/>
        <v>0.99855206132912844</v>
      </c>
      <c r="BW233" s="39">
        <f t="shared" si="55"/>
        <v>0.99986614910989158</v>
      </c>
      <c r="BX233" s="40">
        <f t="shared" si="56"/>
        <v>3.2341156267887805E-2</v>
      </c>
      <c r="BY233" s="40">
        <f t="shared" si="57"/>
        <v>6.2965082999427591E-3</v>
      </c>
      <c r="BZ233" t="str">
        <f t="shared" si="58"/>
        <v>OK</v>
      </c>
      <c r="CA233">
        <f t="shared" si="59"/>
        <v>1</v>
      </c>
    </row>
    <row r="234" spans="1:80" x14ac:dyDescent="0.25">
      <c r="A234" s="35">
        <v>45916</v>
      </c>
      <c r="B234" s="36">
        <v>12</v>
      </c>
      <c r="C234" t="s">
        <v>119</v>
      </c>
      <c r="D234" t="s">
        <v>6</v>
      </c>
      <c r="E234" t="s">
        <v>126</v>
      </c>
      <c r="F234" t="s">
        <v>191</v>
      </c>
      <c r="G234">
        <v>1161</v>
      </c>
      <c r="H234">
        <v>2140110533</v>
      </c>
      <c r="I234" t="s">
        <v>192</v>
      </c>
      <c r="J234" s="37">
        <v>26150</v>
      </c>
      <c r="K234" s="37">
        <v>20</v>
      </c>
      <c r="M234">
        <v>4752</v>
      </c>
      <c r="N234">
        <v>212.68359000000001</v>
      </c>
      <c r="P234">
        <v>42</v>
      </c>
      <c r="Q234">
        <v>33</v>
      </c>
      <c r="T234">
        <v>7</v>
      </c>
      <c r="V234" t="s">
        <v>120</v>
      </c>
      <c r="Y234" s="38">
        <v>0.79166666666666663</v>
      </c>
      <c r="Z234" s="38">
        <v>0.29166666666666669</v>
      </c>
      <c r="AA234" t="s">
        <v>117</v>
      </c>
      <c r="AC234" t="s">
        <v>118</v>
      </c>
      <c r="AQ234">
        <v>0.25</v>
      </c>
      <c r="AR234">
        <v>0.75</v>
      </c>
      <c r="AU234">
        <v>2.75</v>
      </c>
      <c r="BI234">
        <v>0.5</v>
      </c>
      <c r="BK234">
        <f>0</f>
        <v>0</v>
      </c>
      <c r="BL234">
        <f t="shared" si="45"/>
        <v>4.25</v>
      </c>
      <c r="BM234">
        <f t="shared" si="46"/>
        <v>0</v>
      </c>
      <c r="BN234">
        <f t="shared" si="47"/>
        <v>0</v>
      </c>
      <c r="BO234">
        <f t="shared" si="48"/>
        <v>1</v>
      </c>
      <c r="BP234" s="37">
        <f>IF($F234="","",IFERROR(INDEX(Familias!$C$5:$C$300,MATCH($F234,Familias!$A$5:$A$300,0)),""))</f>
        <v>3710</v>
      </c>
      <c r="BQ234" s="37">
        <f t="shared" si="49"/>
        <v>26170</v>
      </c>
      <c r="BR234" s="36">
        <f t="shared" si="50"/>
        <v>12</v>
      </c>
      <c r="BS234" s="36">
        <f t="shared" si="51"/>
        <v>4.25</v>
      </c>
      <c r="BT234" s="36">
        <f t="shared" si="52"/>
        <v>7.75</v>
      </c>
      <c r="BU234" s="36">
        <f t="shared" si="53"/>
        <v>7.0538999999999996</v>
      </c>
      <c r="BV234" s="39">
        <f t="shared" si="54"/>
        <v>0.91018064516129027</v>
      </c>
      <c r="BW234" s="39">
        <f t="shared" si="55"/>
        <v>0.99923576614444021</v>
      </c>
      <c r="BX234" s="40">
        <f t="shared" si="56"/>
        <v>8.8383838383838381E-3</v>
      </c>
      <c r="BY234" s="40">
        <f t="shared" si="57"/>
        <v>6.9444444444444441E-3</v>
      </c>
      <c r="BZ234" t="str">
        <f t="shared" si="58"/>
        <v>OK</v>
      </c>
      <c r="CA234">
        <f t="shared" si="59"/>
        <v>1</v>
      </c>
    </row>
    <row r="235" spans="1:80" x14ac:dyDescent="0.25">
      <c r="A235" s="35">
        <v>45917</v>
      </c>
      <c r="B235" s="36">
        <v>12</v>
      </c>
      <c r="C235" t="s">
        <v>113</v>
      </c>
      <c r="D235" t="s">
        <v>6</v>
      </c>
      <c r="E235" t="s">
        <v>126</v>
      </c>
      <c r="F235" t="s">
        <v>133</v>
      </c>
      <c r="G235">
        <v>1203</v>
      </c>
      <c r="H235">
        <v>2140110604</v>
      </c>
      <c r="I235" t="s">
        <v>139</v>
      </c>
      <c r="J235" s="37">
        <v>6650</v>
      </c>
      <c r="K235" s="37">
        <v>8</v>
      </c>
      <c r="M235">
        <v>2783</v>
      </c>
      <c r="N235">
        <v>57.585042000000001</v>
      </c>
      <c r="O235">
        <v>269</v>
      </c>
      <c r="P235">
        <v>16</v>
      </c>
      <c r="Q235">
        <v>169</v>
      </c>
      <c r="R235">
        <v>80</v>
      </c>
      <c r="T235">
        <v>4</v>
      </c>
      <c r="V235" t="s">
        <v>116</v>
      </c>
      <c r="Y235" s="38">
        <v>0.29166666666666669</v>
      </c>
      <c r="Z235" s="38">
        <v>0.79166666666666663</v>
      </c>
      <c r="AA235" t="s">
        <v>117</v>
      </c>
      <c r="AC235" t="s">
        <v>118</v>
      </c>
      <c r="AK235">
        <v>0.58330000000000004</v>
      </c>
      <c r="AQ235">
        <v>0.25</v>
      </c>
      <c r="AR235">
        <v>0.75</v>
      </c>
      <c r="AW235">
        <v>3.6667000000000001</v>
      </c>
      <c r="BJ235">
        <v>1.9167000000000001</v>
      </c>
      <c r="BK235">
        <f>0</f>
        <v>0</v>
      </c>
      <c r="BL235">
        <f t="shared" si="45"/>
        <v>7.1667000000000005</v>
      </c>
      <c r="BM235">
        <f t="shared" si="46"/>
        <v>0</v>
      </c>
      <c r="BN235">
        <f t="shared" si="47"/>
        <v>0</v>
      </c>
      <c r="BO235">
        <f t="shared" si="48"/>
        <v>1</v>
      </c>
      <c r="BP235" s="37">
        <f>IF($F235="","",IFERROR(INDEX(Familias!$C$5:$C$300,MATCH($F235,Familias!$A$5:$A$300,0)),""))</f>
        <v>2320</v>
      </c>
      <c r="BQ235" s="37">
        <f t="shared" si="49"/>
        <v>6658</v>
      </c>
      <c r="BR235" s="36">
        <f t="shared" si="50"/>
        <v>12</v>
      </c>
      <c r="BS235" s="36">
        <f t="shared" si="51"/>
        <v>7.1666999999999996</v>
      </c>
      <c r="BT235" s="36">
        <f t="shared" si="52"/>
        <v>4.8333000000000004</v>
      </c>
      <c r="BU235" s="36">
        <f t="shared" si="53"/>
        <v>2.8698000000000001</v>
      </c>
      <c r="BV235" s="39">
        <f t="shared" si="54"/>
        <v>0.59375581900564833</v>
      </c>
      <c r="BW235" s="39">
        <f t="shared" si="55"/>
        <v>0.99879843796936019</v>
      </c>
      <c r="BX235" s="40">
        <f t="shared" si="56"/>
        <v>0.13115343154868847</v>
      </c>
      <c r="BY235" s="40">
        <f t="shared" si="57"/>
        <v>6.0725835429392742E-2</v>
      </c>
      <c r="BZ235" t="str">
        <f t="shared" si="58"/>
        <v>OK</v>
      </c>
      <c r="CA235">
        <f t="shared" si="59"/>
        <v>1</v>
      </c>
    </row>
    <row r="236" spans="1:80" x14ac:dyDescent="0.25">
      <c r="A236" s="35">
        <v>45917</v>
      </c>
      <c r="B236" s="36">
        <v>12</v>
      </c>
      <c r="C236" t="s">
        <v>119</v>
      </c>
      <c r="D236" t="s">
        <v>6</v>
      </c>
      <c r="E236" t="s">
        <v>126</v>
      </c>
      <c r="F236" t="s">
        <v>133</v>
      </c>
      <c r="G236">
        <v>1203</v>
      </c>
      <c r="H236">
        <v>2140110604</v>
      </c>
      <c r="I236" t="s">
        <v>139</v>
      </c>
      <c r="J236" s="37">
        <v>18175</v>
      </c>
      <c r="K236" s="37">
        <v>10</v>
      </c>
      <c r="M236">
        <v>6347</v>
      </c>
      <c r="N236">
        <v>157.28206499999999</v>
      </c>
      <c r="O236">
        <v>150</v>
      </c>
      <c r="P236">
        <v>48</v>
      </c>
      <c r="Q236">
        <v>26</v>
      </c>
      <c r="T236">
        <v>8</v>
      </c>
      <c r="V236" t="s">
        <v>120</v>
      </c>
      <c r="Y236" s="38">
        <v>0.79166666666666663</v>
      </c>
      <c r="Z236" s="38">
        <v>0.29166666666666669</v>
      </c>
      <c r="AA236" t="s">
        <v>117</v>
      </c>
      <c r="AC236" t="s">
        <v>118</v>
      </c>
      <c r="AM236">
        <v>0.25</v>
      </c>
      <c r="AO236">
        <v>0.5</v>
      </c>
      <c r="AQ236">
        <v>0.25</v>
      </c>
      <c r="AR236">
        <v>0.75</v>
      </c>
      <c r="BI236">
        <v>0.5</v>
      </c>
      <c r="BK236">
        <f>0</f>
        <v>0</v>
      </c>
      <c r="BL236">
        <f t="shared" si="45"/>
        <v>2.25</v>
      </c>
      <c r="BM236">
        <f t="shared" si="46"/>
        <v>0</v>
      </c>
      <c r="BN236">
        <f t="shared" si="47"/>
        <v>0</v>
      </c>
      <c r="BO236">
        <f t="shared" si="48"/>
        <v>1</v>
      </c>
      <c r="BP236" s="37">
        <f>IF($F236="","",IFERROR(INDEX(Familias!$C$5:$C$300,MATCH($F236,Familias!$A$5:$A$300,0)),""))</f>
        <v>2320</v>
      </c>
      <c r="BQ236" s="37">
        <f t="shared" si="49"/>
        <v>18185</v>
      </c>
      <c r="BR236" s="36">
        <f t="shared" si="50"/>
        <v>12</v>
      </c>
      <c r="BS236" s="36">
        <f t="shared" si="51"/>
        <v>2.25</v>
      </c>
      <c r="BT236" s="36">
        <f t="shared" si="52"/>
        <v>9.75</v>
      </c>
      <c r="BU236" s="36">
        <f t="shared" si="53"/>
        <v>7.8384</v>
      </c>
      <c r="BV236" s="39">
        <f t="shared" si="54"/>
        <v>0.80393846153846149</v>
      </c>
      <c r="BW236" s="39">
        <f t="shared" si="55"/>
        <v>0.99945009623315917</v>
      </c>
      <c r="BX236" s="40">
        <f t="shared" si="56"/>
        <v>3.1195840554592721E-2</v>
      </c>
      <c r="BY236" s="40">
        <f t="shared" si="57"/>
        <v>4.0964235071687411E-3</v>
      </c>
      <c r="BZ236" t="str">
        <f t="shared" si="58"/>
        <v>OK</v>
      </c>
      <c r="CA236">
        <f t="shared" si="59"/>
        <v>1</v>
      </c>
    </row>
    <row r="237" spans="1:80" x14ac:dyDescent="0.25">
      <c r="A237" s="35">
        <v>45918</v>
      </c>
      <c r="B237" s="36">
        <v>12</v>
      </c>
      <c r="C237" t="s">
        <v>113</v>
      </c>
      <c r="D237" t="s">
        <v>6</v>
      </c>
      <c r="E237" t="s">
        <v>126</v>
      </c>
      <c r="F237" t="s">
        <v>133</v>
      </c>
      <c r="G237">
        <v>1203</v>
      </c>
      <c r="H237">
        <v>2140110604</v>
      </c>
      <c r="I237" t="s">
        <v>139</v>
      </c>
      <c r="J237" s="37">
        <v>20325</v>
      </c>
      <c r="K237" s="37">
        <v>10</v>
      </c>
      <c r="M237">
        <v>6938</v>
      </c>
      <c r="N237">
        <v>175.87741500000001</v>
      </c>
      <c r="O237">
        <v>112</v>
      </c>
      <c r="P237">
        <v>30</v>
      </c>
      <c r="T237">
        <v>8</v>
      </c>
      <c r="V237" t="s">
        <v>116</v>
      </c>
      <c r="Y237" s="38">
        <v>0.29166666666666669</v>
      </c>
      <c r="Z237" s="38">
        <v>0.79166666666666663</v>
      </c>
      <c r="AA237" t="s">
        <v>117</v>
      </c>
      <c r="AC237" t="s">
        <v>118</v>
      </c>
      <c r="AQ237">
        <v>0.25</v>
      </c>
      <c r="AR237">
        <v>0.75</v>
      </c>
      <c r="BI237">
        <v>0.5</v>
      </c>
      <c r="BJ237">
        <v>0.58330000000000004</v>
      </c>
      <c r="BK237">
        <f>0</f>
        <v>0</v>
      </c>
      <c r="BL237">
        <f t="shared" si="45"/>
        <v>2.0832999999999999</v>
      </c>
      <c r="BM237">
        <f t="shared" si="46"/>
        <v>0</v>
      </c>
      <c r="BN237">
        <f t="shared" si="47"/>
        <v>0</v>
      </c>
      <c r="BO237">
        <f t="shared" si="48"/>
        <v>1</v>
      </c>
      <c r="BP237" s="37">
        <f>IF($F237="","",IFERROR(INDEX(Familias!$C$5:$C$300,MATCH($F237,Familias!$A$5:$A$300,0)),""))</f>
        <v>2320</v>
      </c>
      <c r="BQ237" s="37">
        <f t="shared" si="49"/>
        <v>20335</v>
      </c>
      <c r="BR237" s="36">
        <f t="shared" si="50"/>
        <v>12</v>
      </c>
      <c r="BS237" s="36">
        <f t="shared" si="51"/>
        <v>2.0832999999999999</v>
      </c>
      <c r="BT237" s="36">
        <f t="shared" si="52"/>
        <v>9.9167000000000005</v>
      </c>
      <c r="BU237" s="36">
        <f t="shared" si="53"/>
        <v>8.7651000000000003</v>
      </c>
      <c r="BV237" s="39">
        <f t="shared" si="54"/>
        <v>0.88387265925156555</v>
      </c>
      <c r="BW237" s="39">
        <f t="shared" si="55"/>
        <v>0.99950823702975167</v>
      </c>
      <c r="BX237" s="40">
        <f t="shared" si="56"/>
        <v>2.0466993369847218E-2</v>
      </c>
      <c r="BY237" s="40">
        <f t="shared" si="57"/>
        <v>0</v>
      </c>
      <c r="BZ237" t="str">
        <f t="shared" si="58"/>
        <v>OK</v>
      </c>
      <c r="CA237">
        <f t="shared" si="59"/>
        <v>1</v>
      </c>
    </row>
    <row r="238" spans="1:80" x14ac:dyDescent="0.25">
      <c r="A238" s="35">
        <v>45918</v>
      </c>
      <c r="B238" s="36">
        <v>2.4641999999999999</v>
      </c>
      <c r="C238" t="s">
        <v>119</v>
      </c>
      <c r="D238" t="s">
        <v>6</v>
      </c>
      <c r="E238" t="s">
        <v>126</v>
      </c>
      <c r="F238" t="s">
        <v>133</v>
      </c>
      <c r="G238">
        <v>1203</v>
      </c>
      <c r="H238">
        <v>2140110604</v>
      </c>
      <c r="I238" t="s">
        <v>139</v>
      </c>
      <c r="J238" s="37">
        <v>3800</v>
      </c>
      <c r="K238" s="37"/>
      <c r="M238">
        <v>1292</v>
      </c>
      <c r="N238">
        <v>32.866199999999999</v>
      </c>
      <c r="O238">
        <v>10</v>
      </c>
      <c r="P238">
        <v>16</v>
      </c>
      <c r="T238">
        <v>1</v>
      </c>
      <c r="V238" t="s">
        <v>120</v>
      </c>
      <c r="Y238" s="38">
        <v>0.79166666666666663</v>
      </c>
      <c r="Z238" s="38">
        <v>0.89444444444444449</v>
      </c>
      <c r="AA238" t="s">
        <v>117</v>
      </c>
      <c r="AC238" t="s">
        <v>121</v>
      </c>
      <c r="AG238">
        <v>0.1027</v>
      </c>
      <c r="AQ238">
        <v>5.1299999999999998E-2</v>
      </c>
      <c r="AR238">
        <v>0.154</v>
      </c>
      <c r="BI238">
        <v>0.1027</v>
      </c>
      <c r="BJ238">
        <v>5.1299999999999998E-2</v>
      </c>
      <c r="BK238">
        <f>0</f>
        <v>0</v>
      </c>
      <c r="BL238">
        <f t="shared" si="45"/>
        <v>0.46200000000000002</v>
      </c>
      <c r="BM238">
        <f t="shared" si="46"/>
        <v>0</v>
      </c>
      <c r="BN238">
        <f t="shared" si="47"/>
        <v>0</v>
      </c>
      <c r="BO238">
        <f t="shared" si="48"/>
        <v>1</v>
      </c>
      <c r="BP238" s="37">
        <f>IF($F238="","",IFERROR(INDEX(Familias!$C$5:$C$300,MATCH($F238,Familias!$A$5:$A$300,0)),""))</f>
        <v>2320</v>
      </c>
      <c r="BQ238" s="37">
        <f t="shared" si="49"/>
        <v>3800</v>
      </c>
      <c r="BR238" s="36">
        <f t="shared" si="50"/>
        <v>2.4641999999999999</v>
      </c>
      <c r="BS238" s="36">
        <f t="shared" si="51"/>
        <v>0.46200000000000002</v>
      </c>
      <c r="BT238" s="36">
        <f t="shared" si="52"/>
        <v>2.0022000000000002</v>
      </c>
      <c r="BU238" s="36">
        <f t="shared" si="53"/>
        <v>1.6378999999999999</v>
      </c>
      <c r="BV238" s="39">
        <f t="shared" si="54"/>
        <v>0.81805014484067518</v>
      </c>
      <c r="BW238" s="39">
        <f t="shared" si="55"/>
        <v>1</v>
      </c>
      <c r="BX238" s="40">
        <f t="shared" si="56"/>
        <v>2.0123839009287926E-2</v>
      </c>
      <c r="BY238" s="40">
        <f t="shared" si="57"/>
        <v>0</v>
      </c>
      <c r="BZ238" t="str">
        <f t="shared" si="58"/>
        <v>OK</v>
      </c>
      <c r="CA238">
        <f t="shared" si="59"/>
        <v>1</v>
      </c>
    </row>
    <row r="239" spans="1:80" x14ac:dyDescent="0.25">
      <c r="A239" s="35">
        <v>45918</v>
      </c>
      <c r="B239" s="36">
        <v>9.5358000000000001</v>
      </c>
      <c r="C239" t="s">
        <v>119</v>
      </c>
      <c r="D239" t="s">
        <v>6</v>
      </c>
      <c r="E239" t="s">
        <v>126</v>
      </c>
      <c r="F239" t="s">
        <v>133</v>
      </c>
      <c r="G239">
        <v>1227</v>
      </c>
      <c r="H239">
        <v>2140110605</v>
      </c>
      <c r="I239" t="s">
        <v>140</v>
      </c>
      <c r="J239" s="37">
        <v>14700</v>
      </c>
      <c r="K239" s="37">
        <v>5</v>
      </c>
      <c r="M239">
        <v>5229</v>
      </c>
      <c r="N239">
        <v>127.183545</v>
      </c>
      <c r="O239">
        <v>170</v>
      </c>
      <c r="P239">
        <v>48</v>
      </c>
      <c r="R239">
        <v>15</v>
      </c>
      <c r="T239">
        <v>6</v>
      </c>
      <c r="V239" t="s">
        <v>120</v>
      </c>
      <c r="Y239" s="38">
        <v>0.89444444444444449</v>
      </c>
      <c r="Z239" s="38">
        <v>0.29166666666666669</v>
      </c>
      <c r="AA239" t="s">
        <v>117</v>
      </c>
      <c r="AC239" t="s">
        <v>121</v>
      </c>
      <c r="AG239">
        <v>0.39729999999999999</v>
      </c>
      <c r="AQ239">
        <v>0.19869999999999999</v>
      </c>
      <c r="AR239">
        <v>0.59599999999999997</v>
      </c>
      <c r="BI239">
        <v>0.39729999999999999</v>
      </c>
      <c r="BJ239">
        <v>0.19869999999999999</v>
      </c>
      <c r="BK239">
        <f>0</f>
        <v>0</v>
      </c>
      <c r="BL239">
        <f t="shared" si="45"/>
        <v>1.7879999999999998</v>
      </c>
      <c r="BM239">
        <f t="shared" si="46"/>
        <v>0</v>
      </c>
      <c r="BN239">
        <f t="shared" si="47"/>
        <v>0</v>
      </c>
      <c r="BO239">
        <f t="shared" si="48"/>
        <v>1</v>
      </c>
      <c r="BP239" s="37">
        <f>IF($F239="","",IFERROR(INDEX(Familias!$C$5:$C$300,MATCH($F239,Familias!$A$5:$A$300,0)),""))</f>
        <v>2320</v>
      </c>
      <c r="BQ239" s="37">
        <f t="shared" si="49"/>
        <v>14705</v>
      </c>
      <c r="BR239" s="36">
        <f t="shared" si="50"/>
        <v>9.5358000000000001</v>
      </c>
      <c r="BS239" s="36">
        <f t="shared" si="51"/>
        <v>1.788</v>
      </c>
      <c r="BT239" s="36">
        <f t="shared" si="52"/>
        <v>7.7477999999999998</v>
      </c>
      <c r="BU239" s="36">
        <f t="shared" si="53"/>
        <v>6.3384</v>
      </c>
      <c r="BV239" s="39">
        <f t="shared" si="54"/>
        <v>0.81809029660032528</v>
      </c>
      <c r="BW239" s="39">
        <f t="shared" si="55"/>
        <v>0.99965997959877595</v>
      </c>
      <c r="BX239" s="40">
        <f t="shared" si="56"/>
        <v>4.455918913750239E-2</v>
      </c>
      <c r="BY239" s="40">
        <f t="shared" si="57"/>
        <v>0</v>
      </c>
      <c r="BZ239" t="str">
        <f t="shared" si="58"/>
        <v>OK</v>
      </c>
      <c r="CA239">
        <f t="shared" si="59"/>
        <v>1</v>
      </c>
    </row>
    <row r="240" spans="1:80" x14ac:dyDescent="0.25">
      <c r="A240" s="35">
        <v>45919</v>
      </c>
      <c r="B240" s="36">
        <v>12</v>
      </c>
      <c r="C240" t="s">
        <v>113</v>
      </c>
      <c r="D240" t="s">
        <v>6</v>
      </c>
      <c r="E240" t="s">
        <v>126</v>
      </c>
      <c r="F240" t="s">
        <v>133</v>
      </c>
      <c r="G240">
        <v>1227</v>
      </c>
      <c r="H240">
        <v>2140110605</v>
      </c>
      <c r="I240" t="s">
        <v>140</v>
      </c>
      <c r="J240" s="37">
        <v>18750</v>
      </c>
      <c r="K240" s="37">
        <v>8</v>
      </c>
      <c r="M240">
        <v>6879</v>
      </c>
      <c r="N240">
        <v>162.237942</v>
      </c>
      <c r="O240">
        <v>95</v>
      </c>
      <c r="P240">
        <v>218</v>
      </c>
      <c r="Q240">
        <v>293</v>
      </c>
      <c r="T240">
        <v>9</v>
      </c>
      <c r="V240" t="s">
        <v>116</v>
      </c>
      <c r="Y240" s="38">
        <v>0.29166666666666669</v>
      </c>
      <c r="Z240" s="38">
        <v>0.79166666666666663</v>
      </c>
      <c r="AA240" t="s">
        <v>117</v>
      </c>
      <c r="AC240" t="s">
        <v>118</v>
      </c>
      <c r="AO240">
        <v>1</v>
      </c>
      <c r="AQ240">
        <v>0.25</v>
      </c>
      <c r="AR240">
        <v>0.75</v>
      </c>
      <c r="BI240">
        <v>0.5</v>
      </c>
      <c r="BK240">
        <f>0</f>
        <v>0</v>
      </c>
      <c r="BL240">
        <f t="shared" si="45"/>
        <v>2.5</v>
      </c>
      <c r="BM240">
        <f t="shared" si="46"/>
        <v>0</v>
      </c>
      <c r="BN240">
        <f t="shared" si="47"/>
        <v>0</v>
      </c>
      <c r="BO240">
        <f t="shared" si="48"/>
        <v>1</v>
      </c>
      <c r="BP240" s="37">
        <f>IF($F240="","",IFERROR(INDEX(Familias!$C$5:$C$300,MATCH($F240,Familias!$A$5:$A$300,0)),""))</f>
        <v>2320</v>
      </c>
      <c r="BQ240" s="37">
        <f t="shared" si="49"/>
        <v>18758</v>
      </c>
      <c r="BR240" s="36">
        <f t="shared" si="50"/>
        <v>12</v>
      </c>
      <c r="BS240" s="36">
        <f t="shared" si="51"/>
        <v>2.5</v>
      </c>
      <c r="BT240" s="36">
        <f t="shared" si="52"/>
        <v>9.5</v>
      </c>
      <c r="BU240" s="36">
        <f t="shared" si="53"/>
        <v>8.0853000000000002</v>
      </c>
      <c r="BV240" s="39">
        <f t="shared" si="54"/>
        <v>0.85108421052631578</v>
      </c>
      <c r="BW240" s="39">
        <f t="shared" si="55"/>
        <v>0.9995735153001386</v>
      </c>
      <c r="BX240" s="40">
        <f t="shared" si="56"/>
        <v>4.550079953481611E-2</v>
      </c>
      <c r="BY240" s="40">
        <f t="shared" si="57"/>
        <v>4.2593400203517956E-2</v>
      </c>
      <c r="BZ240" t="str">
        <f t="shared" si="58"/>
        <v>OK</v>
      </c>
      <c r="CA240">
        <f t="shared" si="59"/>
        <v>1</v>
      </c>
    </row>
    <row r="241" spans="1:80" x14ac:dyDescent="0.25">
      <c r="A241" s="35">
        <v>45919</v>
      </c>
      <c r="B241" s="36">
        <v>12</v>
      </c>
      <c r="C241" t="s">
        <v>119</v>
      </c>
      <c r="D241" t="s">
        <v>6</v>
      </c>
      <c r="E241" t="s">
        <v>126</v>
      </c>
      <c r="F241" t="s">
        <v>133</v>
      </c>
      <c r="G241">
        <v>1227</v>
      </c>
      <c r="H241">
        <v>2140110605</v>
      </c>
      <c r="I241" t="s">
        <v>140</v>
      </c>
      <c r="J241" s="37">
        <v>21150</v>
      </c>
      <c r="K241" s="37">
        <v>15</v>
      </c>
      <c r="M241">
        <v>7389</v>
      </c>
      <c r="N241">
        <v>183.056085</v>
      </c>
      <c r="O241">
        <v>170</v>
      </c>
      <c r="P241">
        <v>64</v>
      </c>
      <c r="V241" t="s">
        <v>120</v>
      </c>
      <c r="Y241" s="38">
        <v>0.79166666666666663</v>
      </c>
      <c r="Z241" s="38">
        <v>0.29166666666666669</v>
      </c>
      <c r="AA241" t="s">
        <v>117</v>
      </c>
      <c r="AC241" t="s">
        <v>118</v>
      </c>
      <c r="AQ241">
        <v>0.25</v>
      </c>
      <c r="AR241">
        <v>0.75</v>
      </c>
      <c r="BI241">
        <v>0.25</v>
      </c>
      <c r="BK241">
        <f>0</f>
        <v>0</v>
      </c>
      <c r="BL241">
        <f t="shared" si="45"/>
        <v>1.25</v>
      </c>
      <c r="BM241">
        <f t="shared" si="46"/>
        <v>0</v>
      </c>
      <c r="BN241">
        <f t="shared" si="47"/>
        <v>0</v>
      </c>
      <c r="BO241">
        <f t="shared" si="48"/>
        <v>1</v>
      </c>
      <c r="BP241" s="37">
        <f>IF($F241="","",IFERROR(INDEX(Familias!$C$5:$C$300,MATCH($F241,Familias!$A$5:$A$300,0)),""))</f>
        <v>2320</v>
      </c>
      <c r="BQ241" s="37">
        <f t="shared" si="49"/>
        <v>21165</v>
      </c>
      <c r="BR241" s="36">
        <f t="shared" si="50"/>
        <v>12</v>
      </c>
      <c r="BS241" s="36">
        <f t="shared" si="51"/>
        <v>1.25</v>
      </c>
      <c r="BT241" s="36">
        <f t="shared" si="52"/>
        <v>10.75</v>
      </c>
      <c r="BU241" s="36">
        <f t="shared" si="53"/>
        <v>9.1227999999999998</v>
      </c>
      <c r="BV241" s="39">
        <f t="shared" si="54"/>
        <v>0.84863255813953486</v>
      </c>
      <c r="BW241" s="39">
        <f t="shared" si="55"/>
        <v>0.99929128277817147</v>
      </c>
      <c r="BX241" s="40">
        <f t="shared" si="56"/>
        <v>3.1668696711327646E-2</v>
      </c>
      <c r="BY241" s="40">
        <f t="shared" si="57"/>
        <v>0</v>
      </c>
      <c r="BZ241" t="str">
        <f t="shared" si="58"/>
        <v>OK</v>
      </c>
      <c r="CA241">
        <f t="shared" si="59"/>
        <v>1</v>
      </c>
    </row>
    <row r="242" spans="1:80" x14ac:dyDescent="0.25">
      <c r="A242" s="35">
        <v>45920</v>
      </c>
      <c r="B242" s="36">
        <v>3.8592</v>
      </c>
      <c r="C242" t="s">
        <v>113</v>
      </c>
      <c r="D242" t="s">
        <v>6</v>
      </c>
      <c r="E242" t="s">
        <v>126</v>
      </c>
      <c r="F242" t="s">
        <v>133</v>
      </c>
      <c r="G242">
        <v>1227</v>
      </c>
      <c r="H242">
        <v>2140110605</v>
      </c>
      <c r="I242" t="s">
        <v>140</v>
      </c>
      <c r="J242" s="37">
        <v>5475</v>
      </c>
      <c r="K242" s="37">
        <v>5</v>
      </c>
      <c r="M242">
        <v>1824</v>
      </c>
      <c r="N242">
        <v>47.396520000000002</v>
      </c>
      <c r="T242">
        <v>2</v>
      </c>
      <c r="V242" t="s">
        <v>116</v>
      </c>
      <c r="Y242" s="38">
        <v>0.29166666666666669</v>
      </c>
      <c r="Z242" s="38">
        <v>0.45277777777777778</v>
      </c>
      <c r="AA242" t="s">
        <v>117</v>
      </c>
      <c r="AC242" t="s">
        <v>121</v>
      </c>
      <c r="AD242">
        <v>5.3600000000000002E-2</v>
      </c>
      <c r="AE242">
        <v>0.29480000000000001</v>
      </c>
      <c r="AQ242">
        <v>8.0399999999999999E-2</v>
      </c>
      <c r="AR242">
        <v>0.2412</v>
      </c>
      <c r="BK242">
        <f>0</f>
        <v>0</v>
      </c>
      <c r="BL242">
        <f t="shared" si="45"/>
        <v>0.66999999999999993</v>
      </c>
      <c r="BM242">
        <f t="shared" si="46"/>
        <v>0</v>
      </c>
      <c r="BN242">
        <f t="shared" si="47"/>
        <v>0</v>
      </c>
      <c r="BO242">
        <f t="shared" si="48"/>
        <v>1</v>
      </c>
      <c r="BP242" s="37">
        <f>IF($F242="","",IFERROR(INDEX(Familias!$C$5:$C$300,MATCH($F242,Familias!$A$5:$A$300,0)),""))</f>
        <v>2320</v>
      </c>
      <c r="BQ242" s="37">
        <f t="shared" si="49"/>
        <v>5480</v>
      </c>
      <c r="BR242" s="36">
        <f t="shared" si="50"/>
        <v>3.8592</v>
      </c>
      <c r="BS242" s="36">
        <f t="shared" si="51"/>
        <v>0.67</v>
      </c>
      <c r="BT242" s="36">
        <f t="shared" si="52"/>
        <v>3.1892</v>
      </c>
      <c r="BU242" s="36">
        <f t="shared" si="53"/>
        <v>2.3620999999999999</v>
      </c>
      <c r="BV242" s="39">
        <f t="shared" si="54"/>
        <v>0.74065596387808852</v>
      </c>
      <c r="BW242" s="39">
        <f t="shared" si="55"/>
        <v>0.99908759124087587</v>
      </c>
      <c r="BX242" s="40">
        <f t="shared" si="56"/>
        <v>0</v>
      </c>
      <c r="BY242" s="40">
        <f t="shared" si="57"/>
        <v>0</v>
      </c>
      <c r="BZ242" t="str">
        <f t="shared" si="58"/>
        <v>OK</v>
      </c>
      <c r="CA242">
        <f t="shared" si="59"/>
        <v>1</v>
      </c>
    </row>
    <row r="243" spans="1:80" x14ac:dyDescent="0.25">
      <c r="A243" s="35">
        <v>45920</v>
      </c>
      <c r="B243" s="36">
        <v>8.1408000000000005</v>
      </c>
      <c r="C243" t="s">
        <v>113</v>
      </c>
      <c r="D243" t="s">
        <v>6</v>
      </c>
      <c r="E243" t="s">
        <v>126</v>
      </c>
      <c r="F243" t="s">
        <v>133</v>
      </c>
      <c r="G243">
        <v>1246</v>
      </c>
      <c r="H243">
        <v>2140110606</v>
      </c>
      <c r="I243" t="s">
        <v>141</v>
      </c>
      <c r="J243" s="37">
        <v>11550</v>
      </c>
      <c r="K243" s="37">
        <v>10</v>
      </c>
      <c r="M243">
        <v>4304</v>
      </c>
      <c r="N243">
        <v>99.982440000000011</v>
      </c>
      <c r="O243">
        <v>200</v>
      </c>
      <c r="P243">
        <v>24</v>
      </c>
      <c r="Q243">
        <v>70</v>
      </c>
      <c r="R243">
        <v>55</v>
      </c>
      <c r="T243">
        <v>6</v>
      </c>
      <c r="V243" t="s">
        <v>116</v>
      </c>
      <c r="Y243" s="38">
        <v>0.45277777777777778</v>
      </c>
      <c r="Z243" s="38">
        <v>0.79166666666666663</v>
      </c>
      <c r="AA243" t="s">
        <v>117</v>
      </c>
      <c r="AC243" t="s">
        <v>121</v>
      </c>
      <c r="AD243">
        <v>0.11310000000000001</v>
      </c>
      <c r="AE243">
        <v>0.62190000000000001</v>
      </c>
      <c r="AQ243">
        <v>0.1696</v>
      </c>
      <c r="AR243">
        <v>0.50880000000000003</v>
      </c>
      <c r="BK243">
        <f>0</f>
        <v>0</v>
      </c>
      <c r="BL243">
        <f t="shared" si="45"/>
        <v>1.4134</v>
      </c>
      <c r="BM243">
        <f t="shared" si="46"/>
        <v>0</v>
      </c>
      <c r="BN243">
        <f t="shared" si="47"/>
        <v>0</v>
      </c>
      <c r="BO243">
        <f t="shared" si="48"/>
        <v>1</v>
      </c>
      <c r="BP243" s="37">
        <f>IF($F243="","",IFERROR(INDEX(Familias!$C$5:$C$300,MATCH($F243,Familias!$A$5:$A$300,0)),""))</f>
        <v>2320</v>
      </c>
      <c r="BQ243" s="37">
        <f t="shared" si="49"/>
        <v>11560</v>
      </c>
      <c r="BR243" s="36">
        <f t="shared" si="50"/>
        <v>8.1408000000000005</v>
      </c>
      <c r="BS243" s="36">
        <f t="shared" si="51"/>
        <v>1.4134</v>
      </c>
      <c r="BT243" s="36">
        <f t="shared" si="52"/>
        <v>6.7274000000000003</v>
      </c>
      <c r="BU243" s="36">
        <f t="shared" si="53"/>
        <v>4.9828000000000001</v>
      </c>
      <c r="BV243" s="39">
        <f t="shared" si="54"/>
        <v>0.74067247376400991</v>
      </c>
      <c r="BW243" s="39">
        <f t="shared" si="55"/>
        <v>0.99913494809688586</v>
      </c>
      <c r="BX243" s="40">
        <f t="shared" si="56"/>
        <v>6.4823420074349436E-2</v>
      </c>
      <c r="BY243" s="40">
        <f t="shared" si="57"/>
        <v>1.6263940520446097E-2</v>
      </c>
      <c r="BZ243" t="str">
        <f t="shared" si="58"/>
        <v>OK</v>
      </c>
      <c r="CA243">
        <f t="shared" si="59"/>
        <v>1</v>
      </c>
    </row>
    <row r="244" spans="1:80" x14ac:dyDescent="0.25">
      <c r="A244" s="35">
        <v>45920</v>
      </c>
      <c r="B244" s="36">
        <v>12</v>
      </c>
      <c r="C244" t="s">
        <v>119</v>
      </c>
      <c r="D244" t="s">
        <v>6</v>
      </c>
      <c r="E244" t="s">
        <v>126</v>
      </c>
      <c r="F244" t="s">
        <v>133</v>
      </c>
      <c r="G244">
        <v>1246</v>
      </c>
      <c r="H244">
        <v>2140110606</v>
      </c>
      <c r="I244" t="s">
        <v>141</v>
      </c>
      <c r="J244" s="37">
        <v>18375</v>
      </c>
      <c r="K244" s="37">
        <v>3</v>
      </c>
      <c r="M244">
        <v>5633</v>
      </c>
      <c r="N244">
        <v>158.951322</v>
      </c>
      <c r="O244">
        <v>75</v>
      </c>
      <c r="P244">
        <v>56</v>
      </c>
      <c r="T244">
        <v>7</v>
      </c>
      <c r="V244" t="s">
        <v>120</v>
      </c>
      <c r="Y244" s="38">
        <v>0.79166666666666663</v>
      </c>
      <c r="Z244" s="38">
        <v>0.29166666666666669</v>
      </c>
      <c r="AA244" t="s">
        <v>117</v>
      </c>
      <c r="AC244" t="s">
        <v>118</v>
      </c>
      <c r="AM244">
        <v>0.5</v>
      </c>
      <c r="AR244">
        <v>0.75</v>
      </c>
      <c r="BC244">
        <v>1.5</v>
      </c>
      <c r="BI244">
        <v>0.33329999999999999</v>
      </c>
      <c r="BK244">
        <f>0</f>
        <v>0</v>
      </c>
      <c r="BL244">
        <f t="shared" si="45"/>
        <v>3.0832999999999999</v>
      </c>
      <c r="BM244">
        <f t="shared" si="46"/>
        <v>0</v>
      </c>
      <c r="BN244">
        <f t="shared" si="47"/>
        <v>0</v>
      </c>
      <c r="BO244">
        <f t="shared" si="48"/>
        <v>1</v>
      </c>
      <c r="BP244" s="37">
        <f>IF($F244="","",IFERROR(INDEX(Familias!$C$5:$C$300,MATCH($F244,Familias!$A$5:$A$300,0)),""))</f>
        <v>2320</v>
      </c>
      <c r="BQ244" s="37">
        <f t="shared" si="49"/>
        <v>18378</v>
      </c>
      <c r="BR244" s="36">
        <f t="shared" si="50"/>
        <v>12</v>
      </c>
      <c r="BS244" s="36">
        <f t="shared" si="51"/>
        <v>3.0832999999999999</v>
      </c>
      <c r="BT244" s="36">
        <f t="shared" si="52"/>
        <v>8.9167000000000005</v>
      </c>
      <c r="BU244" s="36">
        <f t="shared" si="53"/>
        <v>7.9215999999999998</v>
      </c>
      <c r="BV244" s="39">
        <f t="shared" si="54"/>
        <v>0.88840041719470197</v>
      </c>
      <c r="BW244" s="39">
        <f t="shared" si="55"/>
        <v>0.99983676134508648</v>
      </c>
      <c r="BX244" s="40">
        <f t="shared" si="56"/>
        <v>2.3255813953488372E-2</v>
      </c>
      <c r="BY244" s="40">
        <f t="shared" si="57"/>
        <v>0</v>
      </c>
      <c r="BZ244" t="str">
        <f t="shared" si="58"/>
        <v>OK</v>
      </c>
      <c r="CA244">
        <f t="shared" si="59"/>
        <v>1</v>
      </c>
    </row>
    <row r="245" spans="1:80" x14ac:dyDescent="0.25">
      <c r="A245" s="35">
        <v>45922</v>
      </c>
      <c r="B245" s="36">
        <v>12</v>
      </c>
      <c r="C245" t="s">
        <v>113</v>
      </c>
      <c r="D245" t="s">
        <v>6</v>
      </c>
      <c r="E245" t="s">
        <v>126</v>
      </c>
      <c r="F245" t="s">
        <v>133</v>
      </c>
      <c r="G245">
        <v>1246</v>
      </c>
      <c r="H245">
        <v>2140110606</v>
      </c>
      <c r="I245" t="s">
        <v>141</v>
      </c>
      <c r="J245" s="37">
        <v>8550</v>
      </c>
      <c r="K245" s="37">
        <v>10</v>
      </c>
      <c r="M245">
        <v>3164</v>
      </c>
      <c r="N245">
        <v>74.035440000000008</v>
      </c>
      <c r="O245">
        <v>60</v>
      </c>
      <c r="P245">
        <v>32</v>
      </c>
      <c r="Q245">
        <v>80</v>
      </c>
      <c r="R245">
        <v>50</v>
      </c>
      <c r="T245">
        <v>4</v>
      </c>
      <c r="V245" t="s">
        <v>120</v>
      </c>
      <c r="Y245" s="38">
        <v>0.29166666666666669</v>
      </c>
      <c r="Z245" s="38">
        <v>0.79166666666666663</v>
      </c>
      <c r="AA245" t="s">
        <v>117</v>
      </c>
      <c r="AC245" t="s">
        <v>118</v>
      </c>
      <c r="AD245">
        <v>1</v>
      </c>
      <c r="AN245">
        <v>1.25</v>
      </c>
      <c r="AQ245">
        <v>0.25</v>
      </c>
      <c r="AR245">
        <v>0.75</v>
      </c>
      <c r="BJ245">
        <v>4</v>
      </c>
      <c r="BK245">
        <f>0</f>
        <v>0</v>
      </c>
      <c r="BL245">
        <f t="shared" si="45"/>
        <v>7.25</v>
      </c>
      <c r="BM245">
        <f t="shared" si="46"/>
        <v>0</v>
      </c>
      <c r="BN245">
        <f t="shared" si="47"/>
        <v>0</v>
      </c>
      <c r="BO245">
        <f t="shared" si="48"/>
        <v>1</v>
      </c>
      <c r="BP245" s="37">
        <f>IF($F245="","",IFERROR(INDEX(Familias!$C$5:$C$300,MATCH($F245,Familias!$A$5:$A$300,0)),""))</f>
        <v>2320</v>
      </c>
      <c r="BQ245" s="37">
        <f t="shared" si="49"/>
        <v>8560</v>
      </c>
      <c r="BR245" s="36">
        <f t="shared" si="50"/>
        <v>12</v>
      </c>
      <c r="BS245" s="36">
        <f t="shared" si="51"/>
        <v>7.25</v>
      </c>
      <c r="BT245" s="36">
        <f t="shared" si="52"/>
        <v>4.75</v>
      </c>
      <c r="BU245" s="36">
        <f t="shared" si="53"/>
        <v>3.6897000000000002</v>
      </c>
      <c r="BV245" s="39">
        <f t="shared" si="54"/>
        <v>0.77677894736842112</v>
      </c>
      <c r="BW245" s="39">
        <f t="shared" si="55"/>
        <v>0.99883177570093462</v>
      </c>
      <c r="BX245" s="40">
        <f t="shared" si="56"/>
        <v>4.487989886219975E-2</v>
      </c>
      <c r="BY245" s="40">
        <f t="shared" si="57"/>
        <v>2.5284450063211124E-2</v>
      </c>
      <c r="BZ245" t="str">
        <f t="shared" si="58"/>
        <v>OK</v>
      </c>
      <c r="CA245">
        <f t="shared" si="59"/>
        <v>1</v>
      </c>
    </row>
    <row r="246" spans="1:80" x14ac:dyDescent="0.25">
      <c r="A246" s="35">
        <v>45922</v>
      </c>
      <c r="B246" s="36">
        <v>12</v>
      </c>
      <c r="C246" t="s">
        <v>119</v>
      </c>
      <c r="D246" t="s">
        <v>6</v>
      </c>
      <c r="E246" t="s">
        <v>126</v>
      </c>
      <c r="F246" t="s">
        <v>133</v>
      </c>
      <c r="G246">
        <v>1246</v>
      </c>
      <c r="H246">
        <v>2140110606</v>
      </c>
      <c r="I246" t="s">
        <v>141</v>
      </c>
      <c r="J246" s="37">
        <v>18100</v>
      </c>
      <c r="K246" s="37">
        <v>8</v>
      </c>
      <c r="M246">
        <v>6539</v>
      </c>
      <c r="N246">
        <v>156.61609200000001</v>
      </c>
      <c r="O246">
        <v>100</v>
      </c>
      <c r="P246">
        <v>16</v>
      </c>
      <c r="Q246">
        <v>290</v>
      </c>
      <c r="T246">
        <v>8</v>
      </c>
      <c r="V246" t="s">
        <v>116</v>
      </c>
      <c r="Y246" s="38">
        <v>0.79166666666666663</v>
      </c>
      <c r="Z246" s="38">
        <v>0.29166666666666669</v>
      </c>
      <c r="AA246" t="s">
        <v>117</v>
      </c>
      <c r="AC246" t="s">
        <v>118</v>
      </c>
      <c r="AD246">
        <v>0.16669999999999999</v>
      </c>
      <c r="AQ246">
        <v>0.25</v>
      </c>
      <c r="AR246">
        <v>0.75</v>
      </c>
      <c r="BK246">
        <f>0</f>
        <v>0</v>
      </c>
      <c r="BL246">
        <f t="shared" si="45"/>
        <v>1.1667000000000001</v>
      </c>
      <c r="BM246">
        <f t="shared" si="46"/>
        <v>0</v>
      </c>
      <c r="BN246">
        <f t="shared" si="47"/>
        <v>0</v>
      </c>
      <c r="BO246">
        <f t="shared" si="48"/>
        <v>1</v>
      </c>
      <c r="BP246" s="37">
        <f>IF($F246="","",IFERROR(INDEX(Familias!$C$5:$C$300,MATCH($F246,Familias!$A$5:$A$300,0)),""))</f>
        <v>2320</v>
      </c>
      <c r="BQ246" s="37">
        <f t="shared" si="49"/>
        <v>18108</v>
      </c>
      <c r="BR246" s="36">
        <f t="shared" si="50"/>
        <v>12</v>
      </c>
      <c r="BS246" s="36">
        <f t="shared" si="51"/>
        <v>1.1667000000000001</v>
      </c>
      <c r="BT246" s="36">
        <f t="shared" si="52"/>
        <v>10.833299999999999</v>
      </c>
      <c r="BU246" s="36">
        <f t="shared" si="53"/>
        <v>7.8052000000000001</v>
      </c>
      <c r="BV246" s="39">
        <f t="shared" si="54"/>
        <v>0.72048221686835967</v>
      </c>
      <c r="BW246" s="39">
        <f t="shared" si="55"/>
        <v>0.99955820631764969</v>
      </c>
      <c r="BX246" s="40">
        <f t="shared" si="56"/>
        <v>1.7739715552836825E-2</v>
      </c>
      <c r="BY246" s="40">
        <f t="shared" si="57"/>
        <v>4.434928888209206E-2</v>
      </c>
      <c r="BZ246" t="str">
        <f t="shared" si="58"/>
        <v>OK</v>
      </c>
      <c r="CA246">
        <f t="shared" si="59"/>
        <v>1</v>
      </c>
    </row>
    <row r="247" spans="1:80" x14ac:dyDescent="0.25">
      <c r="A247" s="35">
        <v>45923</v>
      </c>
      <c r="B247" s="36">
        <v>12</v>
      </c>
      <c r="C247" t="s">
        <v>113</v>
      </c>
      <c r="D247" t="s">
        <v>6</v>
      </c>
      <c r="E247" t="s">
        <v>126</v>
      </c>
      <c r="F247" t="s">
        <v>133</v>
      </c>
      <c r="G247">
        <v>1246</v>
      </c>
      <c r="H247">
        <v>2140110606</v>
      </c>
      <c r="I247" t="s">
        <v>141</v>
      </c>
      <c r="J247" s="37">
        <v>20825</v>
      </c>
      <c r="K247" s="37">
        <v>10</v>
      </c>
      <c r="M247">
        <v>7292</v>
      </c>
      <c r="N247">
        <v>180.20191500000001</v>
      </c>
      <c r="O247">
        <v>180</v>
      </c>
      <c r="P247">
        <v>72</v>
      </c>
      <c r="Q247">
        <v>42</v>
      </c>
      <c r="T247">
        <v>9</v>
      </c>
      <c r="V247" t="s">
        <v>120</v>
      </c>
      <c r="Y247" s="38">
        <v>0.29166666666666669</v>
      </c>
      <c r="Z247" s="38">
        <v>0.79166666666666663</v>
      </c>
      <c r="AA247" t="s">
        <v>117</v>
      </c>
      <c r="AC247" t="s">
        <v>118</v>
      </c>
      <c r="AQ247">
        <v>0.25</v>
      </c>
      <c r="AR247">
        <v>0.75</v>
      </c>
      <c r="BI247">
        <v>0.33329999999999999</v>
      </c>
      <c r="BK247">
        <f>0</f>
        <v>0</v>
      </c>
      <c r="BL247">
        <f t="shared" si="45"/>
        <v>1.3332999999999999</v>
      </c>
      <c r="BM247">
        <f t="shared" si="46"/>
        <v>0</v>
      </c>
      <c r="BN247">
        <f t="shared" si="47"/>
        <v>0</v>
      </c>
      <c r="BO247">
        <f t="shared" si="48"/>
        <v>1</v>
      </c>
      <c r="BP247" s="37">
        <f>IF($F247="","",IFERROR(INDEX(Familias!$C$5:$C$300,MATCH($F247,Familias!$A$5:$A$300,0)),""))</f>
        <v>2320</v>
      </c>
      <c r="BQ247" s="37">
        <f t="shared" si="49"/>
        <v>20835</v>
      </c>
      <c r="BR247" s="36">
        <f t="shared" si="50"/>
        <v>12</v>
      </c>
      <c r="BS247" s="36">
        <f t="shared" si="51"/>
        <v>1.3332999999999999</v>
      </c>
      <c r="BT247" s="36">
        <f t="shared" si="52"/>
        <v>10.666700000000001</v>
      </c>
      <c r="BU247" s="36">
        <f t="shared" si="53"/>
        <v>8.9806000000000008</v>
      </c>
      <c r="BV247" s="39">
        <f t="shared" si="54"/>
        <v>0.8419286189730657</v>
      </c>
      <c r="BW247" s="39">
        <f t="shared" si="55"/>
        <v>0.99952003839692827</v>
      </c>
      <c r="BX247" s="40">
        <f t="shared" si="56"/>
        <v>3.4558420186505762E-2</v>
      </c>
      <c r="BY247" s="40">
        <f t="shared" si="57"/>
        <v>5.75973669775096E-3</v>
      </c>
      <c r="BZ247" t="str">
        <f t="shared" si="58"/>
        <v>OK</v>
      </c>
      <c r="CA247">
        <f t="shared" si="59"/>
        <v>1</v>
      </c>
    </row>
    <row r="248" spans="1:80" x14ac:dyDescent="0.25">
      <c r="A248" s="35">
        <v>45923</v>
      </c>
      <c r="B248" s="36">
        <v>5.8327</v>
      </c>
      <c r="C248" t="s">
        <v>119</v>
      </c>
      <c r="D248" t="s">
        <v>6</v>
      </c>
      <c r="E248" t="s">
        <v>126</v>
      </c>
      <c r="F248" t="s">
        <v>133</v>
      </c>
      <c r="G248">
        <v>1246</v>
      </c>
      <c r="H248">
        <v>2140110606</v>
      </c>
      <c r="I248" t="s">
        <v>141</v>
      </c>
      <c r="J248" s="37">
        <v>8800</v>
      </c>
      <c r="K248" s="37">
        <v>5</v>
      </c>
      <c r="M248">
        <v>3027</v>
      </c>
      <c r="N248">
        <v>76.15444500000001</v>
      </c>
      <c r="O248">
        <v>45</v>
      </c>
      <c r="T248">
        <v>4</v>
      </c>
      <c r="V248" t="s">
        <v>116</v>
      </c>
      <c r="Y248" s="38">
        <v>0.79166666666666663</v>
      </c>
      <c r="Z248" s="38">
        <v>3.4722222222222217E-2</v>
      </c>
      <c r="AA248" t="s">
        <v>117</v>
      </c>
      <c r="AC248" t="s">
        <v>121</v>
      </c>
      <c r="AD248">
        <v>8.1000000000000003E-2</v>
      </c>
      <c r="AE248">
        <v>0.60760000000000003</v>
      </c>
      <c r="AQ248">
        <v>0.1215</v>
      </c>
      <c r="AR248">
        <v>0.36449999999999999</v>
      </c>
      <c r="BK248">
        <f>0</f>
        <v>0</v>
      </c>
      <c r="BL248">
        <f t="shared" si="45"/>
        <v>1.1746000000000001</v>
      </c>
      <c r="BM248">
        <f t="shared" si="46"/>
        <v>0</v>
      </c>
      <c r="BN248">
        <f t="shared" si="47"/>
        <v>0</v>
      </c>
      <c r="BO248">
        <f t="shared" si="48"/>
        <v>1</v>
      </c>
      <c r="BP248" s="37">
        <f>IF($F248="","",IFERROR(INDEX(Familias!$C$5:$C$300,MATCH($F248,Familias!$A$5:$A$300,0)),""))</f>
        <v>2320</v>
      </c>
      <c r="BQ248" s="37">
        <f t="shared" si="49"/>
        <v>8805</v>
      </c>
      <c r="BR248" s="36">
        <f t="shared" si="50"/>
        <v>5.8327</v>
      </c>
      <c r="BS248" s="36">
        <f t="shared" si="51"/>
        <v>1.1746000000000001</v>
      </c>
      <c r="BT248" s="36">
        <f t="shared" si="52"/>
        <v>4.6581000000000001</v>
      </c>
      <c r="BU248" s="36">
        <f t="shared" si="53"/>
        <v>3.7953000000000001</v>
      </c>
      <c r="BV248" s="39">
        <f t="shared" si="54"/>
        <v>0.81477426418496812</v>
      </c>
      <c r="BW248" s="39">
        <f t="shared" si="55"/>
        <v>0.99943214082907439</v>
      </c>
      <c r="BX248" s="40">
        <f t="shared" si="56"/>
        <v>1.4866204162537165E-2</v>
      </c>
      <c r="BY248" s="40">
        <f t="shared" si="57"/>
        <v>0</v>
      </c>
      <c r="BZ248" t="str">
        <f t="shared" si="58"/>
        <v>OK</v>
      </c>
      <c r="CA248">
        <f t="shared" si="59"/>
        <v>1</v>
      </c>
    </row>
    <row r="249" spans="1:80" x14ac:dyDescent="0.25">
      <c r="A249" s="35">
        <v>45923</v>
      </c>
      <c r="B249" s="36">
        <v>6.1673</v>
      </c>
      <c r="C249" t="s">
        <v>119</v>
      </c>
      <c r="D249" t="s">
        <v>6</v>
      </c>
      <c r="E249" t="s">
        <v>126</v>
      </c>
      <c r="F249" t="s">
        <v>133</v>
      </c>
      <c r="G249">
        <v>1287</v>
      </c>
      <c r="H249">
        <v>2140110637</v>
      </c>
      <c r="I249" t="s">
        <v>142</v>
      </c>
      <c r="J249" s="37">
        <v>9300</v>
      </c>
      <c r="K249" s="37">
        <v>10</v>
      </c>
      <c r="M249">
        <v>70</v>
      </c>
      <c r="N249">
        <v>80.522190000000009</v>
      </c>
      <c r="O249">
        <v>32</v>
      </c>
      <c r="P249">
        <v>119</v>
      </c>
      <c r="T249">
        <v>4</v>
      </c>
      <c r="V249" t="s">
        <v>116</v>
      </c>
      <c r="Y249" s="38">
        <v>3.4722222222222217E-2</v>
      </c>
      <c r="Z249" s="38">
        <v>0.29166666666666669</v>
      </c>
      <c r="AA249" t="s">
        <v>117</v>
      </c>
      <c r="AC249" t="s">
        <v>121</v>
      </c>
      <c r="AD249">
        <v>8.5699999999999998E-2</v>
      </c>
      <c r="AE249">
        <v>0.64239999999999997</v>
      </c>
      <c r="AQ249">
        <v>0.1285</v>
      </c>
      <c r="AR249">
        <v>0.38550000000000001</v>
      </c>
      <c r="BK249">
        <f>0</f>
        <v>0</v>
      </c>
      <c r="BL249">
        <f t="shared" si="45"/>
        <v>1.2421</v>
      </c>
      <c r="BM249">
        <f t="shared" si="46"/>
        <v>0</v>
      </c>
      <c r="BN249">
        <f t="shared" si="47"/>
        <v>0</v>
      </c>
      <c r="BO249">
        <f t="shared" si="48"/>
        <v>1</v>
      </c>
      <c r="BP249" s="37">
        <f>IF($F249="","",IFERROR(INDEX(Familias!$C$5:$C$300,MATCH($F249,Familias!$A$5:$A$300,0)),""))</f>
        <v>2320</v>
      </c>
      <c r="BQ249" s="37">
        <f t="shared" si="49"/>
        <v>9310</v>
      </c>
      <c r="BR249" s="36">
        <f t="shared" si="50"/>
        <v>6.1673</v>
      </c>
      <c r="BS249" s="36">
        <f t="shared" si="51"/>
        <v>1.2421</v>
      </c>
      <c r="BT249" s="36">
        <f t="shared" si="52"/>
        <v>4.9252000000000002</v>
      </c>
      <c r="BU249" s="36">
        <f t="shared" si="53"/>
        <v>4.0129000000000001</v>
      </c>
      <c r="BV249" s="39">
        <f t="shared" si="54"/>
        <v>0.81476894339316164</v>
      </c>
      <c r="BW249" s="39">
        <f t="shared" si="55"/>
        <v>0.9989258861439313</v>
      </c>
      <c r="BX249" s="40">
        <f t="shared" si="56"/>
        <v>2.157142857142857</v>
      </c>
      <c r="BY249" s="40">
        <f t="shared" si="57"/>
        <v>0</v>
      </c>
      <c r="BZ249" t="str">
        <f t="shared" si="58"/>
        <v>OK</v>
      </c>
      <c r="CA249">
        <f t="shared" si="59"/>
        <v>1</v>
      </c>
    </row>
    <row r="250" spans="1:80" x14ac:dyDescent="0.25">
      <c r="A250" s="35">
        <v>45924</v>
      </c>
      <c r="B250" s="36">
        <v>7.6694000000000004</v>
      </c>
      <c r="C250" t="s">
        <v>113</v>
      </c>
      <c r="D250" t="s">
        <v>6</v>
      </c>
      <c r="E250" t="s">
        <v>126</v>
      </c>
      <c r="F250" t="s">
        <v>133</v>
      </c>
      <c r="G250">
        <v>1287</v>
      </c>
      <c r="H250">
        <v>2140110637</v>
      </c>
      <c r="I250" t="s">
        <v>142</v>
      </c>
      <c r="J250" s="37">
        <v>10550</v>
      </c>
      <c r="K250" s="37">
        <v>5</v>
      </c>
      <c r="M250">
        <v>3684</v>
      </c>
      <c r="N250">
        <v>91.290195000000011</v>
      </c>
      <c r="O250">
        <v>50</v>
      </c>
      <c r="P250">
        <v>40</v>
      </c>
      <c r="T250">
        <v>5</v>
      </c>
      <c r="V250" t="s">
        <v>120</v>
      </c>
      <c r="Y250" s="38">
        <v>0.29166666666666669</v>
      </c>
      <c r="Z250" s="38">
        <v>0.61111111111111116</v>
      </c>
      <c r="AA250" t="s">
        <v>117</v>
      </c>
      <c r="AC250" t="s">
        <v>121</v>
      </c>
      <c r="AF250">
        <v>0.21299999999999999</v>
      </c>
      <c r="AG250">
        <v>0.6391</v>
      </c>
      <c r="AO250">
        <v>0.74560000000000004</v>
      </c>
      <c r="AQ250">
        <v>0.1598</v>
      </c>
      <c r="BI250">
        <v>0.21299999999999999</v>
      </c>
      <c r="BK250">
        <f>0</f>
        <v>0</v>
      </c>
      <c r="BL250">
        <f t="shared" si="45"/>
        <v>1.9705000000000001</v>
      </c>
      <c r="BM250">
        <f t="shared" si="46"/>
        <v>0</v>
      </c>
      <c r="BN250">
        <f t="shared" si="47"/>
        <v>0</v>
      </c>
      <c r="BO250">
        <f t="shared" si="48"/>
        <v>1</v>
      </c>
      <c r="BP250" s="37">
        <f>IF($F250="","",IFERROR(INDEX(Familias!$C$5:$C$300,MATCH($F250,Familias!$A$5:$A$300,0)),""))</f>
        <v>2320</v>
      </c>
      <c r="BQ250" s="37">
        <f t="shared" si="49"/>
        <v>10555</v>
      </c>
      <c r="BR250" s="36">
        <f t="shared" si="50"/>
        <v>7.6694000000000004</v>
      </c>
      <c r="BS250" s="36">
        <f t="shared" si="51"/>
        <v>1.9704999999999999</v>
      </c>
      <c r="BT250" s="36">
        <f t="shared" si="52"/>
        <v>5.6989000000000001</v>
      </c>
      <c r="BU250" s="36">
        <f t="shared" si="53"/>
        <v>4.5495999999999999</v>
      </c>
      <c r="BV250" s="39">
        <f t="shared" si="54"/>
        <v>0.79832950218463206</v>
      </c>
      <c r="BW250" s="39">
        <f t="shared" si="55"/>
        <v>0.99952629085741351</v>
      </c>
      <c r="BX250" s="40">
        <f t="shared" si="56"/>
        <v>2.4429967426710098E-2</v>
      </c>
      <c r="BY250" s="40">
        <f t="shared" si="57"/>
        <v>0</v>
      </c>
      <c r="BZ250" t="str">
        <f t="shared" si="58"/>
        <v>OK</v>
      </c>
      <c r="CA250">
        <f t="shared" si="59"/>
        <v>1</v>
      </c>
    </row>
    <row r="251" spans="1:80" x14ac:dyDescent="0.25">
      <c r="A251" s="35">
        <v>45924</v>
      </c>
      <c r="B251" s="36">
        <v>4.3305999999999996</v>
      </c>
      <c r="C251" t="s">
        <v>113</v>
      </c>
      <c r="D251" t="s">
        <v>6</v>
      </c>
      <c r="E251" t="s">
        <v>126</v>
      </c>
      <c r="F251" t="s">
        <v>133</v>
      </c>
      <c r="G251">
        <v>1298</v>
      </c>
      <c r="H251">
        <v>2140110604</v>
      </c>
      <c r="I251" t="s">
        <v>139</v>
      </c>
      <c r="J251" s="37">
        <v>5950</v>
      </c>
      <c r="K251" s="37">
        <v>10</v>
      </c>
      <c r="M251">
        <v>2079</v>
      </c>
      <c r="N251">
        <v>51.54804</v>
      </c>
      <c r="O251">
        <v>25</v>
      </c>
      <c r="P251">
        <v>16</v>
      </c>
      <c r="Q251">
        <v>20</v>
      </c>
      <c r="R251">
        <v>31</v>
      </c>
      <c r="T251">
        <v>2</v>
      </c>
      <c r="V251" t="s">
        <v>120</v>
      </c>
      <c r="Y251" s="38">
        <v>0.61111111111111116</v>
      </c>
      <c r="Z251" s="38">
        <v>0.79166666666666663</v>
      </c>
      <c r="AA251" t="s">
        <v>117</v>
      </c>
      <c r="AC251" t="s">
        <v>121</v>
      </c>
      <c r="AF251">
        <v>0.1203</v>
      </c>
      <c r="AG251">
        <v>0.3609</v>
      </c>
      <c r="AO251">
        <v>0.42099999999999999</v>
      </c>
      <c r="AQ251">
        <v>9.0200000000000002E-2</v>
      </c>
      <c r="BI251">
        <v>0.1203</v>
      </c>
      <c r="BK251">
        <f>0</f>
        <v>0</v>
      </c>
      <c r="BL251">
        <f t="shared" si="45"/>
        <v>1.1127</v>
      </c>
      <c r="BM251">
        <f t="shared" si="46"/>
        <v>0</v>
      </c>
      <c r="BN251">
        <f t="shared" si="47"/>
        <v>0</v>
      </c>
      <c r="BO251">
        <f t="shared" si="48"/>
        <v>1</v>
      </c>
      <c r="BP251" s="37">
        <f>IF($F251="","",IFERROR(INDEX(Familias!$C$5:$C$300,MATCH($F251,Familias!$A$5:$A$300,0)),""))</f>
        <v>2320</v>
      </c>
      <c r="BQ251" s="37">
        <f t="shared" si="49"/>
        <v>5960</v>
      </c>
      <c r="BR251" s="36">
        <f t="shared" si="50"/>
        <v>4.3305999999999996</v>
      </c>
      <c r="BS251" s="36">
        <f t="shared" si="51"/>
        <v>1.1127</v>
      </c>
      <c r="BT251" s="36">
        <f t="shared" si="52"/>
        <v>3.2179000000000002</v>
      </c>
      <c r="BU251" s="36">
        <f t="shared" si="53"/>
        <v>2.569</v>
      </c>
      <c r="BV251" s="39">
        <f t="shared" si="54"/>
        <v>0.79834674787905147</v>
      </c>
      <c r="BW251" s="39">
        <f t="shared" si="55"/>
        <v>0.99832214765100669</v>
      </c>
      <c r="BX251" s="40">
        <f t="shared" si="56"/>
        <v>3.4632034632034632E-2</v>
      </c>
      <c r="BY251" s="40">
        <f t="shared" si="57"/>
        <v>9.6200096200096206E-3</v>
      </c>
      <c r="BZ251" t="str">
        <f t="shared" si="58"/>
        <v>OK</v>
      </c>
      <c r="CA251">
        <f t="shared" si="59"/>
        <v>1</v>
      </c>
    </row>
    <row r="252" spans="1:80" x14ac:dyDescent="0.25">
      <c r="A252" s="35">
        <v>45924</v>
      </c>
      <c r="B252" s="36">
        <v>12</v>
      </c>
      <c r="C252" t="s">
        <v>119</v>
      </c>
      <c r="D252" t="s">
        <v>6</v>
      </c>
      <c r="E252" t="s">
        <v>126</v>
      </c>
      <c r="F252" t="s">
        <v>133</v>
      </c>
      <c r="G252">
        <v>1298</v>
      </c>
      <c r="H252">
        <v>2140110604</v>
      </c>
      <c r="I252" t="s">
        <v>139</v>
      </c>
      <c r="J252" s="37">
        <v>19475</v>
      </c>
      <c r="K252" s="37">
        <v>8</v>
      </c>
      <c r="M252">
        <v>6853</v>
      </c>
      <c r="N252">
        <v>168.508467</v>
      </c>
      <c r="O252">
        <v>90</v>
      </c>
      <c r="P252">
        <v>64</v>
      </c>
      <c r="Q252">
        <v>18</v>
      </c>
      <c r="T252">
        <v>9</v>
      </c>
      <c r="V252" t="s">
        <v>116</v>
      </c>
      <c r="Y252" s="38">
        <v>0.79166666666666663</v>
      </c>
      <c r="Z252" s="38">
        <v>0.29166666666666669</v>
      </c>
      <c r="AA252" t="s">
        <v>117</v>
      </c>
      <c r="AC252" t="s">
        <v>118</v>
      </c>
      <c r="AD252">
        <v>0.25</v>
      </c>
      <c r="AO252">
        <v>1.25</v>
      </c>
      <c r="AQ252">
        <v>0.25</v>
      </c>
      <c r="AR252">
        <v>0.75</v>
      </c>
      <c r="BK252">
        <f>0</f>
        <v>0</v>
      </c>
      <c r="BL252">
        <f t="shared" si="45"/>
        <v>2.5</v>
      </c>
      <c r="BM252">
        <f t="shared" si="46"/>
        <v>0</v>
      </c>
      <c r="BN252">
        <f t="shared" si="47"/>
        <v>0</v>
      </c>
      <c r="BO252">
        <f t="shared" si="48"/>
        <v>1</v>
      </c>
      <c r="BP252" s="37">
        <f>IF($F252="","",IFERROR(INDEX(Familias!$C$5:$C$300,MATCH($F252,Familias!$A$5:$A$300,0)),""))</f>
        <v>2320</v>
      </c>
      <c r="BQ252" s="37">
        <f t="shared" si="49"/>
        <v>19483</v>
      </c>
      <c r="BR252" s="36">
        <f t="shared" si="50"/>
        <v>12</v>
      </c>
      <c r="BS252" s="36">
        <f t="shared" si="51"/>
        <v>2.5</v>
      </c>
      <c r="BT252" s="36">
        <f t="shared" si="52"/>
        <v>9.5</v>
      </c>
      <c r="BU252" s="36">
        <f t="shared" si="53"/>
        <v>8.3978000000000002</v>
      </c>
      <c r="BV252" s="39">
        <f t="shared" si="54"/>
        <v>0.88397894736842109</v>
      </c>
      <c r="BW252" s="39">
        <f t="shared" si="55"/>
        <v>0.9995893856182313</v>
      </c>
      <c r="BX252" s="40">
        <f t="shared" si="56"/>
        <v>2.247191011235955E-2</v>
      </c>
      <c r="BY252" s="40">
        <f t="shared" si="57"/>
        <v>2.6265868962498176E-3</v>
      </c>
      <c r="BZ252" t="str">
        <f t="shared" si="58"/>
        <v>OK</v>
      </c>
      <c r="CA252">
        <f t="shared" si="59"/>
        <v>1</v>
      </c>
    </row>
    <row r="253" spans="1:80" x14ac:dyDescent="0.25">
      <c r="A253" s="35">
        <v>45925</v>
      </c>
      <c r="B253" s="36">
        <v>4.5152000000000001</v>
      </c>
      <c r="C253" t="s">
        <v>113</v>
      </c>
      <c r="D253" t="s">
        <v>6</v>
      </c>
      <c r="E253" t="s">
        <v>126</v>
      </c>
      <c r="F253" t="s">
        <v>133</v>
      </c>
      <c r="G253">
        <v>1298</v>
      </c>
      <c r="H253">
        <v>2140110604</v>
      </c>
      <c r="I253" t="s">
        <v>139</v>
      </c>
      <c r="J253" s="37">
        <v>6525</v>
      </c>
      <c r="K253" s="37"/>
      <c r="M253">
        <v>2138</v>
      </c>
      <c r="N253">
        <v>56.434725</v>
      </c>
      <c r="O253">
        <v>20</v>
      </c>
      <c r="P253">
        <v>16</v>
      </c>
      <c r="T253">
        <v>2</v>
      </c>
      <c r="V253" t="s">
        <v>120</v>
      </c>
      <c r="Y253" s="38">
        <v>0.29166666666666669</v>
      </c>
      <c r="Z253" s="38">
        <v>0.47986111111111113</v>
      </c>
      <c r="AA253" t="s">
        <v>117</v>
      </c>
      <c r="AC253" t="s">
        <v>121</v>
      </c>
      <c r="AF253">
        <v>0.15679999999999999</v>
      </c>
      <c r="AG253">
        <v>0.25080000000000002</v>
      </c>
      <c r="AI253">
        <v>0.12540000000000001</v>
      </c>
      <c r="AO253">
        <v>0.18809999999999999</v>
      </c>
      <c r="AQ253">
        <v>9.4100000000000003E-2</v>
      </c>
      <c r="AS253">
        <v>0.12540000000000001</v>
      </c>
      <c r="BI253">
        <v>0.12540000000000001</v>
      </c>
      <c r="BK253">
        <f>0</f>
        <v>0</v>
      </c>
      <c r="BL253">
        <f t="shared" si="45"/>
        <v>1.0660000000000001</v>
      </c>
      <c r="BM253">
        <f t="shared" si="46"/>
        <v>0</v>
      </c>
      <c r="BN253">
        <f t="shared" si="47"/>
        <v>0</v>
      </c>
      <c r="BO253">
        <f t="shared" si="48"/>
        <v>1</v>
      </c>
      <c r="BP253" s="37">
        <f>IF($F253="","",IFERROR(INDEX(Familias!$C$5:$C$300,MATCH($F253,Familias!$A$5:$A$300,0)),""))</f>
        <v>2320</v>
      </c>
      <c r="BQ253" s="37">
        <f t="shared" si="49"/>
        <v>6525</v>
      </c>
      <c r="BR253" s="36">
        <f t="shared" si="50"/>
        <v>4.5152000000000001</v>
      </c>
      <c r="BS253" s="36">
        <f t="shared" si="51"/>
        <v>1.0660000000000001</v>
      </c>
      <c r="BT253" s="36">
        <f t="shared" si="52"/>
        <v>3.4491999999999998</v>
      </c>
      <c r="BU253" s="36">
        <f t="shared" si="53"/>
        <v>2.8125</v>
      </c>
      <c r="BV253" s="39">
        <f t="shared" si="54"/>
        <v>0.81540647106575437</v>
      </c>
      <c r="BW253" s="39">
        <f t="shared" si="55"/>
        <v>1</v>
      </c>
      <c r="BX253" s="40">
        <f t="shared" si="56"/>
        <v>1.6838166510757719E-2</v>
      </c>
      <c r="BY253" s="40">
        <f t="shared" si="57"/>
        <v>0</v>
      </c>
      <c r="BZ253" t="str">
        <f t="shared" si="58"/>
        <v>OK</v>
      </c>
      <c r="CA253">
        <f t="shared" si="59"/>
        <v>1</v>
      </c>
    </row>
    <row r="254" spans="1:80" x14ac:dyDescent="0.25">
      <c r="A254" s="35">
        <v>45925</v>
      </c>
      <c r="B254" s="36">
        <v>7.4847999999999999</v>
      </c>
      <c r="C254" t="s">
        <v>113</v>
      </c>
      <c r="D254" t="s">
        <v>6</v>
      </c>
      <c r="E254" t="s">
        <v>147</v>
      </c>
      <c r="F254" t="s">
        <v>193</v>
      </c>
      <c r="G254">
        <v>1312</v>
      </c>
      <c r="H254">
        <v>2140110689</v>
      </c>
      <c r="I254" t="s">
        <v>194</v>
      </c>
      <c r="J254" s="37">
        <v>8750</v>
      </c>
      <c r="K254" s="37">
        <v>15</v>
      </c>
      <c r="M254">
        <v>3346</v>
      </c>
      <c r="N254">
        <v>81.226131499998317</v>
      </c>
      <c r="O254">
        <v>15</v>
      </c>
      <c r="P254">
        <v>32</v>
      </c>
      <c r="Q254">
        <v>30</v>
      </c>
      <c r="R254">
        <v>60</v>
      </c>
      <c r="T254">
        <v>4</v>
      </c>
      <c r="V254" t="s">
        <v>120</v>
      </c>
      <c r="Y254" s="38">
        <v>0.47986111111111113</v>
      </c>
      <c r="Z254" s="38">
        <v>0.79166666666666663</v>
      </c>
      <c r="AA254" t="s">
        <v>117</v>
      </c>
      <c r="AC254" t="s">
        <v>121</v>
      </c>
      <c r="AF254">
        <v>0.25990000000000002</v>
      </c>
      <c r="AG254">
        <v>0.4158</v>
      </c>
      <c r="AI254">
        <v>0.2079</v>
      </c>
      <c r="AO254">
        <v>0.31190000000000001</v>
      </c>
      <c r="AQ254">
        <v>0.15590000000000001</v>
      </c>
      <c r="AS254">
        <v>0.2079</v>
      </c>
      <c r="BI254">
        <v>0.2079</v>
      </c>
      <c r="BK254">
        <f>0</f>
        <v>0</v>
      </c>
      <c r="BL254">
        <f t="shared" si="45"/>
        <v>1.7671999999999999</v>
      </c>
      <c r="BM254">
        <f t="shared" si="46"/>
        <v>0</v>
      </c>
      <c r="BN254">
        <f t="shared" si="47"/>
        <v>0</v>
      </c>
      <c r="BO254">
        <f t="shared" si="48"/>
        <v>1</v>
      </c>
      <c r="BP254" s="37">
        <f>IF($F254="","",IFERROR(INDEX(Familias!$C$5:$C$300,MATCH($F254,Familias!$A$5:$A$300,0)),""))</f>
        <v>1880</v>
      </c>
      <c r="BQ254" s="37">
        <f t="shared" si="49"/>
        <v>8765</v>
      </c>
      <c r="BR254" s="36">
        <f t="shared" si="50"/>
        <v>7.4847999999999999</v>
      </c>
      <c r="BS254" s="36">
        <f t="shared" si="51"/>
        <v>1.7672000000000001</v>
      </c>
      <c r="BT254" s="36">
        <f t="shared" si="52"/>
        <v>5.7176</v>
      </c>
      <c r="BU254" s="36">
        <f t="shared" si="53"/>
        <v>4.6622000000000003</v>
      </c>
      <c r="BV254" s="39">
        <f t="shared" si="54"/>
        <v>0.81541206100461738</v>
      </c>
      <c r="BW254" s="39">
        <f t="shared" si="55"/>
        <v>0.99828864803194528</v>
      </c>
      <c r="BX254" s="40">
        <f t="shared" si="56"/>
        <v>3.197848176927675E-2</v>
      </c>
      <c r="BY254" s="40">
        <f t="shared" si="57"/>
        <v>8.9659294680215183E-3</v>
      </c>
      <c r="BZ254" t="str">
        <f t="shared" si="58"/>
        <v>OK</v>
      </c>
      <c r="CA254">
        <f t="shared" si="59"/>
        <v>1</v>
      </c>
    </row>
    <row r="255" spans="1:80" x14ac:dyDescent="0.25">
      <c r="A255" s="35">
        <v>45925</v>
      </c>
      <c r="B255" s="36">
        <v>12</v>
      </c>
      <c r="C255" t="s">
        <v>119</v>
      </c>
      <c r="D255" t="s">
        <v>6</v>
      </c>
      <c r="E255" t="s">
        <v>147</v>
      </c>
      <c r="F255" t="s">
        <v>193</v>
      </c>
      <c r="G255">
        <v>1312</v>
      </c>
      <c r="H255">
        <v>2140110689</v>
      </c>
      <c r="I255" t="s">
        <v>194</v>
      </c>
      <c r="J255" s="37">
        <v>17070</v>
      </c>
      <c r="K255" s="37">
        <v>10</v>
      </c>
      <c r="M255">
        <v>6484</v>
      </c>
      <c r="N255">
        <v>158.28206799999671</v>
      </c>
      <c r="O255">
        <v>75</v>
      </c>
      <c r="P255">
        <v>56</v>
      </c>
      <c r="Q255">
        <v>49</v>
      </c>
      <c r="T255">
        <v>9</v>
      </c>
      <c r="V255" t="s">
        <v>116</v>
      </c>
      <c r="Y255" s="38">
        <v>0.79166666666666663</v>
      </c>
      <c r="Z255" s="38">
        <v>0.29166666666666669</v>
      </c>
      <c r="AA255" t="s">
        <v>117</v>
      </c>
      <c r="AC255" t="s">
        <v>118</v>
      </c>
      <c r="AD255">
        <v>0.25</v>
      </c>
      <c r="AM255">
        <v>0.5</v>
      </c>
      <c r="AO255">
        <v>0.5</v>
      </c>
      <c r="AQ255">
        <v>0.25</v>
      </c>
      <c r="AR255">
        <v>0.75</v>
      </c>
      <c r="BK255">
        <f>0</f>
        <v>0</v>
      </c>
      <c r="BL255">
        <f t="shared" si="45"/>
        <v>2.25</v>
      </c>
      <c r="BM255">
        <f t="shared" si="46"/>
        <v>0</v>
      </c>
      <c r="BN255">
        <f t="shared" si="47"/>
        <v>0</v>
      </c>
      <c r="BO255">
        <f t="shared" si="48"/>
        <v>1</v>
      </c>
      <c r="BP255" s="37">
        <f>IF($F255="","",IFERROR(INDEX(Familias!$C$5:$C$300,MATCH($F255,Familias!$A$5:$A$300,0)),""))</f>
        <v>1880</v>
      </c>
      <c r="BQ255" s="37">
        <f t="shared" si="49"/>
        <v>17080</v>
      </c>
      <c r="BR255" s="36">
        <f t="shared" si="50"/>
        <v>12</v>
      </c>
      <c r="BS255" s="36">
        <f t="shared" si="51"/>
        <v>2.25</v>
      </c>
      <c r="BT255" s="36">
        <f t="shared" si="52"/>
        <v>9.75</v>
      </c>
      <c r="BU255" s="36">
        <f t="shared" si="53"/>
        <v>9.0851000000000006</v>
      </c>
      <c r="BV255" s="39">
        <f t="shared" si="54"/>
        <v>0.93180512820512829</v>
      </c>
      <c r="BW255" s="39">
        <f t="shared" si="55"/>
        <v>0.99941451990632324</v>
      </c>
      <c r="BX255" s="40">
        <f t="shared" si="56"/>
        <v>2.0203578038247995E-2</v>
      </c>
      <c r="BY255" s="40">
        <f t="shared" si="57"/>
        <v>7.557063541024059E-3</v>
      </c>
      <c r="BZ255" t="str">
        <f t="shared" si="58"/>
        <v>OK</v>
      </c>
      <c r="CA255">
        <f t="shared" si="59"/>
        <v>1</v>
      </c>
    </row>
    <row r="256" spans="1:80" x14ac:dyDescent="0.25">
      <c r="A256" s="35">
        <v>45926</v>
      </c>
      <c r="B256" s="36">
        <v>10.0496</v>
      </c>
      <c r="C256" t="s">
        <v>113</v>
      </c>
      <c r="D256" t="s">
        <v>6</v>
      </c>
      <c r="E256" t="s">
        <v>147</v>
      </c>
      <c r="F256" t="s">
        <v>193</v>
      </c>
      <c r="G256">
        <v>1320</v>
      </c>
      <c r="H256">
        <v>2140110688</v>
      </c>
      <c r="I256" t="s">
        <v>195</v>
      </c>
      <c r="J256" s="37">
        <v>15200</v>
      </c>
      <c r="K256" s="37"/>
      <c r="M256">
        <v>5599</v>
      </c>
      <c r="N256">
        <v>140.85991999999709</v>
      </c>
      <c r="O256">
        <v>33</v>
      </c>
      <c r="P256">
        <v>56</v>
      </c>
      <c r="R256">
        <v>15</v>
      </c>
      <c r="T256">
        <v>7</v>
      </c>
      <c r="V256" t="s">
        <v>120</v>
      </c>
      <c r="Y256" s="38">
        <v>0.29166666666666669</v>
      </c>
      <c r="Z256" s="38">
        <v>0.7104166666666667</v>
      </c>
      <c r="AA256" t="s">
        <v>117</v>
      </c>
      <c r="AC256" t="s">
        <v>136</v>
      </c>
      <c r="AF256">
        <v>2.9310999999999998</v>
      </c>
      <c r="AG256">
        <v>0.83750000000000002</v>
      </c>
      <c r="AQ256">
        <v>0.2094</v>
      </c>
      <c r="AR256">
        <v>0.62809999999999999</v>
      </c>
      <c r="BI256">
        <v>0.2094</v>
      </c>
      <c r="BK256">
        <f>0</f>
        <v>0</v>
      </c>
      <c r="BL256">
        <f t="shared" si="45"/>
        <v>4.8154999999999992</v>
      </c>
      <c r="BM256">
        <f t="shared" si="46"/>
        <v>0</v>
      </c>
      <c r="BN256">
        <f t="shared" si="47"/>
        <v>0</v>
      </c>
      <c r="BO256">
        <f t="shared" si="48"/>
        <v>1</v>
      </c>
      <c r="BP256" s="37">
        <f>IF($F256="","",IFERROR(INDEX(Familias!$C$5:$C$300,MATCH($F256,Familias!$A$5:$A$300,0)),""))</f>
        <v>1880</v>
      </c>
      <c r="BQ256" s="37">
        <f t="shared" si="49"/>
        <v>15200</v>
      </c>
      <c r="BR256" s="36">
        <f t="shared" si="50"/>
        <v>10.0496</v>
      </c>
      <c r="BS256" s="36">
        <f t="shared" si="51"/>
        <v>4.8155000000000001</v>
      </c>
      <c r="BT256" s="36">
        <f t="shared" si="52"/>
        <v>5.2340999999999998</v>
      </c>
      <c r="BU256" s="36">
        <f t="shared" si="53"/>
        <v>8.0851000000000006</v>
      </c>
      <c r="BV256" s="39">
        <f t="shared" si="54"/>
        <v>1.5446972736478097</v>
      </c>
      <c r="BW256" s="39">
        <f t="shared" si="55"/>
        <v>1</v>
      </c>
      <c r="BX256" s="40">
        <f t="shared" si="56"/>
        <v>1.857474549026612E-2</v>
      </c>
      <c r="BY256" s="40">
        <f t="shared" si="57"/>
        <v>0</v>
      </c>
      <c r="BZ256" t="str">
        <f t="shared" si="58"/>
        <v>Revisar rendimiento</v>
      </c>
      <c r="CA256">
        <f t="shared" si="59"/>
        <v>1</v>
      </c>
    </row>
    <row r="257" spans="1:80" x14ac:dyDescent="0.25">
      <c r="A257" s="35">
        <v>45926</v>
      </c>
      <c r="B257" s="36">
        <v>0.3967</v>
      </c>
      <c r="C257" t="s">
        <v>113</v>
      </c>
      <c r="D257" t="s">
        <v>6</v>
      </c>
      <c r="E257" t="s">
        <v>147</v>
      </c>
      <c r="F257" t="s">
        <v>193</v>
      </c>
      <c r="G257">
        <v>1366</v>
      </c>
      <c r="H257">
        <v>2140110687</v>
      </c>
      <c r="I257" t="s">
        <v>196</v>
      </c>
      <c r="J257" s="37">
        <v>600</v>
      </c>
      <c r="K257" s="37"/>
      <c r="M257">
        <v>238</v>
      </c>
      <c r="N257">
        <v>5.560259999999885</v>
      </c>
      <c r="O257">
        <v>10</v>
      </c>
      <c r="R257">
        <v>5</v>
      </c>
      <c r="T257">
        <v>0</v>
      </c>
      <c r="V257" t="s">
        <v>120</v>
      </c>
      <c r="Y257" s="38">
        <v>0.7104166666666667</v>
      </c>
      <c r="Z257" s="38">
        <v>0.7270833333333333</v>
      </c>
      <c r="AA257" t="s">
        <v>117</v>
      </c>
      <c r="AC257" t="s">
        <v>136</v>
      </c>
      <c r="AF257">
        <v>0.1157</v>
      </c>
      <c r="AG257">
        <v>3.3099999999999997E-2</v>
      </c>
      <c r="AQ257">
        <v>8.3000000000000001E-3</v>
      </c>
      <c r="AR257">
        <v>2.4799999999999999E-2</v>
      </c>
      <c r="BI257">
        <v>8.3000000000000001E-3</v>
      </c>
      <c r="BK257">
        <f>0</f>
        <v>0</v>
      </c>
      <c r="BL257">
        <f t="shared" si="45"/>
        <v>0.19019999999999998</v>
      </c>
      <c r="BM257">
        <f t="shared" si="46"/>
        <v>0</v>
      </c>
      <c r="BN257">
        <f t="shared" si="47"/>
        <v>0</v>
      </c>
      <c r="BO257">
        <f t="shared" si="48"/>
        <v>1</v>
      </c>
      <c r="BP257" s="37">
        <f>IF($F257="","",IFERROR(INDEX(Familias!$C$5:$C$300,MATCH($F257,Familias!$A$5:$A$300,0)),""))</f>
        <v>1880</v>
      </c>
      <c r="BQ257" s="37">
        <f t="shared" si="49"/>
        <v>600</v>
      </c>
      <c r="BR257" s="36">
        <f t="shared" si="50"/>
        <v>0.3967</v>
      </c>
      <c r="BS257" s="36">
        <f t="shared" si="51"/>
        <v>0.19020000000000001</v>
      </c>
      <c r="BT257" s="36">
        <f t="shared" si="52"/>
        <v>0.20649999999999999</v>
      </c>
      <c r="BU257" s="36">
        <f t="shared" si="53"/>
        <v>0.31909999999999999</v>
      </c>
      <c r="BV257" s="39">
        <f t="shared" si="54"/>
        <v>1.5452784503631962</v>
      </c>
      <c r="BW257" s="39">
        <f t="shared" si="55"/>
        <v>1</v>
      </c>
      <c r="BX257" s="40">
        <f t="shared" si="56"/>
        <v>6.3025210084033612E-2</v>
      </c>
      <c r="BY257" s="40">
        <f t="shared" si="57"/>
        <v>0</v>
      </c>
      <c r="BZ257" t="str">
        <f t="shared" si="58"/>
        <v>Revisar rendimiento</v>
      </c>
      <c r="CA257">
        <f t="shared" si="59"/>
        <v>1</v>
      </c>
    </row>
    <row r="258" spans="1:80" x14ac:dyDescent="0.25">
      <c r="A258" s="35">
        <v>45926</v>
      </c>
      <c r="B258" s="36">
        <v>1.5537000000000001</v>
      </c>
      <c r="C258" t="s">
        <v>113</v>
      </c>
      <c r="D258" t="s">
        <v>6</v>
      </c>
      <c r="E258" t="s">
        <v>147</v>
      </c>
      <c r="F258" t="s">
        <v>193</v>
      </c>
      <c r="G258">
        <v>1312</v>
      </c>
      <c r="H258">
        <v>2140110689</v>
      </c>
      <c r="I258" t="s">
        <v>194</v>
      </c>
      <c r="J258" s="37">
        <v>2350</v>
      </c>
      <c r="K258" s="37"/>
      <c r="M258">
        <v>748</v>
      </c>
      <c r="N258">
        <v>21.777684999999551</v>
      </c>
      <c r="O258">
        <v>13</v>
      </c>
      <c r="P258">
        <v>8</v>
      </c>
      <c r="T258">
        <v>1</v>
      </c>
      <c r="V258" t="s">
        <v>120</v>
      </c>
      <c r="Y258" s="38">
        <v>0.7270833333333333</v>
      </c>
      <c r="Z258" s="38">
        <v>0.79166666666666663</v>
      </c>
      <c r="AA258" t="s">
        <v>117</v>
      </c>
      <c r="AC258" t="s">
        <v>136</v>
      </c>
      <c r="AF258">
        <v>0.45319999999999999</v>
      </c>
      <c r="AG258">
        <v>0.1295</v>
      </c>
      <c r="AQ258">
        <v>3.2399999999999998E-2</v>
      </c>
      <c r="AR258">
        <v>9.7100000000000006E-2</v>
      </c>
      <c r="BI258">
        <v>3.2399999999999998E-2</v>
      </c>
      <c r="BK258">
        <f>0</f>
        <v>0</v>
      </c>
      <c r="BL258">
        <f t="shared" ref="BL258:BL321" si="60">N(AD258)+N(AE258)+N(AF258)+N(AG258)+N(AH258)+N(AI258)+N(AJ258)+N(AK258)+N(AL258)+N(AM258)+N(AN258)+N(AO258)+N(AP258)+N(AQ258)+N(AR258)+N(AS258)+N(AT258)+N(AU258)+N(AW258)+N(AX258)+N(AY258)+N(BC258)+N(BE258)+N(BF258)+N(BH258)+N(BI258)+N(BJ258)</f>
        <v>0.74459999999999993</v>
      </c>
      <c r="BM258">
        <f t="shared" ref="BM258:BM321" si="61">N(AZ258)+N(BA258)+N(BB258)+N(BD258)</f>
        <v>0</v>
      </c>
      <c r="BN258">
        <f t="shared" ref="BN258:BN321" si="62">N(AV258)+N(BG258)</f>
        <v>0</v>
      </c>
      <c r="BO258">
        <f t="shared" ref="BO258:BO321" si="63">IF($A258="","",IF(WEEKDAY($A258,2)=7,0,1))</f>
        <v>1</v>
      </c>
      <c r="BP258" s="37">
        <f>IF($F258="","",IFERROR(INDEX(Familias!$C$5:$C$300,MATCH($F258,Familias!$A$5:$A$300,0)),""))</f>
        <v>1880</v>
      </c>
      <c r="BQ258" s="37">
        <f t="shared" ref="BQ258:BQ321" si="64">IF(AND($J258="",$K258=""),"",N($J258)+N($K258))</f>
        <v>2350</v>
      </c>
      <c r="BR258" s="36">
        <f t="shared" ref="BR258:BR321" si="65">IF($A258="","",ROUND(N($B258),4))</f>
        <v>1.5537000000000001</v>
      </c>
      <c r="BS258" s="36">
        <f t="shared" ref="BS258:BS321" si="66">IF($A258="","",ROUND(SUM($AD258:$BJ258),4))</f>
        <v>0.74460000000000004</v>
      </c>
      <c r="BT258" s="36">
        <f t="shared" ref="BT258:BT321" si="67">IF($A258="","",ROUND(MAX(0,$BR258-$BS258),4))</f>
        <v>0.80910000000000004</v>
      </c>
      <c r="BU258" s="36">
        <f t="shared" ref="BU258:BU321" si="68">IF(OR($BQ258="",$BP258="",N($BP258)=0),"",ROUND($BQ258/$BP258,4))</f>
        <v>1.25</v>
      </c>
      <c r="BV258" s="39">
        <f t="shared" ref="BV258:BV321" si="69">IF(OR($BU258="",N($BT258)=0),"",$BU258/$BT258)</f>
        <v>1.5449264615004326</v>
      </c>
      <c r="BW258" s="39">
        <f t="shared" ref="BW258:BW321" si="70">IF(N($BQ258)&gt;0,N($J258)/$BQ258,"")</f>
        <v>1</v>
      </c>
      <c r="BX258" s="40">
        <f t="shared" ref="BX258:BX321" si="71">IF(N($M258)&gt;0,(N($P258)+N($O258)+N($R258))/$M258,"")</f>
        <v>2.8074866310160429E-2</v>
      </c>
      <c r="BY258" s="40">
        <f t="shared" ref="BY258:BY321" si="72">IF(N($M258)&gt;0,N($Q258)/$M258,"")</f>
        <v>0</v>
      </c>
      <c r="BZ258" t="str">
        <f t="shared" ref="BZ258:BZ321" si="73">IF($A258="","",IF($BO258=0,"Domingo",IF($AA258&lt;&gt;"Sí","Paradas no digitadas",IF($BQ258="",IF(N($BT258)&gt;0,"Sin producción","Parada total"),IF($F258="","Sin familia",IF($BP258="","Familia sin estándar",IF(AND($BV258&lt;&gt;"",N($BV258)&gt;1.1),"Revisar rendimiento","OK")))))))</f>
        <v>Revisar rendimiento</v>
      </c>
      <c r="CA258">
        <f t="shared" ref="CA258:CA321" si="74">IF(OR($BU258="",$BO258&lt;&gt;1,$AA258&lt;&gt;"Sí"),0,1)</f>
        <v>1</v>
      </c>
    </row>
    <row r="259" spans="1:80" x14ac:dyDescent="0.25">
      <c r="A259" s="35">
        <v>45926</v>
      </c>
      <c r="B259" s="36">
        <v>12</v>
      </c>
      <c r="C259" t="s">
        <v>119</v>
      </c>
      <c r="D259" t="s">
        <v>6</v>
      </c>
      <c r="E259" t="s">
        <v>147</v>
      </c>
      <c r="F259" t="s">
        <v>193</v>
      </c>
      <c r="G259">
        <v>1366</v>
      </c>
      <c r="H259">
        <v>2140110687</v>
      </c>
      <c r="I259" t="s">
        <v>196</v>
      </c>
      <c r="J259" s="37">
        <v>17520</v>
      </c>
      <c r="K259" s="37">
        <v>10</v>
      </c>
      <c r="M259">
        <v>6660</v>
      </c>
      <c r="N259">
        <v>162.45226299999661</v>
      </c>
      <c r="O259">
        <v>70</v>
      </c>
      <c r="P259">
        <v>50</v>
      </c>
      <c r="Q259">
        <v>213</v>
      </c>
      <c r="T259">
        <v>9</v>
      </c>
      <c r="V259" t="s">
        <v>116</v>
      </c>
      <c r="Y259" s="38">
        <v>0.79166666666666663</v>
      </c>
      <c r="Z259" s="38">
        <v>0.29166666666666669</v>
      </c>
      <c r="AA259" t="s">
        <v>117</v>
      </c>
      <c r="AC259" t="s">
        <v>118</v>
      </c>
      <c r="AQ259">
        <v>0.25</v>
      </c>
      <c r="AR259">
        <v>0.75</v>
      </c>
      <c r="BI259">
        <v>0.5</v>
      </c>
      <c r="BK259">
        <f>0</f>
        <v>0</v>
      </c>
      <c r="BL259">
        <f t="shared" si="60"/>
        <v>1.5</v>
      </c>
      <c r="BM259">
        <f t="shared" si="61"/>
        <v>0</v>
      </c>
      <c r="BN259">
        <f t="shared" si="62"/>
        <v>0</v>
      </c>
      <c r="BO259">
        <f t="shared" si="63"/>
        <v>1</v>
      </c>
      <c r="BP259" s="37">
        <f>IF($F259="","",IFERROR(INDEX(Familias!$C$5:$C$300,MATCH($F259,Familias!$A$5:$A$300,0)),""))</f>
        <v>1880</v>
      </c>
      <c r="BQ259" s="37">
        <f t="shared" si="64"/>
        <v>17530</v>
      </c>
      <c r="BR259" s="36">
        <f t="shared" si="65"/>
        <v>12</v>
      </c>
      <c r="BS259" s="36">
        <f t="shared" si="66"/>
        <v>1.5</v>
      </c>
      <c r="BT259" s="36">
        <f t="shared" si="67"/>
        <v>10.5</v>
      </c>
      <c r="BU259" s="36">
        <f t="shared" si="68"/>
        <v>9.3245000000000005</v>
      </c>
      <c r="BV259" s="39">
        <f t="shared" si="69"/>
        <v>0.88804761904761909</v>
      </c>
      <c r="BW259" s="39">
        <f t="shared" si="70"/>
        <v>0.99942954934398176</v>
      </c>
      <c r="BX259" s="40">
        <f t="shared" si="71"/>
        <v>1.8018018018018018E-2</v>
      </c>
      <c r="BY259" s="40">
        <f t="shared" si="72"/>
        <v>3.1981981981981981E-2</v>
      </c>
      <c r="BZ259" t="str">
        <f t="shared" si="73"/>
        <v>OK</v>
      </c>
      <c r="CA259">
        <f t="shared" si="74"/>
        <v>1</v>
      </c>
    </row>
    <row r="260" spans="1:80" x14ac:dyDescent="0.25">
      <c r="A260" s="35">
        <v>45927</v>
      </c>
      <c r="B260" s="36">
        <v>12</v>
      </c>
      <c r="C260" t="s">
        <v>113</v>
      </c>
      <c r="D260" t="s">
        <v>6</v>
      </c>
      <c r="E260" t="s">
        <v>147</v>
      </c>
      <c r="F260" t="s">
        <v>193</v>
      </c>
      <c r="G260">
        <v>1366</v>
      </c>
      <c r="H260">
        <v>2140110687</v>
      </c>
      <c r="I260" t="s">
        <v>196</v>
      </c>
      <c r="J260" s="37">
        <v>18100</v>
      </c>
      <c r="K260" s="37"/>
      <c r="M260">
        <v>6664</v>
      </c>
      <c r="N260">
        <v>167.7345099999965</v>
      </c>
      <c r="O260">
        <v>70</v>
      </c>
      <c r="P260">
        <v>72</v>
      </c>
      <c r="V260" t="s">
        <v>120</v>
      </c>
      <c r="Y260" s="38">
        <v>0.29166666666666669</v>
      </c>
      <c r="Z260" s="38">
        <v>0.79166666666666663</v>
      </c>
      <c r="AA260" t="s">
        <v>117</v>
      </c>
      <c r="AC260" t="s">
        <v>118</v>
      </c>
      <c r="AQ260">
        <v>0.25</v>
      </c>
      <c r="AR260">
        <v>0.75</v>
      </c>
      <c r="BI260">
        <v>0.5</v>
      </c>
      <c r="BK260">
        <f>0</f>
        <v>0</v>
      </c>
      <c r="BL260">
        <f t="shared" si="60"/>
        <v>1.5</v>
      </c>
      <c r="BM260">
        <f t="shared" si="61"/>
        <v>0</v>
      </c>
      <c r="BN260">
        <f t="shared" si="62"/>
        <v>0</v>
      </c>
      <c r="BO260">
        <f t="shared" si="63"/>
        <v>1</v>
      </c>
      <c r="BP260" s="37">
        <f>IF($F260="","",IFERROR(INDEX(Familias!$C$5:$C$300,MATCH($F260,Familias!$A$5:$A$300,0)),""))</f>
        <v>1880</v>
      </c>
      <c r="BQ260" s="37">
        <f t="shared" si="64"/>
        <v>18100</v>
      </c>
      <c r="BR260" s="36">
        <f t="shared" si="65"/>
        <v>12</v>
      </c>
      <c r="BS260" s="36">
        <f t="shared" si="66"/>
        <v>1.5</v>
      </c>
      <c r="BT260" s="36">
        <f t="shared" si="67"/>
        <v>10.5</v>
      </c>
      <c r="BU260" s="36">
        <f t="shared" si="68"/>
        <v>9.6277000000000008</v>
      </c>
      <c r="BV260" s="39">
        <f t="shared" si="69"/>
        <v>0.91692380952380959</v>
      </c>
      <c r="BW260" s="39">
        <f t="shared" si="70"/>
        <v>1</v>
      </c>
      <c r="BX260" s="40">
        <f t="shared" si="71"/>
        <v>2.1308523409363747E-2</v>
      </c>
      <c r="BY260" s="40">
        <f t="shared" si="72"/>
        <v>0</v>
      </c>
      <c r="BZ260" t="str">
        <f t="shared" si="73"/>
        <v>OK</v>
      </c>
      <c r="CA260">
        <f t="shared" si="74"/>
        <v>1</v>
      </c>
    </row>
    <row r="261" spans="1:80" x14ac:dyDescent="0.25">
      <c r="A261" s="35">
        <v>45927</v>
      </c>
      <c r="B261" s="36">
        <v>12</v>
      </c>
      <c r="C261" t="s">
        <v>119</v>
      </c>
      <c r="D261" t="s">
        <v>6</v>
      </c>
      <c r="E261" t="s">
        <v>147</v>
      </c>
      <c r="F261" t="s">
        <v>193</v>
      </c>
      <c r="G261">
        <v>1366</v>
      </c>
      <c r="H261">
        <v>2140110687</v>
      </c>
      <c r="I261" t="s">
        <v>196</v>
      </c>
      <c r="J261" s="37">
        <v>14750</v>
      </c>
      <c r="K261" s="37">
        <v>3</v>
      </c>
      <c r="M261">
        <v>5418</v>
      </c>
      <c r="N261">
        <v>136.71752629999719</v>
      </c>
      <c r="O261">
        <v>45</v>
      </c>
      <c r="P261">
        <v>48</v>
      </c>
      <c r="Q261">
        <v>39</v>
      </c>
      <c r="T261">
        <v>7</v>
      </c>
      <c r="V261" t="s">
        <v>116</v>
      </c>
      <c r="Y261" s="38">
        <v>0.79166666666666663</v>
      </c>
      <c r="Z261" s="38">
        <v>0.29166666666666669</v>
      </c>
      <c r="AA261" t="s">
        <v>117</v>
      </c>
      <c r="AC261" t="s">
        <v>118</v>
      </c>
      <c r="AR261">
        <v>0.75</v>
      </c>
      <c r="BC261">
        <v>2</v>
      </c>
      <c r="BI261">
        <v>0.5</v>
      </c>
      <c r="BK261">
        <f>0</f>
        <v>0</v>
      </c>
      <c r="BL261">
        <f t="shared" si="60"/>
        <v>3.25</v>
      </c>
      <c r="BM261">
        <f t="shared" si="61"/>
        <v>0</v>
      </c>
      <c r="BN261">
        <f t="shared" si="62"/>
        <v>0</v>
      </c>
      <c r="BO261">
        <f t="shared" si="63"/>
        <v>1</v>
      </c>
      <c r="BP261" s="37">
        <f>IF($F261="","",IFERROR(INDEX(Familias!$C$5:$C$300,MATCH($F261,Familias!$A$5:$A$300,0)),""))</f>
        <v>1880</v>
      </c>
      <c r="BQ261" s="37">
        <f t="shared" si="64"/>
        <v>14753</v>
      </c>
      <c r="BR261" s="36">
        <f t="shared" si="65"/>
        <v>12</v>
      </c>
      <c r="BS261" s="36">
        <f t="shared" si="66"/>
        <v>3.25</v>
      </c>
      <c r="BT261" s="36">
        <f t="shared" si="67"/>
        <v>8.75</v>
      </c>
      <c r="BU261" s="36">
        <f t="shared" si="68"/>
        <v>7.8472999999999997</v>
      </c>
      <c r="BV261" s="39">
        <f t="shared" si="69"/>
        <v>0.89683428571428569</v>
      </c>
      <c r="BW261" s="39">
        <f t="shared" si="70"/>
        <v>0.99979665152850272</v>
      </c>
      <c r="BX261" s="40">
        <f t="shared" si="71"/>
        <v>1.7165005537098561E-2</v>
      </c>
      <c r="BY261" s="40">
        <f t="shared" si="72"/>
        <v>7.1982281284606866E-3</v>
      </c>
      <c r="BZ261" t="str">
        <f t="shared" si="73"/>
        <v>OK</v>
      </c>
      <c r="CA261">
        <f t="shared" si="74"/>
        <v>1</v>
      </c>
    </row>
    <row r="262" spans="1:80" x14ac:dyDescent="0.25">
      <c r="A262" s="35">
        <v>45929</v>
      </c>
      <c r="B262" s="36">
        <v>12</v>
      </c>
      <c r="C262" t="s">
        <v>113</v>
      </c>
      <c r="D262" t="s">
        <v>6</v>
      </c>
      <c r="F262" t="s">
        <v>124</v>
      </c>
      <c r="G262">
        <v>1474</v>
      </c>
      <c r="H262">
        <v>2320130716</v>
      </c>
      <c r="I262" t="s">
        <v>197</v>
      </c>
      <c r="J262" s="37">
        <v>94000</v>
      </c>
      <c r="K262" s="37"/>
      <c r="M262">
        <v>2985</v>
      </c>
      <c r="N262">
        <v>0</v>
      </c>
      <c r="O262">
        <v>90</v>
      </c>
      <c r="P262">
        <v>28</v>
      </c>
      <c r="Q262">
        <v>245</v>
      </c>
      <c r="T262">
        <v>5</v>
      </c>
      <c r="V262" t="s">
        <v>116</v>
      </c>
      <c r="Y262" s="38">
        <v>0.29166666666666669</v>
      </c>
      <c r="Z262" s="38">
        <v>0.79166666666666663</v>
      </c>
      <c r="AA262" t="s">
        <v>117</v>
      </c>
      <c r="AC262" t="s">
        <v>118</v>
      </c>
      <c r="AD262">
        <v>1</v>
      </c>
      <c r="AE262">
        <v>1.5</v>
      </c>
      <c r="AQ262">
        <v>0.25</v>
      </c>
      <c r="AR262">
        <v>0.75</v>
      </c>
      <c r="AW262">
        <v>1.6667000000000001</v>
      </c>
      <c r="BJ262">
        <v>6.8333000000000004</v>
      </c>
      <c r="BK262">
        <f>0</f>
        <v>0</v>
      </c>
      <c r="BL262">
        <f t="shared" si="60"/>
        <v>12</v>
      </c>
      <c r="BM262">
        <f t="shared" si="61"/>
        <v>0</v>
      </c>
      <c r="BN262">
        <f t="shared" si="62"/>
        <v>0</v>
      </c>
      <c r="BO262">
        <f t="shared" si="63"/>
        <v>1</v>
      </c>
      <c r="BP262" s="37">
        <f>IF($F262="","",IFERROR(INDEX(Familias!$C$5:$C$300,MATCH($F262,Familias!$A$5:$A$300,0)),""))</f>
        <v>2840</v>
      </c>
      <c r="BQ262" s="37">
        <f t="shared" si="64"/>
        <v>94000</v>
      </c>
      <c r="BR262" s="36">
        <f t="shared" si="65"/>
        <v>12</v>
      </c>
      <c r="BS262" s="36">
        <f t="shared" si="66"/>
        <v>12</v>
      </c>
      <c r="BT262" s="36">
        <f t="shared" si="67"/>
        <v>0</v>
      </c>
      <c r="BU262" s="36">
        <f t="shared" si="68"/>
        <v>33.098599999999998</v>
      </c>
      <c r="BV262" s="39" t="str">
        <f t="shared" si="69"/>
        <v/>
      </c>
      <c r="BW262" s="39">
        <f t="shared" si="70"/>
        <v>1</v>
      </c>
      <c r="BX262" s="40">
        <f t="shared" si="71"/>
        <v>3.9530988274706864E-2</v>
      </c>
      <c r="BY262" s="40">
        <f t="shared" si="72"/>
        <v>8.2077051926298161E-2</v>
      </c>
      <c r="BZ262" t="str">
        <f t="shared" si="73"/>
        <v>OK</v>
      </c>
      <c r="CA262">
        <f t="shared" si="74"/>
        <v>1</v>
      </c>
    </row>
    <row r="263" spans="1:80" x14ac:dyDescent="0.25">
      <c r="A263" s="35">
        <v>45929</v>
      </c>
      <c r="B263" s="36">
        <v>2.5846</v>
      </c>
      <c r="C263" t="s">
        <v>119</v>
      </c>
      <c r="D263" t="s">
        <v>6</v>
      </c>
      <c r="F263" t="s">
        <v>124</v>
      </c>
      <c r="G263">
        <v>1474</v>
      </c>
      <c r="H263">
        <v>2320130716</v>
      </c>
      <c r="I263" t="s">
        <v>197</v>
      </c>
      <c r="J263" s="37">
        <v>28000</v>
      </c>
      <c r="K263" s="37"/>
      <c r="M263">
        <v>965</v>
      </c>
      <c r="N263">
        <v>0</v>
      </c>
      <c r="O263">
        <v>15</v>
      </c>
      <c r="P263">
        <v>15</v>
      </c>
      <c r="Q263">
        <v>80</v>
      </c>
      <c r="T263">
        <v>2</v>
      </c>
      <c r="V263" t="s">
        <v>120</v>
      </c>
      <c r="Y263" s="38">
        <v>0.79166666666666663</v>
      </c>
      <c r="Z263" s="38">
        <v>0.89930555555555558</v>
      </c>
      <c r="AA263" t="s">
        <v>117</v>
      </c>
      <c r="AC263" t="s">
        <v>121</v>
      </c>
      <c r="AD263">
        <v>0.1077</v>
      </c>
      <c r="AQ263">
        <v>5.3800000000000001E-2</v>
      </c>
      <c r="AR263">
        <v>0.1615</v>
      </c>
      <c r="BJ263">
        <v>0.1077</v>
      </c>
      <c r="BK263">
        <f>0</f>
        <v>0</v>
      </c>
      <c r="BL263">
        <f t="shared" si="60"/>
        <v>0.43070000000000003</v>
      </c>
      <c r="BM263">
        <f t="shared" si="61"/>
        <v>0</v>
      </c>
      <c r="BN263">
        <f t="shared" si="62"/>
        <v>0</v>
      </c>
      <c r="BO263">
        <f t="shared" si="63"/>
        <v>1</v>
      </c>
      <c r="BP263" s="37">
        <f>IF($F263="","",IFERROR(INDEX(Familias!$C$5:$C$300,MATCH($F263,Familias!$A$5:$A$300,0)),""))</f>
        <v>2840</v>
      </c>
      <c r="BQ263" s="37">
        <f t="shared" si="64"/>
        <v>28000</v>
      </c>
      <c r="BR263" s="36">
        <f t="shared" si="65"/>
        <v>2.5846</v>
      </c>
      <c r="BS263" s="36">
        <f t="shared" si="66"/>
        <v>0.43070000000000003</v>
      </c>
      <c r="BT263" s="36">
        <f t="shared" si="67"/>
        <v>2.1539000000000001</v>
      </c>
      <c r="BU263" s="36">
        <f t="shared" si="68"/>
        <v>9.8591999999999995</v>
      </c>
      <c r="BV263" s="39">
        <f t="shared" si="69"/>
        <v>4.5773712800037138</v>
      </c>
      <c r="BW263" s="39">
        <f t="shared" si="70"/>
        <v>1</v>
      </c>
      <c r="BX263" s="40">
        <f t="shared" si="71"/>
        <v>3.1088082901554404E-2</v>
      </c>
      <c r="BY263" s="40">
        <f t="shared" si="72"/>
        <v>8.2901554404145081E-2</v>
      </c>
      <c r="BZ263" t="str">
        <f t="shared" si="73"/>
        <v>Revisar rendimiento</v>
      </c>
      <c r="CA263">
        <f t="shared" si="74"/>
        <v>1</v>
      </c>
    </row>
    <row r="264" spans="1:80" x14ac:dyDescent="0.25">
      <c r="A264" s="35">
        <v>45929</v>
      </c>
      <c r="B264" s="36">
        <v>9.4154</v>
      </c>
      <c r="C264" t="s">
        <v>119</v>
      </c>
      <c r="D264" t="s">
        <v>6</v>
      </c>
      <c r="F264" t="s">
        <v>124</v>
      </c>
      <c r="G264">
        <v>1473</v>
      </c>
      <c r="H264">
        <v>2320130715</v>
      </c>
      <c r="I264" t="s">
        <v>198</v>
      </c>
      <c r="J264" s="37">
        <v>102000</v>
      </c>
      <c r="K264" s="37"/>
      <c r="M264">
        <v>2942</v>
      </c>
      <c r="N264">
        <v>0</v>
      </c>
      <c r="O264">
        <v>30</v>
      </c>
      <c r="P264">
        <v>30</v>
      </c>
      <c r="Q264">
        <v>180</v>
      </c>
      <c r="T264">
        <v>4</v>
      </c>
      <c r="V264" t="s">
        <v>120</v>
      </c>
      <c r="Y264" s="38">
        <v>0.89930555555555558</v>
      </c>
      <c r="Z264" s="38">
        <v>0.29166666666666669</v>
      </c>
      <c r="AA264" t="s">
        <v>117</v>
      </c>
      <c r="AC264" t="s">
        <v>121</v>
      </c>
      <c r="AD264">
        <v>0.39229999999999998</v>
      </c>
      <c r="AQ264">
        <v>0.19620000000000001</v>
      </c>
      <c r="AR264">
        <v>0.58850000000000002</v>
      </c>
      <c r="BJ264">
        <v>0.39229999999999998</v>
      </c>
      <c r="BK264">
        <f>0</f>
        <v>0</v>
      </c>
      <c r="BL264">
        <f t="shared" si="60"/>
        <v>1.5693000000000001</v>
      </c>
      <c r="BM264">
        <f t="shared" si="61"/>
        <v>0</v>
      </c>
      <c r="BN264">
        <f t="shared" si="62"/>
        <v>0</v>
      </c>
      <c r="BO264">
        <f t="shared" si="63"/>
        <v>1</v>
      </c>
      <c r="BP264" s="37">
        <f>IF($F264="","",IFERROR(INDEX(Familias!$C$5:$C$300,MATCH($F264,Familias!$A$5:$A$300,0)),""))</f>
        <v>2840</v>
      </c>
      <c r="BQ264" s="37">
        <f t="shared" si="64"/>
        <v>102000</v>
      </c>
      <c r="BR264" s="36">
        <f t="shared" si="65"/>
        <v>9.4154</v>
      </c>
      <c r="BS264" s="36">
        <f t="shared" si="66"/>
        <v>1.5692999999999999</v>
      </c>
      <c r="BT264" s="36">
        <f t="shared" si="67"/>
        <v>7.8460999999999999</v>
      </c>
      <c r="BU264" s="36">
        <f t="shared" si="68"/>
        <v>35.915500000000002</v>
      </c>
      <c r="BV264" s="39">
        <f t="shared" si="69"/>
        <v>4.577497100470298</v>
      </c>
      <c r="BW264" s="39">
        <f t="shared" si="70"/>
        <v>1</v>
      </c>
      <c r="BX264" s="40">
        <f t="shared" si="71"/>
        <v>2.0394289598912305E-2</v>
      </c>
      <c r="BY264" s="40">
        <f t="shared" si="72"/>
        <v>6.1182868796736914E-2</v>
      </c>
      <c r="BZ264" t="str">
        <f t="shared" si="73"/>
        <v>Revisar rendimiento</v>
      </c>
      <c r="CA264">
        <f t="shared" si="74"/>
        <v>1</v>
      </c>
    </row>
    <row r="265" spans="1:80" x14ac:dyDescent="0.25">
      <c r="A265" s="35">
        <v>45930</v>
      </c>
      <c r="B265" s="36">
        <v>12</v>
      </c>
      <c r="C265" t="s">
        <v>119</v>
      </c>
      <c r="D265" t="s">
        <v>6</v>
      </c>
      <c r="F265" t="s">
        <v>124</v>
      </c>
      <c r="G265">
        <v>1475</v>
      </c>
      <c r="H265">
        <v>2320130717</v>
      </c>
      <c r="I265" t="s">
        <v>199</v>
      </c>
      <c r="J265" s="37">
        <v>77000</v>
      </c>
      <c r="K265" s="37"/>
      <c r="M265">
        <v>2157</v>
      </c>
      <c r="N265">
        <v>0</v>
      </c>
      <c r="O265">
        <v>15</v>
      </c>
      <c r="R265">
        <v>70</v>
      </c>
      <c r="T265">
        <v>3</v>
      </c>
      <c r="V265" t="s">
        <v>120</v>
      </c>
      <c r="Y265" s="38">
        <v>0.79166666666666663</v>
      </c>
      <c r="Z265" s="38">
        <v>0.29166666666666669</v>
      </c>
      <c r="AA265" t="s">
        <v>117</v>
      </c>
      <c r="AC265" t="s">
        <v>118</v>
      </c>
      <c r="AD265">
        <v>0.5</v>
      </c>
      <c r="AE265">
        <v>1</v>
      </c>
      <c r="AF265">
        <v>1</v>
      </c>
      <c r="AR265">
        <v>0.75</v>
      </c>
      <c r="BK265">
        <f>0</f>
        <v>0</v>
      </c>
      <c r="BL265">
        <f t="shared" si="60"/>
        <v>3.25</v>
      </c>
      <c r="BM265">
        <f t="shared" si="61"/>
        <v>0</v>
      </c>
      <c r="BN265">
        <f t="shared" si="62"/>
        <v>0</v>
      </c>
      <c r="BO265">
        <f t="shared" si="63"/>
        <v>1</v>
      </c>
      <c r="BP265" s="37">
        <f>IF($F265="","",IFERROR(INDEX(Familias!$C$5:$C$300,MATCH($F265,Familias!$A$5:$A$300,0)),""))</f>
        <v>2840</v>
      </c>
      <c r="BQ265" s="37">
        <f t="shared" si="64"/>
        <v>77000</v>
      </c>
      <c r="BR265" s="36">
        <f t="shared" si="65"/>
        <v>12</v>
      </c>
      <c r="BS265" s="36">
        <f t="shared" si="66"/>
        <v>3.25</v>
      </c>
      <c r="BT265" s="36">
        <f t="shared" si="67"/>
        <v>8.75</v>
      </c>
      <c r="BU265" s="36">
        <f t="shared" si="68"/>
        <v>27.1127</v>
      </c>
      <c r="BV265" s="39">
        <f t="shared" si="69"/>
        <v>3.0985942857142859</v>
      </c>
      <c r="BW265" s="39">
        <f t="shared" si="70"/>
        <v>1</v>
      </c>
      <c r="BX265" s="40">
        <f t="shared" si="71"/>
        <v>3.9406583217431616E-2</v>
      </c>
      <c r="BY265" s="40">
        <f t="shared" si="72"/>
        <v>0</v>
      </c>
      <c r="BZ265" t="str">
        <f t="shared" si="73"/>
        <v>Revisar rendimiento</v>
      </c>
      <c r="CA265">
        <f t="shared" si="74"/>
        <v>1</v>
      </c>
    </row>
    <row r="266" spans="1:80" x14ac:dyDescent="0.25">
      <c r="A266" s="35">
        <v>45931</v>
      </c>
      <c r="B266" s="36">
        <v>12</v>
      </c>
      <c r="C266" t="s">
        <v>113</v>
      </c>
      <c r="D266" t="s">
        <v>6</v>
      </c>
      <c r="E266" t="s">
        <v>147</v>
      </c>
      <c r="F266" t="s">
        <v>193</v>
      </c>
      <c r="G266">
        <v>1498</v>
      </c>
      <c r="H266">
        <v>2140110687</v>
      </c>
      <c r="I266" t="s">
        <v>196</v>
      </c>
      <c r="J266" s="37">
        <v>14000</v>
      </c>
      <c r="K266" s="37">
        <v>8</v>
      </c>
      <c r="M266">
        <v>5733</v>
      </c>
      <c r="N266">
        <v>129.81353679999731</v>
      </c>
      <c r="O266">
        <v>160</v>
      </c>
      <c r="P266">
        <v>30</v>
      </c>
      <c r="Q266">
        <v>147</v>
      </c>
      <c r="R266">
        <v>120</v>
      </c>
      <c r="T266">
        <v>7</v>
      </c>
      <c r="V266" t="s">
        <v>116</v>
      </c>
      <c r="Y266" s="38">
        <v>0.29166666666666669</v>
      </c>
      <c r="Z266" s="38">
        <v>0.79166666666666663</v>
      </c>
      <c r="AA266" t="s">
        <v>117</v>
      </c>
      <c r="AC266" t="s">
        <v>118</v>
      </c>
      <c r="AI266">
        <v>0.83330000000000004</v>
      </c>
      <c r="AK266">
        <v>0.75</v>
      </c>
      <c r="AN266">
        <v>1</v>
      </c>
      <c r="AQ266">
        <v>0.25</v>
      </c>
      <c r="AR266">
        <v>0.75</v>
      </c>
      <c r="BK266">
        <f>0</f>
        <v>0</v>
      </c>
      <c r="BL266">
        <f t="shared" si="60"/>
        <v>3.5832999999999999</v>
      </c>
      <c r="BM266">
        <f t="shared" si="61"/>
        <v>0</v>
      </c>
      <c r="BN266">
        <f t="shared" si="62"/>
        <v>0</v>
      </c>
      <c r="BO266">
        <f t="shared" si="63"/>
        <v>1</v>
      </c>
      <c r="BP266" s="37">
        <f>IF($F266="","",IFERROR(INDEX(Familias!$C$5:$C$300,MATCH($F266,Familias!$A$5:$A$300,0)),""))</f>
        <v>1880</v>
      </c>
      <c r="BQ266" s="37">
        <f t="shared" si="64"/>
        <v>14008</v>
      </c>
      <c r="BR266" s="36">
        <f t="shared" si="65"/>
        <v>12</v>
      </c>
      <c r="BS266" s="36">
        <f t="shared" si="66"/>
        <v>3.5832999999999999</v>
      </c>
      <c r="BT266" s="36">
        <f t="shared" si="67"/>
        <v>8.4167000000000005</v>
      </c>
      <c r="BU266" s="36">
        <f t="shared" si="68"/>
        <v>7.4511000000000003</v>
      </c>
      <c r="BV266" s="39">
        <f t="shared" si="69"/>
        <v>0.88527570187840843</v>
      </c>
      <c r="BW266" s="39">
        <f t="shared" si="70"/>
        <v>0.99942889777270127</v>
      </c>
      <c r="BX266" s="40">
        <f t="shared" si="71"/>
        <v>5.4072911215768356E-2</v>
      </c>
      <c r="BY266" s="40">
        <f t="shared" si="72"/>
        <v>2.564102564102564E-2</v>
      </c>
      <c r="BZ266" t="str">
        <f t="shared" si="73"/>
        <v>OK</v>
      </c>
      <c r="CA266">
        <f t="shared" si="74"/>
        <v>1</v>
      </c>
    </row>
    <row r="267" spans="1:80" x14ac:dyDescent="0.25">
      <c r="A267" s="35">
        <v>45931</v>
      </c>
      <c r="B267" s="36">
        <v>12</v>
      </c>
      <c r="C267" t="s">
        <v>119</v>
      </c>
      <c r="D267" t="s">
        <v>6</v>
      </c>
      <c r="E267" t="s">
        <v>147</v>
      </c>
      <c r="F267" t="s">
        <v>193</v>
      </c>
      <c r="G267">
        <v>1498</v>
      </c>
      <c r="H267">
        <v>2140110687</v>
      </c>
      <c r="I267" t="s">
        <v>196</v>
      </c>
      <c r="J267" s="37">
        <v>19050</v>
      </c>
      <c r="K267" s="37"/>
      <c r="M267">
        <v>7332</v>
      </c>
      <c r="N267">
        <v>176.5382549999963</v>
      </c>
      <c r="O267">
        <v>45</v>
      </c>
      <c r="P267">
        <v>45</v>
      </c>
      <c r="Q267">
        <v>330</v>
      </c>
      <c r="T267">
        <v>10</v>
      </c>
      <c r="V267" t="s">
        <v>120</v>
      </c>
      <c r="Y267" s="38">
        <v>0.79166666666666663</v>
      </c>
      <c r="Z267" s="38">
        <v>0.29166666666666669</v>
      </c>
      <c r="AA267" t="s">
        <v>117</v>
      </c>
      <c r="AC267" t="s">
        <v>118</v>
      </c>
      <c r="AQ267">
        <v>0.25</v>
      </c>
      <c r="AR267">
        <v>0.75</v>
      </c>
      <c r="BI267">
        <v>0.33329999999999999</v>
      </c>
      <c r="BK267">
        <f>0</f>
        <v>0</v>
      </c>
      <c r="BL267">
        <f t="shared" si="60"/>
        <v>1.3332999999999999</v>
      </c>
      <c r="BM267">
        <f t="shared" si="61"/>
        <v>0</v>
      </c>
      <c r="BN267">
        <f t="shared" si="62"/>
        <v>0</v>
      </c>
      <c r="BO267">
        <f t="shared" si="63"/>
        <v>1</v>
      </c>
      <c r="BP267" s="37">
        <f>IF($F267="","",IFERROR(INDEX(Familias!$C$5:$C$300,MATCH($F267,Familias!$A$5:$A$300,0)),""))</f>
        <v>1880</v>
      </c>
      <c r="BQ267" s="37">
        <f t="shared" si="64"/>
        <v>19050</v>
      </c>
      <c r="BR267" s="36">
        <f t="shared" si="65"/>
        <v>12</v>
      </c>
      <c r="BS267" s="36">
        <f t="shared" si="66"/>
        <v>1.3332999999999999</v>
      </c>
      <c r="BT267" s="36">
        <f t="shared" si="67"/>
        <v>10.666700000000001</v>
      </c>
      <c r="BU267" s="36">
        <f t="shared" si="68"/>
        <v>10.132999999999999</v>
      </c>
      <c r="BV267" s="39">
        <f t="shared" si="69"/>
        <v>0.9499657813569331</v>
      </c>
      <c r="BW267" s="39">
        <f t="shared" si="70"/>
        <v>1</v>
      </c>
      <c r="BX267" s="40">
        <f t="shared" si="71"/>
        <v>1.2274959083469721E-2</v>
      </c>
      <c r="BY267" s="40">
        <f t="shared" si="72"/>
        <v>4.5008183306055646E-2</v>
      </c>
      <c r="BZ267" t="str">
        <f t="shared" si="73"/>
        <v>OK</v>
      </c>
      <c r="CA267">
        <f t="shared" si="74"/>
        <v>1</v>
      </c>
    </row>
    <row r="268" spans="1:80" x14ac:dyDescent="0.25">
      <c r="A268" s="35">
        <v>45932</v>
      </c>
      <c r="B268" s="36">
        <v>12</v>
      </c>
      <c r="C268" t="s">
        <v>113</v>
      </c>
      <c r="D268" t="s">
        <v>6</v>
      </c>
      <c r="E268" t="s">
        <v>147</v>
      </c>
      <c r="F268" t="s">
        <v>193</v>
      </c>
      <c r="G268">
        <v>1498</v>
      </c>
      <c r="H268">
        <v>2140110687</v>
      </c>
      <c r="I268" t="s">
        <v>196</v>
      </c>
      <c r="J268" s="37">
        <v>16180</v>
      </c>
      <c r="K268" s="37"/>
      <c r="M268">
        <v>6248</v>
      </c>
      <c r="N268">
        <v>149.9416779999969</v>
      </c>
      <c r="O268">
        <v>40</v>
      </c>
      <c r="P268">
        <v>32</v>
      </c>
      <c r="Q268">
        <v>394</v>
      </c>
      <c r="T268">
        <v>8</v>
      </c>
      <c r="V268" t="s">
        <v>116</v>
      </c>
      <c r="Y268" s="38">
        <v>0.29166666666666669</v>
      </c>
      <c r="Z268" s="38">
        <v>0.79166666666666663</v>
      </c>
      <c r="AA268" t="s">
        <v>200</v>
      </c>
      <c r="AB268" t="s">
        <v>201</v>
      </c>
      <c r="AC268" t="s">
        <v>118</v>
      </c>
      <c r="AQ268">
        <v>0.18329999999999999</v>
      </c>
      <c r="AR268">
        <v>0.75</v>
      </c>
      <c r="BI268">
        <v>0.5</v>
      </c>
      <c r="BK268">
        <f>0</f>
        <v>0</v>
      </c>
      <c r="BL268">
        <f t="shared" si="60"/>
        <v>1.4333</v>
      </c>
      <c r="BM268">
        <f t="shared" si="61"/>
        <v>0</v>
      </c>
      <c r="BN268">
        <f t="shared" si="62"/>
        <v>0</v>
      </c>
      <c r="BO268">
        <f t="shared" si="63"/>
        <v>1</v>
      </c>
      <c r="BP268" s="37">
        <f>IF($F268="","",IFERROR(INDEX(Familias!$C$5:$C$300,MATCH($F268,Familias!$A$5:$A$300,0)),""))</f>
        <v>1880</v>
      </c>
      <c r="BQ268" s="37">
        <f t="shared" si="64"/>
        <v>16180</v>
      </c>
      <c r="BR268" s="36">
        <f t="shared" si="65"/>
        <v>12</v>
      </c>
      <c r="BS268" s="36">
        <f t="shared" si="66"/>
        <v>1.4333</v>
      </c>
      <c r="BT268" s="36">
        <f t="shared" si="67"/>
        <v>10.566700000000001</v>
      </c>
      <c r="BU268" s="36">
        <f t="shared" si="68"/>
        <v>8.6064000000000007</v>
      </c>
      <c r="BV268" s="39">
        <f t="shared" si="69"/>
        <v>0.81448323506865905</v>
      </c>
      <c r="BW268" s="39">
        <f t="shared" si="70"/>
        <v>1</v>
      </c>
      <c r="BX268" s="40">
        <f t="shared" si="71"/>
        <v>1.1523687580025609E-2</v>
      </c>
      <c r="BY268" s="40">
        <f t="shared" si="72"/>
        <v>6.3060179257362362E-2</v>
      </c>
      <c r="BZ268" t="str">
        <f t="shared" si="73"/>
        <v>Paradas no digitadas</v>
      </c>
      <c r="CA268">
        <f t="shared" si="74"/>
        <v>0</v>
      </c>
    </row>
    <row r="269" spans="1:80" x14ac:dyDescent="0.25">
      <c r="A269" s="35">
        <v>45932</v>
      </c>
      <c r="B269" s="36">
        <v>12</v>
      </c>
      <c r="C269" t="s">
        <v>119</v>
      </c>
      <c r="D269" t="s">
        <v>6</v>
      </c>
      <c r="E269" t="s">
        <v>147</v>
      </c>
      <c r="F269" t="s">
        <v>193</v>
      </c>
      <c r="G269">
        <v>1498</v>
      </c>
      <c r="H269">
        <v>2140110687</v>
      </c>
      <c r="I269" t="s">
        <v>196</v>
      </c>
      <c r="J269" s="37">
        <v>18450</v>
      </c>
      <c r="K269" s="37"/>
      <c r="M269">
        <v>6805</v>
      </c>
      <c r="N269">
        <v>170.97799499999641</v>
      </c>
      <c r="O269">
        <v>46</v>
      </c>
      <c r="P269">
        <v>72</v>
      </c>
      <c r="Q269">
        <v>50</v>
      </c>
      <c r="T269">
        <v>9</v>
      </c>
      <c r="V269" t="s">
        <v>120</v>
      </c>
      <c r="Y269" s="38">
        <v>0.79166666666666663</v>
      </c>
      <c r="Z269" s="38">
        <v>0.29166666666666669</v>
      </c>
      <c r="AA269" t="s">
        <v>117</v>
      </c>
      <c r="AC269" t="s">
        <v>118</v>
      </c>
      <c r="AQ269">
        <v>0.25</v>
      </c>
      <c r="AR269">
        <v>0.75</v>
      </c>
      <c r="BI269">
        <v>0.5</v>
      </c>
      <c r="BK269">
        <f>0</f>
        <v>0</v>
      </c>
      <c r="BL269">
        <f t="shared" si="60"/>
        <v>1.5</v>
      </c>
      <c r="BM269">
        <f t="shared" si="61"/>
        <v>0</v>
      </c>
      <c r="BN269">
        <f t="shared" si="62"/>
        <v>0</v>
      </c>
      <c r="BO269">
        <f t="shared" si="63"/>
        <v>1</v>
      </c>
      <c r="BP269" s="37">
        <f>IF($F269="","",IFERROR(INDEX(Familias!$C$5:$C$300,MATCH($F269,Familias!$A$5:$A$300,0)),""))</f>
        <v>1880</v>
      </c>
      <c r="BQ269" s="37">
        <f t="shared" si="64"/>
        <v>18450</v>
      </c>
      <c r="BR269" s="36">
        <f t="shared" si="65"/>
        <v>12</v>
      </c>
      <c r="BS269" s="36">
        <f t="shared" si="66"/>
        <v>1.5</v>
      </c>
      <c r="BT269" s="36">
        <f t="shared" si="67"/>
        <v>10.5</v>
      </c>
      <c r="BU269" s="36">
        <f t="shared" si="68"/>
        <v>9.8138000000000005</v>
      </c>
      <c r="BV269" s="39">
        <f t="shared" si="69"/>
        <v>0.93464761904761906</v>
      </c>
      <c r="BW269" s="39">
        <f t="shared" si="70"/>
        <v>1</v>
      </c>
      <c r="BX269" s="40">
        <f t="shared" si="71"/>
        <v>1.7340191036002938E-2</v>
      </c>
      <c r="BY269" s="40">
        <f t="shared" si="72"/>
        <v>7.3475385745775165E-3</v>
      </c>
      <c r="BZ269" t="str">
        <f t="shared" si="73"/>
        <v>OK</v>
      </c>
      <c r="CA269">
        <f t="shared" si="74"/>
        <v>1</v>
      </c>
    </row>
    <row r="270" spans="1:80" x14ac:dyDescent="0.25">
      <c r="A270" s="35">
        <v>45933</v>
      </c>
      <c r="B270" s="36">
        <v>12</v>
      </c>
      <c r="C270" t="s">
        <v>113</v>
      </c>
      <c r="D270" t="s">
        <v>6</v>
      </c>
      <c r="E270" t="s">
        <v>147</v>
      </c>
      <c r="F270" t="s">
        <v>193</v>
      </c>
      <c r="G270">
        <v>1498</v>
      </c>
      <c r="H270">
        <v>2140110687</v>
      </c>
      <c r="I270" t="s">
        <v>196</v>
      </c>
      <c r="J270" s="37">
        <v>19500</v>
      </c>
      <c r="K270" s="37">
        <v>5</v>
      </c>
      <c r="M270">
        <v>7252</v>
      </c>
      <c r="N270">
        <v>180.75478549999619</v>
      </c>
      <c r="Q270">
        <v>355</v>
      </c>
      <c r="T270">
        <v>9</v>
      </c>
      <c r="V270" t="s">
        <v>116</v>
      </c>
      <c r="Y270" s="38">
        <v>0.29166666666666669</v>
      </c>
      <c r="Z270" s="38">
        <v>0.79166666666666663</v>
      </c>
      <c r="AA270" t="s">
        <v>117</v>
      </c>
      <c r="AC270" t="s">
        <v>118</v>
      </c>
      <c r="AQ270">
        <v>0.25</v>
      </c>
      <c r="AR270">
        <v>0.75</v>
      </c>
      <c r="BI270">
        <v>0.5</v>
      </c>
      <c r="BK270">
        <f>0</f>
        <v>0</v>
      </c>
      <c r="BL270">
        <f t="shared" si="60"/>
        <v>1.5</v>
      </c>
      <c r="BM270">
        <f t="shared" si="61"/>
        <v>0</v>
      </c>
      <c r="BN270">
        <f t="shared" si="62"/>
        <v>0</v>
      </c>
      <c r="BO270">
        <f t="shared" si="63"/>
        <v>1</v>
      </c>
      <c r="BP270" s="37">
        <f>IF($F270="","",IFERROR(INDEX(Familias!$C$5:$C$300,MATCH($F270,Familias!$A$5:$A$300,0)),""))</f>
        <v>1880</v>
      </c>
      <c r="BQ270" s="37">
        <f t="shared" si="64"/>
        <v>19505</v>
      </c>
      <c r="BR270" s="36">
        <f t="shared" si="65"/>
        <v>12</v>
      </c>
      <c r="BS270" s="36">
        <f t="shared" si="66"/>
        <v>1.5</v>
      </c>
      <c r="BT270" s="36">
        <f t="shared" si="67"/>
        <v>10.5</v>
      </c>
      <c r="BU270" s="36">
        <f t="shared" si="68"/>
        <v>10.375</v>
      </c>
      <c r="BV270" s="39">
        <f t="shared" si="69"/>
        <v>0.98809523809523814</v>
      </c>
      <c r="BW270" s="39">
        <f t="shared" si="70"/>
        <v>0.99974365547295563</v>
      </c>
      <c r="BX270" s="40">
        <f t="shared" si="71"/>
        <v>0</v>
      </c>
      <c r="BY270" s="40">
        <f t="shared" si="72"/>
        <v>4.8952013237727521E-2</v>
      </c>
      <c r="BZ270" t="str">
        <f t="shared" si="73"/>
        <v>OK</v>
      </c>
      <c r="CA270">
        <f t="shared" si="74"/>
        <v>1</v>
      </c>
    </row>
    <row r="271" spans="1:80" x14ac:dyDescent="0.25">
      <c r="A271" s="35">
        <v>45933</v>
      </c>
      <c r="B271" s="36">
        <v>12</v>
      </c>
      <c r="C271" t="s">
        <v>119</v>
      </c>
      <c r="D271" t="s">
        <v>6</v>
      </c>
      <c r="E271" t="s">
        <v>147</v>
      </c>
      <c r="F271" t="s">
        <v>193</v>
      </c>
      <c r="G271">
        <v>1498</v>
      </c>
      <c r="H271">
        <v>2140110687</v>
      </c>
      <c r="I271" t="s">
        <v>196</v>
      </c>
      <c r="J271" s="37">
        <v>17400</v>
      </c>
      <c r="K271" s="37"/>
      <c r="M271">
        <v>6626</v>
      </c>
      <c r="N271">
        <v>161.24753999999669</v>
      </c>
      <c r="O271">
        <v>90</v>
      </c>
      <c r="P271">
        <v>72</v>
      </c>
      <c r="Q271">
        <v>146</v>
      </c>
      <c r="V271" t="s">
        <v>120</v>
      </c>
      <c r="Y271" s="38">
        <v>0.79166666666666663</v>
      </c>
      <c r="Z271" s="38">
        <v>0.29166666666666669</v>
      </c>
      <c r="AA271" t="s">
        <v>117</v>
      </c>
      <c r="AC271" t="s">
        <v>118</v>
      </c>
      <c r="AQ271">
        <v>0.25</v>
      </c>
      <c r="AR271">
        <v>0.75</v>
      </c>
      <c r="BI271">
        <v>0.5</v>
      </c>
      <c r="BK271">
        <f>0</f>
        <v>0</v>
      </c>
      <c r="BL271">
        <f t="shared" si="60"/>
        <v>1.5</v>
      </c>
      <c r="BM271">
        <f t="shared" si="61"/>
        <v>0</v>
      </c>
      <c r="BN271">
        <f t="shared" si="62"/>
        <v>0</v>
      </c>
      <c r="BO271">
        <f t="shared" si="63"/>
        <v>1</v>
      </c>
      <c r="BP271" s="37">
        <f>IF($F271="","",IFERROR(INDEX(Familias!$C$5:$C$300,MATCH($F271,Familias!$A$5:$A$300,0)),""))</f>
        <v>1880</v>
      </c>
      <c r="BQ271" s="37">
        <f t="shared" si="64"/>
        <v>17400</v>
      </c>
      <c r="BR271" s="36">
        <f t="shared" si="65"/>
        <v>12</v>
      </c>
      <c r="BS271" s="36">
        <f t="shared" si="66"/>
        <v>1.5</v>
      </c>
      <c r="BT271" s="36">
        <f t="shared" si="67"/>
        <v>10.5</v>
      </c>
      <c r="BU271" s="36">
        <f t="shared" si="68"/>
        <v>9.2553000000000001</v>
      </c>
      <c r="BV271" s="39">
        <f t="shared" si="69"/>
        <v>0.88145714285714283</v>
      </c>
      <c r="BW271" s="39">
        <f t="shared" si="70"/>
        <v>1</v>
      </c>
      <c r="BX271" s="40">
        <f t="shared" si="71"/>
        <v>2.444913975249019E-2</v>
      </c>
      <c r="BY271" s="40">
        <f t="shared" si="72"/>
        <v>2.2034409900392394E-2</v>
      </c>
      <c r="BZ271" t="str">
        <f t="shared" si="73"/>
        <v>OK</v>
      </c>
      <c r="CA271">
        <f t="shared" si="74"/>
        <v>1</v>
      </c>
    </row>
    <row r="272" spans="1:80" x14ac:dyDescent="0.25">
      <c r="A272" s="35">
        <v>45934</v>
      </c>
      <c r="B272" s="36">
        <v>12</v>
      </c>
      <c r="C272" t="s">
        <v>113</v>
      </c>
      <c r="D272" t="s">
        <v>6</v>
      </c>
      <c r="E272" t="s">
        <v>147</v>
      </c>
      <c r="F272" t="s">
        <v>193</v>
      </c>
      <c r="G272">
        <v>1498</v>
      </c>
      <c r="H272">
        <v>2140110687</v>
      </c>
      <c r="I272" t="s">
        <v>196</v>
      </c>
      <c r="J272" s="37">
        <v>17950</v>
      </c>
      <c r="K272" s="37"/>
      <c r="M272">
        <v>6868</v>
      </c>
      <c r="N272">
        <v>166.34444499999651</v>
      </c>
      <c r="O272">
        <v>90</v>
      </c>
      <c r="P272">
        <v>40</v>
      </c>
      <c r="Q272">
        <v>235</v>
      </c>
      <c r="V272" t="s">
        <v>116</v>
      </c>
      <c r="Y272" s="38">
        <v>0.29166666666666669</v>
      </c>
      <c r="Z272" s="38">
        <v>0.79166666666666663</v>
      </c>
      <c r="AA272" t="s">
        <v>117</v>
      </c>
      <c r="AC272" t="s">
        <v>118</v>
      </c>
      <c r="AQ272">
        <v>0.25</v>
      </c>
      <c r="AR272">
        <v>0.75</v>
      </c>
      <c r="BI272">
        <v>0.5</v>
      </c>
      <c r="BK272">
        <f>0</f>
        <v>0</v>
      </c>
      <c r="BL272">
        <f t="shared" si="60"/>
        <v>1.5</v>
      </c>
      <c r="BM272">
        <f t="shared" si="61"/>
        <v>0</v>
      </c>
      <c r="BN272">
        <f t="shared" si="62"/>
        <v>0</v>
      </c>
      <c r="BO272">
        <f t="shared" si="63"/>
        <v>1</v>
      </c>
      <c r="BP272" s="37">
        <f>IF($F272="","",IFERROR(INDEX(Familias!$C$5:$C$300,MATCH($F272,Familias!$A$5:$A$300,0)),""))</f>
        <v>1880</v>
      </c>
      <c r="BQ272" s="37">
        <f t="shared" si="64"/>
        <v>17950</v>
      </c>
      <c r="BR272" s="36">
        <f t="shared" si="65"/>
        <v>12</v>
      </c>
      <c r="BS272" s="36">
        <f t="shared" si="66"/>
        <v>1.5</v>
      </c>
      <c r="BT272" s="36">
        <f t="shared" si="67"/>
        <v>10.5</v>
      </c>
      <c r="BU272" s="36">
        <f t="shared" si="68"/>
        <v>9.5479000000000003</v>
      </c>
      <c r="BV272" s="39">
        <f t="shared" si="69"/>
        <v>0.90932380952380953</v>
      </c>
      <c r="BW272" s="39">
        <f t="shared" si="70"/>
        <v>1</v>
      </c>
      <c r="BX272" s="40">
        <f t="shared" si="71"/>
        <v>1.8928363424577752E-2</v>
      </c>
      <c r="BY272" s="40">
        <f t="shared" si="72"/>
        <v>3.4216656959813629E-2</v>
      </c>
      <c r="BZ272" t="str">
        <f t="shared" si="73"/>
        <v>OK</v>
      </c>
      <c r="CA272">
        <f t="shared" si="74"/>
        <v>1</v>
      </c>
    </row>
    <row r="273" spans="1:80" x14ac:dyDescent="0.25">
      <c r="A273" s="35">
        <v>45934</v>
      </c>
      <c r="B273" s="36">
        <v>12</v>
      </c>
      <c r="C273" t="s">
        <v>119</v>
      </c>
      <c r="D273" t="s">
        <v>6</v>
      </c>
      <c r="E273" t="s">
        <v>147</v>
      </c>
      <c r="F273" t="s">
        <v>193</v>
      </c>
      <c r="G273">
        <v>1498</v>
      </c>
      <c r="H273">
        <v>2140110687</v>
      </c>
      <c r="I273" t="s">
        <v>196</v>
      </c>
      <c r="J273" s="37">
        <v>14425</v>
      </c>
      <c r="K273" s="37"/>
      <c r="M273">
        <v>5412</v>
      </c>
      <c r="N273">
        <v>133.67791749999719</v>
      </c>
      <c r="O273">
        <v>65</v>
      </c>
      <c r="P273">
        <v>56</v>
      </c>
      <c r="Q273">
        <v>62</v>
      </c>
      <c r="T273">
        <v>7</v>
      </c>
      <c r="V273" t="s">
        <v>120</v>
      </c>
      <c r="Y273" s="38">
        <v>0.79166666666666663</v>
      </c>
      <c r="Z273" s="38">
        <v>0.29166666666666669</v>
      </c>
      <c r="AA273" t="s">
        <v>117</v>
      </c>
      <c r="AC273" t="s">
        <v>118</v>
      </c>
      <c r="AR273">
        <v>0.75</v>
      </c>
      <c r="BC273">
        <v>1.5</v>
      </c>
      <c r="BI273">
        <v>0.5</v>
      </c>
      <c r="BK273">
        <f>0</f>
        <v>0</v>
      </c>
      <c r="BL273">
        <f t="shared" si="60"/>
        <v>2.75</v>
      </c>
      <c r="BM273">
        <f t="shared" si="61"/>
        <v>0</v>
      </c>
      <c r="BN273">
        <f t="shared" si="62"/>
        <v>0</v>
      </c>
      <c r="BO273">
        <f t="shared" si="63"/>
        <v>1</v>
      </c>
      <c r="BP273" s="37">
        <f>IF($F273="","",IFERROR(INDEX(Familias!$C$5:$C$300,MATCH($F273,Familias!$A$5:$A$300,0)),""))</f>
        <v>1880</v>
      </c>
      <c r="BQ273" s="37">
        <f t="shared" si="64"/>
        <v>14425</v>
      </c>
      <c r="BR273" s="36">
        <f t="shared" si="65"/>
        <v>12</v>
      </c>
      <c r="BS273" s="36">
        <f t="shared" si="66"/>
        <v>2.75</v>
      </c>
      <c r="BT273" s="36">
        <f t="shared" si="67"/>
        <v>9.25</v>
      </c>
      <c r="BU273" s="36">
        <f t="shared" si="68"/>
        <v>7.6729000000000003</v>
      </c>
      <c r="BV273" s="39">
        <f t="shared" si="69"/>
        <v>0.82950270270270277</v>
      </c>
      <c r="BW273" s="39">
        <f t="shared" si="70"/>
        <v>1</v>
      </c>
      <c r="BX273" s="40">
        <f t="shared" si="71"/>
        <v>2.2357723577235773E-2</v>
      </c>
      <c r="BY273" s="40">
        <f t="shared" si="72"/>
        <v>1.1456023651145602E-2</v>
      </c>
      <c r="BZ273" t="str">
        <f t="shared" si="73"/>
        <v>OK</v>
      </c>
      <c r="CA273">
        <f t="shared" si="74"/>
        <v>1</v>
      </c>
    </row>
    <row r="274" spans="1:80" x14ac:dyDescent="0.25">
      <c r="A274" s="35">
        <v>45936</v>
      </c>
      <c r="B274" s="36">
        <v>12</v>
      </c>
      <c r="C274" t="s">
        <v>113</v>
      </c>
      <c r="D274" t="s">
        <v>6</v>
      </c>
      <c r="J274" s="37">
        <v>0</v>
      </c>
      <c r="K274" s="37"/>
      <c r="V274" t="s">
        <v>120</v>
      </c>
      <c r="Y274" s="38">
        <v>0.29166666666666669</v>
      </c>
      <c r="Z274" s="38">
        <v>0.79166666666666663</v>
      </c>
      <c r="AA274" t="s">
        <v>117</v>
      </c>
      <c r="AC274" t="s">
        <v>118</v>
      </c>
      <c r="BJ274">
        <v>12</v>
      </c>
      <c r="BK274">
        <f>0</f>
        <v>0</v>
      </c>
      <c r="BL274">
        <f t="shared" si="60"/>
        <v>12</v>
      </c>
      <c r="BM274">
        <f t="shared" si="61"/>
        <v>0</v>
      </c>
      <c r="BN274">
        <f t="shared" si="62"/>
        <v>0</v>
      </c>
      <c r="BO274">
        <f t="shared" si="63"/>
        <v>1</v>
      </c>
      <c r="BP274" s="37" t="str">
        <f>IF($F274="","",IFERROR(INDEX(Familias!$C$5:$C$300,MATCH($F274,Familias!$A$5:$A$300,0)),""))</f>
        <v/>
      </c>
      <c r="BQ274" s="37">
        <f t="shared" si="64"/>
        <v>0</v>
      </c>
      <c r="BR274" s="36">
        <f t="shared" si="65"/>
        <v>12</v>
      </c>
      <c r="BS274" s="36">
        <f t="shared" si="66"/>
        <v>12</v>
      </c>
      <c r="BT274" s="36">
        <f t="shared" si="67"/>
        <v>0</v>
      </c>
      <c r="BU274" s="36" t="str">
        <f t="shared" si="68"/>
        <v/>
      </c>
      <c r="BV274" s="39" t="str">
        <f t="shared" si="69"/>
        <v/>
      </c>
      <c r="BW274" s="39" t="str">
        <f t="shared" si="70"/>
        <v/>
      </c>
      <c r="BX274" s="40" t="str">
        <f t="shared" si="71"/>
        <v/>
      </c>
      <c r="BY274" s="40" t="str">
        <f t="shared" si="72"/>
        <v/>
      </c>
      <c r="BZ274" t="str">
        <f t="shared" si="73"/>
        <v>Sin familia</v>
      </c>
      <c r="CA274">
        <f t="shared" si="74"/>
        <v>0</v>
      </c>
    </row>
    <row r="275" spans="1:80" x14ac:dyDescent="0.25">
      <c r="A275" s="35">
        <v>45936</v>
      </c>
      <c r="B275" s="36">
        <v>12</v>
      </c>
      <c r="C275" t="s">
        <v>119</v>
      </c>
      <c r="D275" t="s">
        <v>6</v>
      </c>
      <c r="F275" t="s">
        <v>186</v>
      </c>
      <c r="G275">
        <v>1523</v>
      </c>
      <c r="H275">
        <v>2140110632</v>
      </c>
      <c r="I275" t="s">
        <v>187</v>
      </c>
      <c r="J275" s="37">
        <v>650</v>
      </c>
      <c r="K275" s="37">
        <v>10</v>
      </c>
      <c r="M275">
        <v>584</v>
      </c>
      <c r="N275">
        <v>6.1162859999998744</v>
      </c>
      <c r="O275">
        <v>190</v>
      </c>
      <c r="R275">
        <v>140</v>
      </c>
      <c r="T275">
        <v>2</v>
      </c>
      <c r="V275" t="s">
        <v>116</v>
      </c>
      <c r="Y275" s="38">
        <v>0.79166666666666663</v>
      </c>
      <c r="Z275" s="38">
        <v>0.29166666666666669</v>
      </c>
      <c r="AA275" t="s">
        <v>117</v>
      </c>
      <c r="AC275" t="s">
        <v>118</v>
      </c>
      <c r="AL275">
        <v>0.5</v>
      </c>
      <c r="AO275">
        <v>2.75</v>
      </c>
      <c r="AQ275">
        <v>6.75</v>
      </c>
      <c r="AR275">
        <v>0.75</v>
      </c>
      <c r="BJ275">
        <v>1.25</v>
      </c>
      <c r="BK275">
        <f>0</f>
        <v>0</v>
      </c>
      <c r="BL275">
        <f t="shared" si="60"/>
        <v>12</v>
      </c>
      <c r="BM275">
        <f t="shared" si="61"/>
        <v>0</v>
      </c>
      <c r="BN275">
        <f t="shared" si="62"/>
        <v>0</v>
      </c>
      <c r="BO275">
        <f t="shared" si="63"/>
        <v>1</v>
      </c>
      <c r="BP275" s="37">
        <f>IF($F275="","",IFERROR(INDEX(Familias!$C$5:$C$300,MATCH($F275,Familias!$A$5:$A$300,0)),""))</f>
        <v>3160</v>
      </c>
      <c r="BQ275" s="37">
        <f t="shared" si="64"/>
        <v>660</v>
      </c>
      <c r="BR275" s="36">
        <f t="shared" si="65"/>
        <v>12</v>
      </c>
      <c r="BS275" s="36">
        <f t="shared" si="66"/>
        <v>12</v>
      </c>
      <c r="BT275" s="36">
        <f t="shared" si="67"/>
        <v>0</v>
      </c>
      <c r="BU275" s="36">
        <f t="shared" si="68"/>
        <v>0.2089</v>
      </c>
      <c r="BV275" s="39" t="str">
        <f t="shared" si="69"/>
        <v/>
      </c>
      <c r="BW275" s="39">
        <f t="shared" si="70"/>
        <v>0.98484848484848486</v>
      </c>
      <c r="BX275" s="40">
        <f t="shared" si="71"/>
        <v>0.56506849315068497</v>
      </c>
      <c r="BY275" s="40">
        <f t="shared" si="72"/>
        <v>0</v>
      </c>
      <c r="BZ275" t="str">
        <f t="shared" si="73"/>
        <v>OK</v>
      </c>
      <c r="CA275">
        <f t="shared" si="74"/>
        <v>1</v>
      </c>
    </row>
    <row r="276" spans="1:80" x14ac:dyDescent="0.25">
      <c r="A276" s="35">
        <v>45937</v>
      </c>
      <c r="B276" s="36">
        <v>12</v>
      </c>
      <c r="C276" t="s">
        <v>113</v>
      </c>
      <c r="D276" t="s">
        <v>6</v>
      </c>
      <c r="F276" t="s">
        <v>186</v>
      </c>
      <c r="G276">
        <v>1523</v>
      </c>
      <c r="H276">
        <v>2140110632</v>
      </c>
      <c r="I276" t="s">
        <v>187</v>
      </c>
      <c r="J276" s="37">
        <v>27650</v>
      </c>
      <c r="K276" s="37">
        <v>10</v>
      </c>
      <c r="M276">
        <v>9271</v>
      </c>
      <c r="N276">
        <v>256.32798599999472</v>
      </c>
      <c r="O276">
        <v>90</v>
      </c>
      <c r="P276">
        <v>102</v>
      </c>
      <c r="Q276">
        <v>103</v>
      </c>
      <c r="T276">
        <v>17</v>
      </c>
      <c r="V276" t="s">
        <v>120</v>
      </c>
      <c r="Y276" s="38">
        <v>0.29166666666666669</v>
      </c>
      <c r="Z276" s="38">
        <v>0.79166666666666663</v>
      </c>
      <c r="AA276" t="s">
        <v>117</v>
      </c>
      <c r="AC276" t="s">
        <v>118</v>
      </c>
      <c r="AD276">
        <v>0.25</v>
      </c>
      <c r="AQ276">
        <v>0.25</v>
      </c>
      <c r="AR276">
        <v>0.75</v>
      </c>
      <c r="BK276">
        <f>0</f>
        <v>0</v>
      </c>
      <c r="BL276">
        <f t="shared" si="60"/>
        <v>1.25</v>
      </c>
      <c r="BM276">
        <f t="shared" si="61"/>
        <v>0</v>
      </c>
      <c r="BN276">
        <f t="shared" si="62"/>
        <v>0</v>
      </c>
      <c r="BO276">
        <f t="shared" si="63"/>
        <v>1</v>
      </c>
      <c r="BP276" s="37">
        <f>IF($F276="","",IFERROR(INDEX(Familias!$C$5:$C$300,MATCH($F276,Familias!$A$5:$A$300,0)),""))</f>
        <v>3160</v>
      </c>
      <c r="BQ276" s="37">
        <f t="shared" si="64"/>
        <v>27660</v>
      </c>
      <c r="BR276" s="36">
        <f t="shared" si="65"/>
        <v>12</v>
      </c>
      <c r="BS276" s="36">
        <f t="shared" si="66"/>
        <v>1.25</v>
      </c>
      <c r="BT276" s="36">
        <f t="shared" si="67"/>
        <v>10.75</v>
      </c>
      <c r="BU276" s="36">
        <f t="shared" si="68"/>
        <v>8.7531999999999996</v>
      </c>
      <c r="BV276" s="39">
        <f t="shared" si="69"/>
        <v>0.81425116279069765</v>
      </c>
      <c r="BW276" s="39">
        <f t="shared" si="70"/>
        <v>0.99963846710050619</v>
      </c>
      <c r="BX276" s="40">
        <f t="shared" si="71"/>
        <v>2.0709740049617086E-2</v>
      </c>
      <c r="BY276" s="40">
        <f t="shared" si="72"/>
        <v>1.1109912630784166E-2</v>
      </c>
      <c r="BZ276" t="str">
        <f t="shared" si="73"/>
        <v>OK</v>
      </c>
      <c r="CA276">
        <f t="shared" si="74"/>
        <v>1</v>
      </c>
    </row>
    <row r="277" spans="1:80" x14ac:dyDescent="0.25">
      <c r="A277" s="35">
        <v>45937</v>
      </c>
      <c r="B277" s="36">
        <v>12</v>
      </c>
      <c r="C277" t="s">
        <v>119</v>
      </c>
      <c r="D277" t="s">
        <v>6</v>
      </c>
      <c r="F277" t="s">
        <v>186</v>
      </c>
      <c r="G277">
        <v>1523</v>
      </c>
      <c r="H277">
        <v>2140110632</v>
      </c>
      <c r="I277" t="s">
        <v>187</v>
      </c>
      <c r="J277" s="37">
        <v>24050</v>
      </c>
      <c r="K277" s="37">
        <v>5</v>
      </c>
      <c r="M277">
        <v>7884</v>
      </c>
      <c r="N277">
        <v>222.92009049999541</v>
      </c>
      <c r="O277">
        <v>85</v>
      </c>
      <c r="P277">
        <v>74</v>
      </c>
      <c r="T277">
        <v>14</v>
      </c>
      <c r="V277" t="s">
        <v>116</v>
      </c>
      <c r="Y277" s="38">
        <v>0.79166666666666663</v>
      </c>
      <c r="Z277" s="38">
        <v>0.29166666666666669</v>
      </c>
      <c r="AA277" t="s">
        <v>117</v>
      </c>
      <c r="AC277" t="s">
        <v>118</v>
      </c>
      <c r="AD277">
        <v>0.16669999999999999</v>
      </c>
      <c r="AQ277">
        <v>0.66669999999999996</v>
      </c>
      <c r="AR277">
        <v>0.75</v>
      </c>
      <c r="BK277">
        <f>0</f>
        <v>0</v>
      </c>
      <c r="BL277">
        <f t="shared" si="60"/>
        <v>1.5833999999999999</v>
      </c>
      <c r="BM277">
        <f t="shared" si="61"/>
        <v>0</v>
      </c>
      <c r="BN277">
        <f t="shared" si="62"/>
        <v>0</v>
      </c>
      <c r="BO277">
        <f t="shared" si="63"/>
        <v>1</v>
      </c>
      <c r="BP277" s="37">
        <f>IF($F277="","",IFERROR(INDEX(Familias!$C$5:$C$300,MATCH($F277,Familias!$A$5:$A$300,0)),""))</f>
        <v>3160</v>
      </c>
      <c r="BQ277" s="37">
        <f t="shared" si="64"/>
        <v>24055</v>
      </c>
      <c r="BR277" s="36">
        <f t="shared" si="65"/>
        <v>12</v>
      </c>
      <c r="BS277" s="36">
        <f t="shared" si="66"/>
        <v>1.5833999999999999</v>
      </c>
      <c r="BT277" s="36">
        <f t="shared" si="67"/>
        <v>10.416600000000001</v>
      </c>
      <c r="BU277" s="36">
        <f t="shared" si="68"/>
        <v>7.6123000000000003</v>
      </c>
      <c r="BV277" s="39">
        <f t="shared" si="69"/>
        <v>0.73078547702705299</v>
      </c>
      <c r="BW277" s="39">
        <f t="shared" si="70"/>
        <v>0.99979214300561214</v>
      </c>
      <c r="BX277" s="40">
        <f t="shared" si="71"/>
        <v>2.0167427701674276E-2</v>
      </c>
      <c r="BY277" s="40">
        <f t="shared" si="72"/>
        <v>0</v>
      </c>
      <c r="BZ277" t="str">
        <f t="shared" si="73"/>
        <v>OK</v>
      </c>
      <c r="CA277">
        <f t="shared" si="74"/>
        <v>1</v>
      </c>
    </row>
    <row r="278" spans="1:80" x14ac:dyDescent="0.25">
      <c r="A278" s="35">
        <v>45939</v>
      </c>
      <c r="B278" s="36">
        <v>12</v>
      </c>
      <c r="C278" t="s">
        <v>113</v>
      </c>
      <c r="D278" t="s">
        <v>6</v>
      </c>
      <c r="F278" t="s">
        <v>186</v>
      </c>
      <c r="G278">
        <v>1523</v>
      </c>
      <c r="H278">
        <v>2140110632</v>
      </c>
      <c r="I278" t="s">
        <v>187</v>
      </c>
      <c r="J278" s="37">
        <v>21250</v>
      </c>
      <c r="K278" s="37">
        <v>15</v>
      </c>
      <c r="M278">
        <v>7297</v>
      </c>
      <c r="N278">
        <v>197.06488149999589</v>
      </c>
      <c r="O278">
        <v>40</v>
      </c>
      <c r="P278">
        <v>84</v>
      </c>
      <c r="Q278">
        <v>156</v>
      </c>
      <c r="V278" t="s">
        <v>120</v>
      </c>
      <c r="Y278" s="38">
        <v>0.29166666666666669</v>
      </c>
      <c r="Z278" s="38">
        <v>0.79166666666666663</v>
      </c>
      <c r="AA278" t="s">
        <v>117</v>
      </c>
      <c r="AC278" t="s">
        <v>118</v>
      </c>
      <c r="AQ278">
        <v>0.25</v>
      </c>
      <c r="AR278">
        <v>0.75</v>
      </c>
      <c r="BE278">
        <v>2</v>
      </c>
      <c r="BI278">
        <v>0.5</v>
      </c>
      <c r="BK278">
        <f>0</f>
        <v>0</v>
      </c>
      <c r="BL278">
        <f t="shared" si="60"/>
        <v>3.5</v>
      </c>
      <c r="BM278">
        <f t="shared" si="61"/>
        <v>0</v>
      </c>
      <c r="BN278">
        <f t="shared" si="62"/>
        <v>0</v>
      </c>
      <c r="BO278">
        <f t="shared" si="63"/>
        <v>1</v>
      </c>
      <c r="BP278" s="37">
        <f>IF($F278="","",IFERROR(INDEX(Familias!$C$5:$C$300,MATCH($F278,Familias!$A$5:$A$300,0)),""))</f>
        <v>3160</v>
      </c>
      <c r="BQ278" s="37">
        <f t="shared" si="64"/>
        <v>21265</v>
      </c>
      <c r="BR278" s="36">
        <f t="shared" si="65"/>
        <v>12</v>
      </c>
      <c r="BS278" s="36">
        <f t="shared" si="66"/>
        <v>3.5</v>
      </c>
      <c r="BT278" s="36">
        <f t="shared" si="67"/>
        <v>8.5</v>
      </c>
      <c r="BU278" s="36">
        <f t="shared" si="68"/>
        <v>6.7294</v>
      </c>
      <c r="BV278" s="39">
        <f t="shared" si="69"/>
        <v>0.79169411764705888</v>
      </c>
      <c r="BW278" s="39">
        <f t="shared" si="70"/>
        <v>0.99929461556548316</v>
      </c>
      <c r="BX278" s="40">
        <f t="shared" si="71"/>
        <v>1.6993284911607509E-2</v>
      </c>
      <c r="BY278" s="40">
        <f t="shared" si="72"/>
        <v>2.1378648759764286E-2</v>
      </c>
      <c r="BZ278" t="str">
        <f t="shared" si="73"/>
        <v>OK</v>
      </c>
      <c r="CA278">
        <f t="shared" si="74"/>
        <v>1</v>
      </c>
    </row>
    <row r="279" spans="1:80" x14ac:dyDescent="0.25">
      <c r="A279" s="35">
        <v>45939</v>
      </c>
      <c r="B279" s="36">
        <v>12</v>
      </c>
      <c r="C279" t="s">
        <v>119</v>
      </c>
      <c r="D279" t="s">
        <v>6</v>
      </c>
      <c r="F279" t="s">
        <v>186</v>
      </c>
      <c r="G279">
        <v>1523</v>
      </c>
      <c r="H279">
        <v>2140110632</v>
      </c>
      <c r="I279" t="s">
        <v>187</v>
      </c>
      <c r="J279" s="37">
        <v>26100</v>
      </c>
      <c r="K279" s="37">
        <v>5</v>
      </c>
      <c r="M279">
        <v>8696</v>
      </c>
      <c r="N279">
        <v>241.91764549999499</v>
      </c>
      <c r="O279">
        <v>90</v>
      </c>
      <c r="T279">
        <v>16</v>
      </c>
      <c r="V279" t="s">
        <v>116</v>
      </c>
      <c r="Y279" s="38">
        <v>0.79166666666666663</v>
      </c>
      <c r="Z279" s="38">
        <v>0.29166666666666669</v>
      </c>
      <c r="AA279" t="s">
        <v>117</v>
      </c>
      <c r="AC279" t="s">
        <v>118</v>
      </c>
      <c r="AD279">
        <v>0.25</v>
      </c>
      <c r="AQ279">
        <v>0.25</v>
      </c>
      <c r="AR279">
        <v>0.75</v>
      </c>
      <c r="BK279">
        <f>0</f>
        <v>0</v>
      </c>
      <c r="BL279">
        <f t="shared" si="60"/>
        <v>1.25</v>
      </c>
      <c r="BM279">
        <f t="shared" si="61"/>
        <v>0</v>
      </c>
      <c r="BN279">
        <f t="shared" si="62"/>
        <v>0</v>
      </c>
      <c r="BO279">
        <f t="shared" si="63"/>
        <v>1</v>
      </c>
      <c r="BP279" s="37">
        <f>IF($F279="","",IFERROR(INDEX(Familias!$C$5:$C$300,MATCH($F279,Familias!$A$5:$A$300,0)),""))</f>
        <v>3160</v>
      </c>
      <c r="BQ279" s="37">
        <f t="shared" si="64"/>
        <v>26105</v>
      </c>
      <c r="BR279" s="36">
        <f t="shared" si="65"/>
        <v>12</v>
      </c>
      <c r="BS279" s="36">
        <f t="shared" si="66"/>
        <v>1.25</v>
      </c>
      <c r="BT279" s="36">
        <f t="shared" si="67"/>
        <v>10.75</v>
      </c>
      <c r="BU279" s="36">
        <f t="shared" si="68"/>
        <v>8.2611000000000008</v>
      </c>
      <c r="BV279" s="39">
        <f t="shared" si="69"/>
        <v>0.76847441860465127</v>
      </c>
      <c r="BW279" s="39">
        <f t="shared" si="70"/>
        <v>0.99980846581114724</v>
      </c>
      <c r="BX279" s="40">
        <f t="shared" si="71"/>
        <v>1.0349586016559338E-2</v>
      </c>
      <c r="BY279" s="40">
        <f t="shared" si="72"/>
        <v>0</v>
      </c>
      <c r="BZ279" t="str">
        <f t="shared" si="73"/>
        <v>OK</v>
      </c>
      <c r="CA279">
        <f t="shared" si="74"/>
        <v>1</v>
      </c>
    </row>
    <row r="280" spans="1:80" x14ac:dyDescent="0.25">
      <c r="A280" s="35">
        <v>45940</v>
      </c>
      <c r="B280" s="36">
        <v>12</v>
      </c>
      <c r="C280" t="s">
        <v>113</v>
      </c>
      <c r="D280" t="s">
        <v>6</v>
      </c>
      <c r="F280" t="s">
        <v>186</v>
      </c>
      <c r="G280">
        <v>1523</v>
      </c>
      <c r="H280">
        <v>2140110632</v>
      </c>
      <c r="I280" t="s">
        <v>187</v>
      </c>
      <c r="J280" s="37">
        <v>25750</v>
      </c>
      <c r="K280" s="37">
        <v>10</v>
      </c>
      <c r="M280">
        <v>8364</v>
      </c>
      <c r="N280">
        <v>238.72049599999511</v>
      </c>
      <c r="O280">
        <v>79</v>
      </c>
      <c r="P280">
        <v>90</v>
      </c>
      <c r="Q280">
        <v>68</v>
      </c>
      <c r="T280">
        <v>15</v>
      </c>
      <c r="V280" t="s">
        <v>120</v>
      </c>
      <c r="Y280" s="38">
        <v>0.29166666666666669</v>
      </c>
      <c r="Z280" s="38">
        <v>0.79166666666666663</v>
      </c>
      <c r="AA280" t="s">
        <v>117</v>
      </c>
      <c r="AC280" t="s">
        <v>118</v>
      </c>
      <c r="AO280">
        <v>0.5</v>
      </c>
      <c r="AQ280">
        <v>0.25</v>
      </c>
      <c r="AR280">
        <v>0.75</v>
      </c>
      <c r="BE280">
        <v>1</v>
      </c>
      <c r="BK280">
        <f>0</f>
        <v>0</v>
      </c>
      <c r="BL280">
        <f t="shared" si="60"/>
        <v>2.5</v>
      </c>
      <c r="BM280">
        <f t="shared" si="61"/>
        <v>0</v>
      </c>
      <c r="BN280">
        <f t="shared" si="62"/>
        <v>0</v>
      </c>
      <c r="BO280">
        <f t="shared" si="63"/>
        <v>1</v>
      </c>
      <c r="BP280" s="37">
        <f>IF($F280="","",IFERROR(INDEX(Familias!$C$5:$C$300,MATCH($F280,Familias!$A$5:$A$300,0)),""))</f>
        <v>3160</v>
      </c>
      <c r="BQ280" s="37">
        <f t="shared" si="64"/>
        <v>25760</v>
      </c>
      <c r="BR280" s="36">
        <f t="shared" si="65"/>
        <v>12</v>
      </c>
      <c r="BS280" s="36">
        <f t="shared" si="66"/>
        <v>2.5</v>
      </c>
      <c r="BT280" s="36">
        <f t="shared" si="67"/>
        <v>9.5</v>
      </c>
      <c r="BU280" s="36">
        <f t="shared" si="68"/>
        <v>8.1518999999999995</v>
      </c>
      <c r="BV280" s="39">
        <f t="shared" si="69"/>
        <v>0.85809473684210524</v>
      </c>
      <c r="BW280" s="39">
        <f t="shared" si="70"/>
        <v>0.99961180124223603</v>
      </c>
      <c r="BX280" s="40">
        <f t="shared" si="71"/>
        <v>2.0205643232902918E-2</v>
      </c>
      <c r="BY280" s="40">
        <f t="shared" si="72"/>
        <v>8.130081300813009E-3</v>
      </c>
      <c r="BZ280" t="str">
        <f t="shared" si="73"/>
        <v>OK</v>
      </c>
      <c r="CA280">
        <f t="shared" si="74"/>
        <v>1</v>
      </c>
    </row>
    <row r="281" spans="1:80" x14ac:dyDescent="0.25">
      <c r="A281" s="35">
        <v>45940</v>
      </c>
      <c r="B281" s="36">
        <v>12</v>
      </c>
      <c r="C281" t="s">
        <v>119</v>
      </c>
      <c r="D281" t="s">
        <v>6</v>
      </c>
      <c r="F281" t="s">
        <v>186</v>
      </c>
      <c r="G281">
        <v>1523</v>
      </c>
      <c r="H281">
        <v>2140110632</v>
      </c>
      <c r="I281" t="s">
        <v>187</v>
      </c>
      <c r="J281" s="37">
        <v>24950</v>
      </c>
      <c r="K281" s="37"/>
      <c r="M281">
        <v>8494</v>
      </c>
      <c r="N281">
        <v>231.2141449999952</v>
      </c>
      <c r="O281">
        <v>90</v>
      </c>
      <c r="P281">
        <v>86</v>
      </c>
      <c r="Q281">
        <v>178</v>
      </c>
      <c r="T281">
        <v>16</v>
      </c>
      <c r="V281" t="s">
        <v>116</v>
      </c>
      <c r="Y281" s="38">
        <v>0.79166666666666663</v>
      </c>
      <c r="Z281" s="38">
        <v>0.29166666666666669</v>
      </c>
      <c r="AA281" t="s">
        <v>117</v>
      </c>
      <c r="AC281" t="s">
        <v>118</v>
      </c>
      <c r="AQ281">
        <v>0.25</v>
      </c>
      <c r="AR281">
        <v>0.75</v>
      </c>
      <c r="BI281">
        <v>0.5</v>
      </c>
      <c r="BK281">
        <f>0</f>
        <v>0</v>
      </c>
      <c r="BL281">
        <f t="shared" si="60"/>
        <v>1.5</v>
      </c>
      <c r="BM281">
        <f t="shared" si="61"/>
        <v>0</v>
      </c>
      <c r="BN281">
        <f t="shared" si="62"/>
        <v>0</v>
      </c>
      <c r="BO281">
        <f t="shared" si="63"/>
        <v>1</v>
      </c>
      <c r="BP281" s="37">
        <f>IF($F281="","",IFERROR(INDEX(Familias!$C$5:$C$300,MATCH($F281,Familias!$A$5:$A$300,0)),""))</f>
        <v>3160</v>
      </c>
      <c r="BQ281" s="37">
        <f t="shared" si="64"/>
        <v>24950</v>
      </c>
      <c r="BR281" s="36">
        <f t="shared" si="65"/>
        <v>12</v>
      </c>
      <c r="BS281" s="36">
        <f t="shared" si="66"/>
        <v>1.5</v>
      </c>
      <c r="BT281" s="36">
        <f t="shared" si="67"/>
        <v>10.5</v>
      </c>
      <c r="BU281" s="36">
        <f t="shared" si="68"/>
        <v>7.8956</v>
      </c>
      <c r="BV281" s="39">
        <f t="shared" si="69"/>
        <v>0.75196190476190472</v>
      </c>
      <c r="BW281" s="39">
        <f t="shared" si="70"/>
        <v>1</v>
      </c>
      <c r="BX281" s="40">
        <f t="shared" si="71"/>
        <v>2.072050859430186E-2</v>
      </c>
      <c r="BY281" s="40">
        <f t="shared" si="72"/>
        <v>2.0955968919237108E-2</v>
      </c>
      <c r="BZ281" t="str">
        <f t="shared" si="73"/>
        <v>OK</v>
      </c>
      <c r="CA281">
        <f t="shared" si="74"/>
        <v>1</v>
      </c>
    </row>
    <row r="282" spans="1:80" x14ac:dyDescent="0.25">
      <c r="A282" s="35">
        <v>45941</v>
      </c>
      <c r="B282" s="36">
        <v>12</v>
      </c>
      <c r="C282" t="s">
        <v>113</v>
      </c>
      <c r="D282" t="s">
        <v>6</v>
      </c>
      <c r="F282" t="s">
        <v>186</v>
      </c>
      <c r="G282">
        <v>1523</v>
      </c>
      <c r="H282">
        <v>2140110632</v>
      </c>
      <c r="I282" t="s">
        <v>187</v>
      </c>
      <c r="J282" s="37">
        <v>25700</v>
      </c>
      <c r="K282" s="37">
        <v>15</v>
      </c>
      <c r="M282">
        <v>8851</v>
      </c>
      <c r="N282">
        <v>238.3034764999951</v>
      </c>
      <c r="O282">
        <v>196</v>
      </c>
      <c r="P282">
        <v>78</v>
      </c>
      <c r="Q282">
        <v>50</v>
      </c>
      <c r="V282" t="s">
        <v>120</v>
      </c>
      <c r="Y282" s="38">
        <v>0.29166666666666669</v>
      </c>
      <c r="Z282" s="38">
        <v>0.79166666666666663</v>
      </c>
      <c r="AA282" t="s">
        <v>117</v>
      </c>
      <c r="AC282" t="s">
        <v>118</v>
      </c>
      <c r="AD282">
        <v>0.16669999999999999</v>
      </c>
      <c r="AQ282">
        <v>0.25</v>
      </c>
      <c r="AR282">
        <v>0.75</v>
      </c>
      <c r="BK282">
        <f>0</f>
        <v>0</v>
      </c>
      <c r="BL282">
        <f t="shared" si="60"/>
        <v>1.1667000000000001</v>
      </c>
      <c r="BM282">
        <f t="shared" si="61"/>
        <v>0</v>
      </c>
      <c r="BN282">
        <f t="shared" si="62"/>
        <v>0</v>
      </c>
      <c r="BO282">
        <f t="shared" si="63"/>
        <v>1</v>
      </c>
      <c r="BP282" s="37">
        <f>IF($F282="","",IFERROR(INDEX(Familias!$C$5:$C$300,MATCH($F282,Familias!$A$5:$A$300,0)),""))</f>
        <v>3160</v>
      </c>
      <c r="BQ282" s="37">
        <f t="shared" si="64"/>
        <v>25715</v>
      </c>
      <c r="BR282" s="36">
        <f t="shared" si="65"/>
        <v>12</v>
      </c>
      <c r="BS282" s="36">
        <f t="shared" si="66"/>
        <v>1.1667000000000001</v>
      </c>
      <c r="BT282" s="36">
        <f t="shared" si="67"/>
        <v>10.833299999999999</v>
      </c>
      <c r="BU282" s="36">
        <f t="shared" si="68"/>
        <v>8.1377000000000006</v>
      </c>
      <c r="BV282" s="39">
        <f t="shared" si="69"/>
        <v>0.75117461899882776</v>
      </c>
      <c r="BW282" s="39">
        <f t="shared" si="70"/>
        <v>0.99941668286992025</v>
      </c>
      <c r="BX282" s="40">
        <f t="shared" si="71"/>
        <v>3.095695401649531E-2</v>
      </c>
      <c r="BY282" s="40">
        <f t="shared" si="72"/>
        <v>5.6490792000903857E-3</v>
      </c>
      <c r="BZ282" t="str">
        <f t="shared" si="73"/>
        <v>OK</v>
      </c>
      <c r="CA282">
        <f t="shared" si="74"/>
        <v>1</v>
      </c>
    </row>
    <row r="283" spans="1:80" x14ac:dyDescent="0.25">
      <c r="A283" s="35">
        <v>45941</v>
      </c>
      <c r="B283" s="36">
        <v>12</v>
      </c>
      <c r="C283" t="s">
        <v>119</v>
      </c>
      <c r="D283" t="s">
        <v>6</v>
      </c>
      <c r="F283" t="s">
        <v>186</v>
      </c>
      <c r="G283">
        <v>1523</v>
      </c>
      <c r="H283">
        <v>2140110632</v>
      </c>
      <c r="I283" t="s">
        <v>187</v>
      </c>
      <c r="J283" s="37">
        <v>21100</v>
      </c>
      <c r="K283" s="37"/>
      <c r="M283">
        <v>7540</v>
      </c>
      <c r="N283">
        <v>195.53580999999591</v>
      </c>
      <c r="O283">
        <v>190</v>
      </c>
      <c r="P283">
        <v>56</v>
      </c>
      <c r="Q283">
        <v>185</v>
      </c>
      <c r="T283">
        <v>14</v>
      </c>
      <c r="V283" t="s">
        <v>116</v>
      </c>
      <c r="Y283" s="38">
        <v>0.79166666666666663</v>
      </c>
      <c r="Z283" s="38">
        <v>0.29166666666666669</v>
      </c>
      <c r="AA283" t="s">
        <v>117</v>
      </c>
      <c r="AC283" t="s">
        <v>118</v>
      </c>
      <c r="AO283">
        <v>0.5</v>
      </c>
      <c r="AR283">
        <v>0.75</v>
      </c>
      <c r="BC283">
        <v>2</v>
      </c>
      <c r="BI283">
        <v>0.5</v>
      </c>
      <c r="BK283">
        <f>0</f>
        <v>0</v>
      </c>
      <c r="BL283">
        <f t="shared" si="60"/>
        <v>3.75</v>
      </c>
      <c r="BM283">
        <f t="shared" si="61"/>
        <v>0</v>
      </c>
      <c r="BN283">
        <f t="shared" si="62"/>
        <v>0</v>
      </c>
      <c r="BO283">
        <f t="shared" si="63"/>
        <v>1</v>
      </c>
      <c r="BP283" s="37">
        <f>IF($F283="","",IFERROR(INDEX(Familias!$C$5:$C$300,MATCH($F283,Familias!$A$5:$A$300,0)),""))</f>
        <v>3160</v>
      </c>
      <c r="BQ283" s="37">
        <f t="shared" si="64"/>
        <v>21100</v>
      </c>
      <c r="BR283" s="36">
        <f t="shared" si="65"/>
        <v>12</v>
      </c>
      <c r="BS283" s="36">
        <f t="shared" si="66"/>
        <v>3.75</v>
      </c>
      <c r="BT283" s="36">
        <f t="shared" si="67"/>
        <v>8.25</v>
      </c>
      <c r="BU283" s="36">
        <f t="shared" si="68"/>
        <v>6.6772</v>
      </c>
      <c r="BV283" s="39">
        <f t="shared" si="69"/>
        <v>0.80935757575757572</v>
      </c>
      <c r="BW283" s="39">
        <f t="shared" si="70"/>
        <v>1</v>
      </c>
      <c r="BX283" s="40">
        <f t="shared" si="71"/>
        <v>3.2625994694960213E-2</v>
      </c>
      <c r="BY283" s="40">
        <f t="shared" si="72"/>
        <v>2.4535809018567639E-2</v>
      </c>
      <c r="BZ283" t="str">
        <f t="shared" si="73"/>
        <v>OK</v>
      </c>
      <c r="CA283">
        <f t="shared" si="74"/>
        <v>1</v>
      </c>
    </row>
    <row r="284" spans="1:80" x14ac:dyDescent="0.25">
      <c r="A284" s="35">
        <v>45943</v>
      </c>
      <c r="B284" s="36">
        <v>12</v>
      </c>
      <c r="C284" t="s">
        <v>113</v>
      </c>
      <c r="D284" t="s">
        <v>6</v>
      </c>
      <c r="F284" t="s">
        <v>186</v>
      </c>
      <c r="G284">
        <v>1599</v>
      </c>
      <c r="H284">
        <v>2140110631</v>
      </c>
      <c r="I284" t="s">
        <v>202</v>
      </c>
      <c r="J284" s="37">
        <v>22850</v>
      </c>
      <c r="K284" s="37">
        <v>10</v>
      </c>
      <c r="M284">
        <v>7955</v>
      </c>
      <c r="N284">
        <v>211.84590599999561</v>
      </c>
      <c r="O284">
        <v>150</v>
      </c>
      <c r="P284">
        <v>74</v>
      </c>
      <c r="Q284">
        <v>315</v>
      </c>
      <c r="R284">
        <v>80</v>
      </c>
      <c r="T284">
        <v>15</v>
      </c>
      <c r="V284" t="s">
        <v>116</v>
      </c>
      <c r="Y284" s="38">
        <v>0.29166666666666669</v>
      </c>
      <c r="Z284" s="38">
        <v>0.79166666666666663</v>
      </c>
      <c r="AA284" t="s">
        <v>117</v>
      </c>
      <c r="AC284" t="s">
        <v>118</v>
      </c>
      <c r="AD284">
        <v>1</v>
      </c>
      <c r="AQ284">
        <v>0.25</v>
      </c>
      <c r="AR284">
        <v>0.75</v>
      </c>
      <c r="BK284">
        <f>0</f>
        <v>0</v>
      </c>
      <c r="BL284">
        <f t="shared" si="60"/>
        <v>2</v>
      </c>
      <c r="BM284">
        <f t="shared" si="61"/>
        <v>0</v>
      </c>
      <c r="BN284">
        <f t="shared" si="62"/>
        <v>0</v>
      </c>
      <c r="BO284">
        <f t="shared" si="63"/>
        <v>1</v>
      </c>
      <c r="BP284" s="37">
        <f>IF($F284="","",IFERROR(INDEX(Familias!$C$5:$C$300,MATCH($F284,Familias!$A$5:$A$300,0)),""))</f>
        <v>3160</v>
      </c>
      <c r="BQ284" s="37">
        <f t="shared" si="64"/>
        <v>22860</v>
      </c>
      <c r="BR284" s="36">
        <f t="shared" si="65"/>
        <v>12</v>
      </c>
      <c r="BS284" s="36">
        <f t="shared" si="66"/>
        <v>2</v>
      </c>
      <c r="BT284" s="36">
        <f t="shared" si="67"/>
        <v>10</v>
      </c>
      <c r="BU284" s="36">
        <f t="shared" si="68"/>
        <v>7.2342000000000004</v>
      </c>
      <c r="BV284" s="39">
        <f t="shared" si="69"/>
        <v>0.72342000000000006</v>
      </c>
      <c r="BW284" s="39">
        <f t="shared" si="70"/>
        <v>0.99956255468066491</v>
      </c>
      <c r="BX284" s="40">
        <f t="shared" si="71"/>
        <v>3.8214959145191706E-2</v>
      </c>
      <c r="BY284" s="40">
        <f t="shared" si="72"/>
        <v>3.9597737272155875E-2</v>
      </c>
      <c r="BZ284" t="str">
        <f t="shared" si="73"/>
        <v>OK</v>
      </c>
      <c r="CA284">
        <f t="shared" si="74"/>
        <v>1</v>
      </c>
    </row>
    <row r="285" spans="1:80" x14ac:dyDescent="0.25">
      <c r="A285" s="35">
        <v>45943</v>
      </c>
      <c r="B285" s="36">
        <v>12</v>
      </c>
      <c r="C285" t="s">
        <v>119</v>
      </c>
      <c r="D285" t="s">
        <v>6</v>
      </c>
      <c r="F285" t="s">
        <v>186</v>
      </c>
      <c r="G285">
        <v>1599</v>
      </c>
      <c r="H285">
        <v>2140110631</v>
      </c>
      <c r="I285" t="s">
        <v>202</v>
      </c>
      <c r="J285" s="37">
        <v>18950</v>
      </c>
      <c r="K285" s="37"/>
      <c r="M285">
        <v>6135</v>
      </c>
      <c r="N285">
        <v>175.6115449999964</v>
      </c>
      <c r="O285">
        <v>40</v>
      </c>
      <c r="P285">
        <v>66</v>
      </c>
      <c r="T285">
        <v>11</v>
      </c>
      <c r="V285" t="s">
        <v>120</v>
      </c>
      <c r="Y285" s="38">
        <v>0.79166666666666663</v>
      </c>
      <c r="Z285" s="38">
        <v>0.29166666666666669</v>
      </c>
      <c r="AA285" t="s">
        <v>117</v>
      </c>
      <c r="AC285" t="s">
        <v>118</v>
      </c>
      <c r="AQ285">
        <v>0.25</v>
      </c>
      <c r="AR285">
        <v>0.75</v>
      </c>
      <c r="BI285">
        <v>0.33329999999999999</v>
      </c>
      <c r="BJ285">
        <v>3.75</v>
      </c>
      <c r="BK285">
        <f>0</f>
        <v>0</v>
      </c>
      <c r="BL285">
        <f t="shared" si="60"/>
        <v>5.0832999999999995</v>
      </c>
      <c r="BM285">
        <f t="shared" si="61"/>
        <v>0</v>
      </c>
      <c r="BN285">
        <f t="shared" si="62"/>
        <v>0</v>
      </c>
      <c r="BO285">
        <f t="shared" si="63"/>
        <v>1</v>
      </c>
      <c r="BP285" s="37">
        <f>IF($F285="","",IFERROR(INDEX(Familias!$C$5:$C$300,MATCH($F285,Familias!$A$5:$A$300,0)),""))</f>
        <v>3160</v>
      </c>
      <c r="BQ285" s="37">
        <f t="shared" si="64"/>
        <v>18950</v>
      </c>
      <c r="BR285" s="36">
        <f t="shared" si="65"/>
        <v>12</v>
      </c>
      <c r="BS285" s="36">
        <f t="shared" si="66"/>
        <v>5.0833000000000004</v>
      </c>
      <c r="BT285" s="36">
        <f t="shared" si="67"/>
        <v>6.9166999999999996</v>
      </c>
      <c r="BU285" s="36">
        <f t="shared" si="68"/>
        <v>5.9968000000000004</v>
      </c>
      <c r="BV285" s="39">
        <f t="shared" si="69"/>
        <v>0.8670030505877081</v>
      </c>
      <c r="BW285" s="39">
        <f t="shared" si="70"/>
        <v>1</v>
      </c>
      <c r="BX285" s="40">
        <f t="shared" si="71"/>
        <v>1.7277913610431947E-2</v>
      </c>
      <c r="BY285" s="40">
        <f t="shared" si="72"/>
        <v>0</v>
      </c>
      <c r="BZ285" t="str">
        <f t="shared" si="73"/>
        <v>OK</v>
      </c>
      <c r="CA285">
        <f t="shared" si="74"/>
        <v>1</v>
      </c>
    </row>
    <row r="286" spans="1:80" x14ac:dyDescent="0.25">
      <c r="A286" s="35">
        <v>45944</v>
      </c>
      <c r="B286" s="36">
        <v>12</v>
      </c>
      <c r="C286" t="s">
        <v>113</v>
      </c>
      <c r="D286" t="s">
        <v>6</v>
      </c>
      <c r="J286" s="37">
        <v>0</v>
      </c>
      <c r="K286" s="37"/>
      <c r="V286" t="s">
        <v>116</v>
      </c>
      <c r="Y286" s="38">
        <v>0.29166666666666669</v>
      </c>
      <c r="Z286" s="38">
        <v>0.79166666666666663</v>
      </c>
      <c r="AA286" t="s">
        <v>117</v>
      </c>
      <c r="AC286" t="s">
        <v>118</v>
      </c>
      <c r="AR286">
        <v>0.75</v>
      </c>
      <c r="AZ286">
        <v>4</v>
      </c>
      <c r="BJ286">
        <v>7.25</v>
      </c>
      <c r="BK286">
        <f>0</f>
        <v>0</v>
      </c>
      <c r="BL286">
        <f t="shared" si="60"/>
        <v>8</v>
      </c>
      <c r="BM286">
        <f t="shared" si="61"/>
        <v>4</v>
      </c>
      <c r="BN286">
        <f t="shared" si="62"/>
        <v>0</v>
      </c>
      <c r="BO286">
        <f t="shared" si="63"/>
        <v>1</v>
      </c>
      <c r="BP286" s="37" t="str">
        <f>IF($F286="","",IFERROR(INDEX(Familias!$C$5:$C$300,MATCH($F286,Familias!$A$5:$A$300,0)),""))</f>
        <v/>
      </c>
      <c r="BQ286" s="37">
        <f t="shared" si="64"/>
        <v>0</v>
      </c>
      <c r="BR286" s="36">
        <f t="shared" si="65"/>
        <v>12</v>
      </c>
      <c r="BS286" s="36">
        <f t="shared" si="66"/>
        <v>12</v>
      </c>
      <c r="BT286" s="36">
        <f t="shared" si="67"/>
        <v>0</v>
      </c>
      <c r="BU286" s="36" t="str">
        <f t="shared" si="68"/>
        <v/>
      </c>
      <c r="BV286" s="39" t="str">
        <f t="shared" si="69"/>
        <v/>
      </c>
      <c r="BW286" s="39" t="str">
        <f t="shared" si="70"/>
        <v/>
      </c>
      <c r="BX286" s="40" t="str">
        <f t="shared" si="71"/>
        <v/>
      </c>
      <c r="BY286" s="40" t="str">
        <f t="shared" si="72"/>
        <v/>
      </c>
      <c r="BZ286" t="str">
        <f t="shared" si="73"/>
        <v>Sin familia</v>
      </c>
      <c r="CA286">
        <f t="shared" si="74"/>
        <v>0</v>
      </c>
    </row>
    <row r="287" spans="1:80" x14ac:dyDescent="0.25">
      <c r="A287" s="35">
        <v>45944</v>
      </c>
      <c r="B287" s="36">
        <v>12</v>
      </c>
      <c r="C287" t="s">
        <v>119</v>
      </c>
      <c r="D287" t="s">
        <v>6</v>
      </c>
      <c r="J287" s="37">
        <v>0</v>
      </c>
      <c r="K287" s="37"/>
      <c r="V287" t="s">
        <v>116</v>
      </c>
      <c r="Y287" s="38">
        <v>0.79166666666666663</v>
      </c>
      <c r="Z287" s="38">
        <v>0.29166666666666669</v>
      </c>
      <c r="AA287" t="s">
        <v>117</v>
      </c>
      <c r="AC287" t="s">
        <v>118</v>
      </c>
      <c r="BA287">
        <v>12</v>
      </c>
      <c r="BK287">
        <f>0</f>
        <v>0</v>
      </c>
      <c r="BL287">
        <f t="shared" si="60"/>
        <v>0</v>
      </c>
      <c r="BM287">
        <f t="shared" si="61"/>
        <v>12</v>
      </c>
      <c r="BN287">
        <f t="shared" si="62"/>
        <v>0</v>
      </c>
      <c r="BO287">
        <f t="shared" si="63"/>
        <v>1</v>
      </c>
      <c r="BP287" s="37" t="str">
        <f>IF($F287="","",IFERROR(INDEX(Familias!$C$5:$C$300,MATCH($F287,Familias!$A$5:$A$300,0)),""))</f>
        <v/>
      </c>
      <c r="BQ287" s="37">
        <f t="shared" si="64"/>
        <v>0</v>
      </c>
      <c r="BR287" s="36">
        <f t="shared" si="65"/>
        <v>12</v>
      </c>
      <c r="BS287" s="36">
        <f t="shared" si="66"/>
        <v>12</v>
      </c>
      <c r="BT287" s="36">
        <f t="shared" si="67"/>
        <v>0</v>
      </c>
      <c r="BU287" s="36" t="str">
        <f t="shared" si="68"/>
        <v/>
      </c>
      <c r="BV287" s="39" t="str">
        <f t="shared" si="69"/>
        <v/>
      </c>
      <c r="BW287" s="39" t="str">
        <f t="shared" si="70"/>
        <v/>
      </c>
      <c r="BX287" s="40" t="str">
        <f t="shared" si="71"/>
        <v/>
      </c>
      <c r="BY287" s="40" t="str">
        <f t="shared" si="72"/>
        <v/>
      </c>
      <c r="BZ287" t="str">
        <f t="shared" si="73"/>
        <v>Sin familia</v>
      </c>
      <c r="CA287">
        <f t="shared" si="74"/>
        <v>0</v>
      </c>
    </row>
    <row r="288" spans="1:80" x14ac:dyDescent="0.25">
      <c r="A288" s="35">
        <v>45945</v>
      </c>
      <c r="B288" s="36">
        <v>12</v>
      </c>
      <c r="C288" t="s">
        <v>113</v>
      </c>
      <c r="D288" t="s">
        <v>6</v>
      </c>
      <c r="F288" t="s">
        <v>124</v>
      </c>
      <c r="G288">
        <v>1641</v>
      </c>
      <c r="H288">
        <v>2310320423</v>
      </c>
      <c r="I288" t="s">
        <v>203</v>
      </c>
      <c r="J288" s="37">
        <v>16500</v>
      </c>
      <c r="K288" s="37"/>
      <c r="M288">
        <v>720</v>
      </c>
      <c r="N288">
        <v>0</v>
      </c>
      <c r="O288">
        <v>50</v>
      </c>
      <c r="Q288">
        <v>50</v>
      </c>
      <c r="T288">
        <v>1</v>
      </c>
      <c r="V288" t="s">
        <v>116</v>
      </c>
      <c r="Y288" s="38">
        <v>0.29166666666666669</v>
      </c>
      <c r="Z288" s="38">
        <v>0.79166666666666663</v>
      </c>
      <c r="AA288" t="s">
        <v>117</v>
      </c>
      <c r="AC288" t="s">
        <v>118</v>
      </c>
      <c r="AE288">
        <v>1.75</v>
      </c>
      <c r="AQ288">
        <v>0.25</v>
      </c>
      <c r="AR288">
        <v>0.75</v>
      </c>
      <c r="AZ288">
        <v>4</v>
      </c>
      <c r="BK288">
        <f>0</f>
        <v>0</v>
      </c>
      <c r="BL288">
        <f t="shared" si="60"/>
        <v>2.75</v>
      </c>
      <c r="BM288">
        <f t="shared" si="61"/>
        <v>4</v>
      </c>
      <c r="BN288">
        <f t="shared" si="62"/>
        <v>0</v>
      </c>
      <c r="BO288">
        <f t="shared" si="63"/>
        <v>1</v>
      </c>
      <c r="BP288" s="37">
        <f>IF($F288="","",IFERROR(INDEX(Familias!$C$5:$C$300,MATCH($F288,Familias!$A$5:$A$300,0)),""))</f>
        <v>2840</v>
      </c>
      <c r="BQ288" s="37">
        <f t="shared" si="64"/>
        <v>16500</v>
      </c>
      <c r="BR288" s="36">
        <f t="shared" si="65"/>
        <v>12</v>
      </c>
      <c r="BS288" s="36">
        <f t="shared" si="66"/>
        <v>6.75</v>
      </c>
      <c r="BT288" s="36">
        <f t="shared" si="67"/>
        <v>5.25</v>
      </c>
      <c r="BU288" s="36">
        <f t="shared" si="68"/>
        <v>5.8098999999999998</v>
      </c>
      <c r="BV288" s="39">
        <f t="shared" si="69"/>
        <v>1.1066476190476191</v>
      </c>
      <c r="BW288" s="39">
        <f t="shared" si="70"/>
        <v>1</v>
      </c>
      <c r="BX288" s="40">
        <f t="shared" si="71"/>
        <v>6.9444444444444448E-2</v>
      </c>
      <c r="BY288" s="40">
        <f t="shared" si="72"/>
        <v>6.9444444444444448E-2</v>
      </c>
      <c r="BZ288" t="str">
        <f t="shared" si="73"/>
        <v>Revisar rendimiento</v>
      </c>
      <c r="CA288">
        <f t="shared" si="74"/>
        <v>1</v>
      </c>
    </row>
    <row r="289" spans="1:80" x14ac:dyDescent="0.25">
      <c r="A289" s="35">
        <v>45945</v>
      </c>
      <c r="B289" s="36">
        <v>12</v>
      </c>
      <c r="C289" t="s">
        <v>119</v>
      </c>
      <c r="D289" t="s">
        <v>6</v>
      </c>
      <c r="F289" t="s">
        <v>124</v>
      </c>
      <c r="G289">
        <v>1642</v>
      </c>
      <c r="H289">
        <v>2310320422</v>
      </c>
      <c r="I289" t="s">
        <v>204</v>
      </c>
      <c r="J289" s="37">
        <v>107500</v>
      </c>
      <c r="K289" s="37"/>
      <c r="M289">
        <v>3758</v>
      </c>
      <c r="N289">
        <v>0</v>
      </c>
      <c r="O289">
        <v>100</v>
      </c>
      <c r="P289">
        <v>20</v>
      </c>
      <c r="Q289">
        <v>100</v>
      </c>
      <c r="T289">
        <v>5</v>
      </c>
      <c r="V289" t="s">
        <v>120</v>
      </c>
      <c r="Y289" s="38">
        <v>0.79166666666666663</v>
      </c>
      <c r="Z289" s="38">
        <v>0.29166666666666669</v>
      </c>
      <c r="AA289" t="s">
        <v>117</v>
      </c>
      <c r="AC289" t="s">
        <v>118</v>
      </c>
      <c r="AQ289">
        <v>0.25</v>
      </c>
      <c r="AR289">
        <v>0.75</v>
      </c>
      <c r="BI289">
        <v>0.33329999999999999</v>
      </c>
      <c r="BK289">
        <f>0</f>
        <v>0</v>
      </c>
      <c r="BL289">
        <f t="shared" si="60"/>
        <v>1.3332999999999999</v>
      </c>
      <c r="BM289">
        <f t="shared" si="61"/>
        <v>0</v>
      </c>
      <c r="BN289">
        <f t="shared" si="62"/>
        <v>0</v>
      </c>
      <c r="BO289">
        <f t="shared" si="63"/>
        <v>1</v>
      </c>
      <c r="BP289" s="37">
        <f>IF($F289="","",IFERROR(INDEX(Familias!$C$5:$C$300,MATCH($F289,Familias!$A$5:$A$300,0)),""))</f>
        <v>2840</v>
      </c>
      <c r="BQ289" s="37">
        <f t="shared" si="64"/>
        <v>107500</v>
      </c>
      <c r="BR289" s="36">
        <f t="shared" si="65"/>
        <v>12</v>
      </c>
      <c r="BS289" s="36">
        <f t="shared" si="66"/>
        <v>1.3332999999999999</v>
      </c>
      <c r="BT289" s="36">
        <f t="shared" si="67"/>
        <v>10.666700000000001</v>
      </c>
      <c r="BU289" s="36">
        <f t="shared" si="68"/>
        <v>37.8521</v>
      </c>
      <c r="BV289" s="39">
        <f t="shared" si="69"/>
        <v>3.5486232855522326</v>
      </c>
      <c r="BW289" s="39">
        <f t="shared" si="70"/>
        <v>1</v>
      </c>
      <c r="BX289" s="40">
        <f t="shared" si="71"/>
        <v>3.1931878658861094E-2</v>
      </c>
      <c r="BY289" s="40">
        <f t="shared" si="72"/>
        <v>2.6609898882384245E-2</v>
      </c>
      <c r="BZ289" t="str">
        <f t="shared" si="73"/>
        <v>Revisar rendimiento</v>
      </c>
      <c r="CA289">
        <f t="shared" si="74"/>
        <v>1</v>
      </c>
    </row>
    <row r="290" spans="1:80" x14ac:dyDescent="0.25">
      <c r="A290" s="35">
        <v>45946</v>
      </c>
      <c r="B290" s="36">
        <v>12</v>
      </c>
      <c r="C290" t="s">
        <v>113</v>
      </c>
      <c r="D290" t="s">
        <v>6</v>
      </c>
      <c r="F290" t="s">
        <v>124</v>
      </c>
      <c r="G290">
        <v>1643</v>
      </c>
      <c r="H290">
        <v>2310320424</v>
      </c>
      <c r="I290" t="s">
        <v>205</v>
      </c>
      <c r="J290" s="37">
        <v>23850</v>
      </c>
      <c r="K290" s="37"/>
      <c r="N290">
        <v>0</v>
      </c>
      <c r="V290" t="s">
        <v>116</v>
      </c>
      <c r="Y290" s="38">
        <v>0.29166666666666669</v>
      </c>
      <c r="Z290" s="38">
        <v>0.79166666666666663</v>
      </c>
      <c r="AA290" t="s">
        <v>117</v>
      </c>
      <c r="AC290" t="s">
        <v>118</v>
      </c>
      <c r="AD290">
        <v>2.5</v>
      </c>
      <c r="AQ290">
        <v>0.25</v>
      </c>
      <c r="AR290">
        <v>0.75</v>
      </c>
      <c r="BK290">
        <f>0</f>
        <v>0</v>
      </c>
      <c r="BL290">
        <f t="shared" si="60"/>
        <v>3.5</v>
      </c>
      <c r="BM290">
        <f t="shared" si="61"/>
        <v>0</v>
      </c>
      <c r="BN290">
        <f t="shared" si="62"/>
        <v>0</v>
      </c>
      <c r="BO290">
        <f t="shared" si="63"/>
        <v>1</v>
      </c>
      <c r="BP290" s="37">
        <f>IF($F290="","",IFERROR(INDEX(Familias!$C$5:$C$300,MATCH($F290,Familias!$A$5:$A$300,0)),""))</f>
        <v>2840</v>
      </c>
      <c r="BQ290" s="37">
        <f t="shared" si="64"/>
        <v>23850</v>
      </c>
      <c r="BR290" s="36">
        <f t="shared" si="65"/>
        <v>12</v>
      </c>
      <c r="BS290" s="36">
        <f t="shared" si="66"/>
        <v>3.5</v>
      </c>
      <c r="BT290" s="36">
        <f t="shared" si="67"/>
        <v>8.5</v>
      </c>
      <c r="BU290" s="36">
        <f t="shared" si="68"/>
        <v>8.3978999999999999</v>
      </c>
      <c r="BV290" s="39">
        <f t="shared" si="69"/>
        <v>0.98798823529411761</v>
      </c>
      <c r="BW290" s="39">
        <f t="shared" si="70"/>
        <v>1</v>
      </c>
      <c r="BX290" s="40" t="str">
        <f t="shared" si="71"/>
        <v/>
      </c>
      <c r="BY290" s="40" t="str">
        <f t="shared" si="72"/>
        <v/>
      </c>
      <c r="BZ290" t="str">
        <f t="shared" si="73"/>
        <v>OK</v>
      </c>
      <c r="CA290">
        <f t="shared" si="74"/>
        <v>1</v>
      </c>
    </row>
    <row r="291" spans="1:80" x14ac:dyDescent="0.25">
      <c r="A291" s="35">
        <v>45946</v>
      </c>
      <c r="B291" s="36">
        <v>12</v>
      </c>
      <c r="C291" t="s">
        <v>119</v>
      </c>
      <c r="D291" t="s">
        <v>6</v>
      </c>
      <c r="J291" s="37">
        <v>0</v>
      </c>
      <c r="K291" s="37"/>
      <c r="V291" t="s">
        <v>120</v>
      </c>
      <c r="Y291" s="38">
        <v>0.79166666666666663</v>
      </c>
      <c r="Z291" s="38">
        <v>0.29166666666666669</v>
      </c>
      <c r="AA291" t="s">
        <v>117</v>
      </c>
      <c r="AC291" t="s">
        <v>118</v>
      </c>
      <c r="BA291">
        <v>12</v>
      </c>
      <c r="BK291">
        <f>0</f>
        <v>0</v>
      </c>
      <c r="BL291">
        <f t="shared" si="60"/>
        <v>0</v>
      </c>
      <c r="BM291">
        <f t="shared" si="61"/>
        <v>12</v>
      </c>
      <c r="BN291">
        <f t="shared" si="62"/>
        <v>0</v>
      </c>
      <c r="BO291">
        <f t="shared" si="63"/>
        <v>1</v>
      </c>
      <c r="BP291" s="37" t="str">
        <f>IF($F291="","",IFERROR(INDEX(Familias!$C$5:$C$300,MATCH($F291,Familias!$A$5:$A$300,0)),""))</f>
        <v/>
      </c>
      <c r="BQ291" s="37">
        <f t="shared" si="64"/>
        <v>0</v>
      </c>
      <c r="BR291" s="36">
        <f t="shared" si="65"/>
        <v>12</v>
      </c>
      <c r="BS291" s="36">
        <f t="shared" si="66"/>
        <v>12</v>
      </c>
      <c r="BT291" s="36">
        <f t="shared" si="67"/>
        <v>0</v>
      </c>
      <c r="BU291" s="36" t="str">
        <f t="shared" si="68"/>
        <v/>
      </c>
      <c r="BV291" s="39" t="str">
        <f t="shared" si="69"/>
        <v/>
      </c>
      <c r="BW291" s="39" t="str">
        <f t="shared" si="70"/>
        <v/>
      </c>
      <c r="BX291" s="40" t="str">
        <f t="shared" si="71"/>
        <v/>
      </c>
      <c r="BY291" s="40" t="str">
        <f t="shared" si="72"/>
        <v/>
      </c>
      <c r="BZ291" t="str">
        <f t="shared" si="73"/>
        <v>Sin familia</v>
      </c>
      <c r="CA291">
        <f t="shared" si="74"/>
        <v>0</v>
      </c>
    </row>
    <row r="292" spans="1:80" x14ac:dyDescent="0.25">
      <c r="A292" s="35">
        <v>45947</v>
      </c>
      <c r="B292" s="36">
        <v>12</v>
      </c>
      <c r="C292" t="s">
        <v>113</v>
      </c>
      <c r="D292" t="s">
        <v>6</v>
      </c>
      <c r="J292" s="37">
        <v>0</v>
      </c>
      <c r="K292" s="37"/>
      <c r="V292" t="s">
        <v>116</v>
      </c>
      <c r="Y292" s="38">
        <v>0.29166666666666669</v>
      </c>
      <c r="Z292" s="38">
        <v>0.79166666666666663</v>
      </c>
      <c r="AA292" t="s">
        <v>117</v>
      </c>
      <c r="AC292" t="s">
        <v>118</v>
      </c>
      <c r="BA292">
        <v>12</v>
      </c>
      <c r="BK292">
        <f>0</f>
        <v>0</v>
      </c>
      <c r="BL292">
        <f t="shared" si="60"/>
        <v>0</v>
      </c>
      <c r="BM292">
        <f t="shared" si="61"/>
        <v>12</v>
      </c>
      <c r="BN292">
        <f t="shared" si="62"/>
        <v>0</v>
      </c>
      <c r="BO292">
        <f t="shared" si="63"/>
        <v>1</v>
      </c>
      <c r="BP292" s="37" t="str">
        <f>IF($F292="","",IFERROR(INDEX(Familias!$C$5:$C$300,MATCH($F292,Familias!$A$5:$A$300,0)),""))</f>
        <v/>
      </c>
      <c r="BQ292" s="37">
        <f t="shared" si="64"/>
        <v>0</v>
      </c>
      <c r="BR292" s="36">
        <f t="shared" si="65"/>
        <v>12</v>
      </c>
      <c r="BS292" s="36">
        <f t="shared" si="66"/>
        <v>12</v>
      </c>
      <c r="BT292" s="36">
        <f t="shared" si="67"/>
        <v>0</v>
      </c>
      <c r="BU292" s="36" t="str">
        <f t="shared" si="68"/>
        <v/>
      </c>
      <c r="BV292" s="39" t="str">
        <f t="shared" si="69"/>
        <v/>
      </c>
      <c r="BW292" s="39" t="str">
        <f t="shared" si="70"/>
        <v/>
      </c>
      <c r="BX292" s="40" t="str">
        <f t="shared" si="71"/>
        <v/>
      </c>
      <c r="BY292" s="40" t="str">
        <f t="shared" si="72"/>
        <v/>
      </c>
      <c r="BZ292" t="str">
        <f t="shared" si="73"/>
        <v>Sin familia</v>
      </c>
      <c r="CA292">
        <f t="shared" si="74"/>
        <v>0</v>
      </c>
    </row>
    <row r="293" spans="1:80" x14ac:dyDescent="0.25">
      <c r="A293" s="35">
        <v>45947</v>
      </c>
      <c r="B293" s="36">
        <v>12</v>
      </c>
      <c r="C293" t="s">
        <v>119</v>
      </c>
      <c r="D293" t="s">
        <v>6</v>
      </c>
      <c r="J293" s="37">
        <v>0</v>
      </c>
      <c r="K293" s="37"/>
      <c r="V293" t="s">
        <v>120</v>
      </c>
      <c r="Y293" s="38">
        <v>0.79166666666666663</v>
      </c>
      <c r="Z293" s="38">
        <v>0.29166666666666669</v>
      </c>
      <c r="AA293" t="s">
        <v>117</v>
      </c>
      <c r="AC293" t="s">
        <v>118</v>
      </c>
      <c r="BA293">
        <v>12</v>
      </c>
      <c r="BK293">
        <f>0</f>
        <v>0</v>
      </c>
      <c r="BL293">
        <f t="shared" si="60"/>
        <v>0</v>
      </c>
      <c r="BM293">
        <f t="shared" si="61"/>
        <v>12</v>
      </c>
      <c r="BN293">
        <f t="shared" si="62"/>
        <v>0</v>
      </c>
      <c r="BO293">
        <f t="shared" si="63"/>
        <v>1</v>
      </c>
      <c r="BP293" s="37" t="str">
        <f>IF($F293="","",IFERROR(INDEX(Familias!$C$5:$C$300,MATCH($F293,Familias!$A$5:$A$300,0)),""))</f>
        <v/>
      </c>
      <c r="BQ293" s="37">
        <f t="shared" si="64"/>
        <v>0</v>
      </c>
      <c r="BR293" s="36">
        <f t="shared" si="65"/>
        <v>12</v>
      </c>
      <c r="BS293" s="36">
        <f t="shared" si="66"/>
        <v>12</v>
      </c>
      <c r="BT293" s="36">
        <f t="shared" si="67"/>
        <v>0</v>
      </c>
      <c r="BU293" s="36" t="str">
        <f t="shared" si="68"/>
        <v/>
      </c>
      <c r="BV293" s="39" t="str">
        <f t="shared" si="69"/>
        <v/>
      </c>
      <c r="BW293" s="39" t="str">
        <f t="shared" si="70"/>
        <v/>
      </c>
      <c r="BX293" s="40" t="str">
        <f t="shared" si="71"/>
        <v/>
      </c>
      <c r="BY293" s="40" t="str">
        <f t="shared" si="72"/>
        <v/>
      </c>
      <c r="BZ293" t="str">
        <f t="shared" si="73"/>
        <v>Sin familia</v>
      </c>
      <c r="CA293">
        <f t="shared" si="74"/>
        <v>0</v>
      </c>
    </row>
    <row r="294" spans="1:80" x14ac:dyDescent="0.25">
      <c r="A294" s="35">
        <v>45948</v>
      </c>
      <c r="B294" s="36">
        <v>12</v>
      </c>
      <c r="C294" t="s">
        <v>113</v>
      </c>
      <c r="D294" t="s">
        <v>6</v>
      </c>
      <c r="J294" s="37">
        <v>0</v>
      </c>
      <c r="K294" s="37"/>
      <c r="V294" t="s">
        <v>116</v>
      </c>
      <c r="Y294" s="38">
        <v>0.29166666666666669</v>
      </c>
      <c r="Z294" s="38">
        <v>0.79166666666666663</v>
      </c>
      <c r="AA294" t="s">
        <v>117</v>
      </c>
      <c r="AC294" t="s">
        <v>118</v>
      </c>
      <c r="BA294">
        <v>12</v>
      </c>
      <c r="BK294">
        <f>0</f>
        <v>0</v>
      </c>
      <c r="BL294">
        <f t="shared" si="60"/>
        <v>0</v>
      </c>
      <c r="BM294">
        <f t="shared" si="61"/>
        <v>12</v>
      </c>
      <c r="BN294">
        <f t="shared" si="62"/>
        <v>0</v>
      </c>
      <c r="BO294">
        <f t="shared" si="63"/>
        <v>1</v>
      </c>
      <c r="BP294" s="37" t="str">
        <f>IF($F294="","",IFERROR(INDEX(Familias!$C$5:$C$300,MATCH($F294,Familias!$A$5:$A$300,0)),""))</f>
        <v/>
      </c>
      <c r="BQ294" s="37">
        <f t="shared" si="64"/>
        <v>0</v>
      </c>
      <c r="BR294" s="36">
        <f t="shared" si="65"/>
        <v>12</v>
      </c>
      <c r="BS294" s="36">
        <f t="shared" si="66"/>
        <v>12</v>
      </c>
      <c r="BT294" s="36">
        <f t="shared" si="67"/>
        <v>0</v>
      </c>
      <c r="BU294" s="36" t="str">
        <f t="shared" si="68"/>
        <v/>
      </c>
      <c r="BV294" s="39" t="str">
        <f t="shared" si="69"/>
        <v/>
      </c>
      <c r="BW294" s="39" t="str">
        <f t="shared" si="70"/>
        <v/>
      </c>
      <c r="BX294" s="40" t="str">
        <f t="shared" si="71"/>
        <v/>
      </c>
      <c r="BY294" s="40" t="str">
        <f t="shared" si="72"/>
        <v/>
      </c>
      <c r="BZ294" t="str">
        <f t="shared" si="73"/>
        <v>Sin familia</v>
      </c>
      <c r="CA294">
        <f t="shared" si="74"/>
        <v>0</v>
      </c>
    </row>
    <row r="295" spans="1:80" x14ac:dyDescent="0.25">
      <c r="A295" s="35">
        <v>45948</v>
      </c>
      <c r="B295" s="36">
        <v>12</v>
      </c>
      <c r="C295" t="s">
        <v>119</v>
      </c>
      <c r="D295" t="s">
        <v>6</v>
      </c>
      <c r="J295" s="37">
        <v>0</v>
      </c>
      <c r="K295" s="37"/>
      <c r="V295" t="s">
        <v>120</v>
      </c>
      <c r="Y295" s="38">
        <v>0.79166666666666663</v>
      </c>
      <c r="Z295" s="38">
        <v>0.29166666666666669</v>
      </c>
      <c r="AA295" t="s">
        <v>117</v>
      </c>
      <c r="AC295" t="s">
        <v>118</v>
      </c>
      <c r="AE295">
        <v>12</v>
      </c>
      <c r="BK295">
        <f>0</f>
        <v>0</v>
      </c>
      <c r="BL295">
        <f t="shared" si="60"/>
        <v>12</v>
      </c>
      <c r="BM295">
        <f t="shared" si="61"/>
        <v>0</v>
      </c>
      <c r="BN295">
        <f t="shared" si="62"/>
        <v>0</v>
      </c>
      <c r="BO295">
        <f t="shared" si="63"/>
        <v>1</v>
      </c>
      <c r="BP295" s="37" t="str">
        <f>IF($F295="","",IFERROR(INDEX(Familias!$C$5:$C$300,MATCH($F295,Familias!$A$5:$A$300,0)),""))</f>
        <v/>
      </c>
      <c r="BQ295" s="37">
        <f t="shared" si="64"/>
        <v>0</v>
      </c>
      <c r="BR295" s="36">
        <f t="shared" si="65"/>
        <v>12</v>
      </c>
      <c r="BS295" s="36">
        <f t="shared" si="66"/>
        <v>12</v>
      </c>
      <c r="BT295" s="36">
        <f t="shared" si="67"/>
        <v>0</v>
      </c>
      <c r="BU295" s="36" t="str">
        <f t="shared" si="68"/>
        <v/>
      </c>
      <c r="BV295" s="39" t="str">
        <f t="shared" si="69"/>
        <v/>
      </c>
      <c r="BW295" s="39" t="str">
        <f t="shared" si="70"/>
        <v/>
      </c>
      <c r="BX295" s="40" t="str">
        <f t="shared" si="71"/>
        <v/>
      </c>
      <c r="BY295" s="40" t="str">
        <f t="shared" si="72"/>
        <v/>
      </c>
      <c r="BZ295" t="str">
        <f t="shared" si="73"/>
        <v>Sin familia</v>
      </c>
      <c r="CA295">
        <f t="shared" si="74"/>
        <v>0</v>
      </c>
    </row>
    <row r="296" spans="1:80" x14ac:dyDescent="0.25">
      <c r="A296" s="35">
        <v>45950</v>
      </c>
      <c r="B296" s="36">
        <v>1.5478000000000001</v>
      </c>
      <c r="C296" t="s">
        <v>113</v>
      </c>
      <c r="D296" t="s">
        <v>6</v>
      </c>
      <c r="E296" t="s">
        <v>147</v>
      </c>
      <c r="F296" t="s">
        <v>193</v>
      </c>
      <c r="G296">
        <v>1686</v>
      </c>
      <c r="H296">
        <v>2140110688</v>
      </c>
      <c r="I296" t="s">
        <v>195</v>
      </c>
      <c r="J296" s="37">
        <v>750</v>
      </c>
      <c r="K296" s="37">
        <v>20</v>
      </c>
      <c r="N296">
        <v>7.1356669999998523</v>
      </c>
      <c r="V296" t="s">
        <v>120</v>
      </c>
      <c r="Y296" s="38">
        <v>0.29166666666666669</v>
      </c>
      <c r="Z296" s="38">
        <v>0.35625000000000001</v>
      </c>
      <c r="AA296" t="s">
        <v>117</v>
      </c>
      <c r="AC296" t="s">
        <v>121</v>
      </c>
      <c r="AG296">
        <v>0.129</v>
      </c>
      <c r="AO296">
        <v>6.4500000000000002E-2</v>
      </c>
      <c r="AQ296">
        <v>3.2199999999999999E-2</v>
      </c>
      <c r="AR296">
        <v>9.6699999999999994E-2</v>
      </c>
      <c r="BK296">
        <f>0</f>
        <v>0</v>
      </c>
      <c r="BL296">
        <f t="shared" si="60"/>
        <v>0.32240000000000002</v>
      </c>
      <c r="BM296">
        <f t="shared" si="61"/>
        <v>0</v>
      </c>
      <c r="BN296">
        <f t="shared" si="62"/>
        <v>0</v>
      </c>
      <c r="BO296">
        <f t="shared" si="63"/>
        <v>1</v>
      </c>
      <c r="BP296" s="37">
        <f>IF($F296="","",IFERROR(INDEX(Familias!$C$5:$C$300,MATCH($F296,Familias!$A$5:$A$300,0)),""))</f>
        <v>1880</v>
      </c>
      <c r="BQ296" s="37">
        <f t="shared" si="64"/>
        <v>770</v>
      </c>
      <c r="BR296" s="36">
        <f t="shared" si="65"/>
        <v>1.5478000000000001</v>
      </c>
      <c r="BS296" s="36">
        <f t="shared" si="66"/>
        <v>0.32240000000000002</v>
      </c>
      <c r="BT296" s="36">
        <f t="shared" si="67"/>
        <v>1.2254</v>
      </c>
      <c r="BU296" s="36">
        <f t="shared" si="68"/>
        <v>0.40960000000000002</v>
      </c>
      <c r="BV296" s="39">
        <f t="shared" si="69"/>
        <v>0.33425820140362333</v>
      </c>
      <c r="BW296" s="39">
        <f t="shared" si="70"/>
        <v>0.97402597402597402</v>
      </c>
      <c r="BX296" s="40" t="str">
        <f t="shared" si="71"/>
        <v/>
      </c>
      <c r="BY296" s="40" t="str">
        <f t="shared" si="72"/>
        <v/>
      </c>
      <c r="BZ296" t="str">
        <f t="shared" si="73"/>
        <v>OK</v>
      </c>
      <c r="CA296">
        <f t="shared" si="74"/>
        <v>1</v>
      </c>
    </row>
    <row r="297" spans="1:80" x14ac:dyDescent="0.25">
      <c r="A297" s="35">
        <v>45950</v>
      </c>
      <c r="B297" s="36">
        <v>10.452199999999999</v>
      </c>
      <c r="C297" t="s">
        <v>113</v>
      </c>
      <c r="D297" t="s">
        <v>6</v>
      </c>
      <c r="E297" t="s">
        <v>147</v>
      </c>
      <c r="F297" t="s">
        <v>175</v>
      </c>
      <c r="G297">
        <v>1678</v>
      </c>
      <c r="H297">
        <v>2140110683</v>
      </c>
      <c r="I297" t="s">
        <v>206</v>
      </c>
      <c r="J297" s="37">
        <v>6550</v>
      </c>
      <c r="K297" s="37">
        <v>5</v>
      </c>
      <c r="M297">
        <v>1999</v>
      </c>
      <c r="N297">
        <v>48.596672399998837</v>
      </c>
      <c r="O297">
        <v>40</v>
      </c>
      <c r="P297">
        <v>24</v>
      </c>
      <c r="Q297">
        <v>29</v>
      </c>
      <c r="R297">
        <v>15</v>
      </c>
      <c r="T297">
        <v>4</v>
      </c>
      <c r="V297" t="s">
        <v>120</v>
      </c>
      <c r="Y297" s="38">
        <v>0.35625000000000001</v>
      </c>
      <c r="Z297" s="38">
        <v>0.79166666666666663</v>
      </c>
      <c r="AA297" t="s">
        <v>117</v>
      </c>
      <c r="AC297" t="s">
        <v>121</v>
      </c>
      <c r="AG297">
        <v>0.871</v>
      </c>
      <c r="AO297">
        <v>0.4355</v>
      </c>
      <c r="AQ297">
        <v>0.21779999999999999</v>
      </c>
      <c r="AR297">
        <v>0.65329999999999999</v>
      </c>
      <c r="BK297">
        <f>0</f>
        <v>0</v>
      </c>
      <c r="BL297">
        <f t="shared" si="60"/>
        <v>2.1776</v>
      </c>
      <c r="BM297">
        <f t="shared" si="61"/>
        <v>0</v>
      </c>
      <c r="BN297">
        <f t="shared" si="62"/>
        <v>0</v>
      </c>
      <c r="BO297">
        <f t="shared" si="63"/>
        <v>1</v>
      </c>
      <c r="BP297" s="37">
        <f>IF($F297="","",IFERROR(INDEX(Familias!$C$5:$C$300,MATCH($F297,Familias!$A$5:$A$300,0)),""))</f>
        <v>2370</v>
      </c>
      <c r="BQ297" s="37">
        <f t="shared" si="64"/>
        <v>6555</v>
      </c>
      <c r="BR297" s="36">
        <f t="shared" si="65"/>
        <v>10.452199999999999</v>
      </c>
      <c r="BS297" s="36">
        <f t="shared" si="66"/>
        <v>2.1776</v>
      </c>
      <c r="BT297" s="36">
        <f t="shared" si="67"/>
        <v>8.2745999999999995</v>
      </c>
      <c r="BU297" s="36">
        <f t="shared" si="68"/>
        <v>2.7658</v>
      </c>
      <c r="BV297" s="39">
        <f t="shared" si="69"/>
        <v>0.33425180673386029</v>
      </c>
      <c r="BW297" s="39">
        <f t="shared" si="70"/>
        <v>0.9992372234935164</v>
      </c>
      <c r="BX297" s="40">
        <f t="shared" si="71"/>
        <v>3.951975987993997E-2</v>
      </c>
      <c r="BY297" s="40">
        <f t="shared" si="72"/>
        <v>1.4507253626813406E-2</v>
      </c>
      <c r="BZ297" t="str">
        <f t="shared" si="73"/>
        <v>OK</v>
      </c>
      <c r="CA297">
        <f t="shared" si="74"/>
        <v>1</v>
      </c>
    </row>
    <row r="298" spans="1:80" x14ac:dyDescent="0.25">
      <c r="A298" s="35">
        <v>45950</v>
      </c>
      <c r="B298" s="36">
        <v>12</v>
      </c>
      <c r="C298" t="s">
        <v>119</v>
      </c>
      <c r="D298" t="s">
        <v>6</v>
      </c>
      <c r="E298" t="s">
        <v>147</v>
      </c>
      <c r="F298" t="s">
        <v>193</v>
      </c>
      <c r="G298">
        <v>1686</v>
      </c>
      <c r="H298">
        <v>2140110688</v>
      </c>
      <c r="I298" t="s">
        <v>195</v>
      </c>
      <c r="J298" s="37">
        <v>15300</v>
      </c>
      <c r="K298" s="37">
        <v>5</v>
      </c>
      <c r="M298">
        <v>5793</v>
      </c>
      <c r="N298">
        <v>141.83296549999699</v>
      </c>
      <c r="O298">
        <v>110</v>
      </c>
      <c r="P298">
        <v>56</v>
      </c>
      <c r="Q298">
        <v>81</v>
      </c>
      <c r="R298">
        <v>40</v>
      </c>
      <c r="T298">
        <v>7</v>
      </c>
      <c r="V298" t="s">
        <v>116</v>
      </c>
      <c r="Y298" s="38">
        <v>0.79166666666666663</v>
      </c>
      <c r="Z298" s="38">
        <v>0.29166666666666669</v>
      </c>
      <c r="AA298" t="s">
        <v>117</v>
      </c>
      <c r="AC298" t="s">
        <v>118</v>
      </c>
      <c r="AM298">
        <v>0.75</v>
      </c>
      <c r="AQ298">
        <v>0.25</v>
      </c>
      <c r="AR298">
        <v>0.75</v>
      </c>
      <c r="AS298">
        <v>0.41670000000000001</v>
      </c>
      <c r="BK298">
        <f>0</f>
        <v>0</v>
      </c>
      <c r="BL298">
        <f t="shared" si="60"/>
        <v>2.1667000000000001</v>
      </c>
      <c r="BM298">
        <f t="shared" si="61"/>
        <v>0</v>
      </c>
      <c r="BN298">
        <f t="shared" si="62"/>
        <v>0</v>
      </c>
      <c r="BO298">
        <f t="shared" si="63"/>
        <v>1</v>
      </c>
      <c r="BP298" s="37">
        <f>IF($F298="","",IFERROR(INDEX(Familias!$C$5:$C$300,MATCH($F298,Familias!$A$5:$A$300,0)),""))</f>
        <v>1880</v>
      </c>
      <c r="BQ298" s="37">
        <f t="shared" si="64"/>
        <v>15305</v>
      </c>
      <c r="BR298" s="36">
        <f t="shared" si="65"/>
        <v>12</v>
      </c>
      <c r="BS298" s="36">
        <f t="shared" si="66"/>
        <v>2.1667000000000001</v>
      </c>
      <c r="BT298" s="36">
        <f t="shared" si="67"/>
        <v>9.8332999999999995</v>
      </c>
      <c r="BU298" s="36">
        <f t="shared" si="68"/>
        <v>8.141</v>
      </c>
      <c r="BV298" s="39">
        <f t="shared" si="69"/>
        <v>0.82790111152919166</v>
      </c>
      <c r="BW298" s="39">
        <f t="shared" si="70"/>
        <v>0.99967330937602095</v>
      </c>
      <c r="BX298" s="40">
        <f t="shared" si="71"/>
        <v>3.5560158812359743E-2</v>
      </c>
      <c r="BY298" s="40">
        <f t="shared" si="72"/>
        <v>1.3982392542723977E-2</v>
      </c>
      <c r="BZ298" t="str">
        <f t="shared" si="73"/>
        <v>OK</v>
      </c>
      <c r="CA298">
        <f t="shared" si="74"/>
        <v>1</v>
      </c>
    </row>
    <row r="299" spans="1:80" x14ac:dyDescent="0.25">
      <c r="A299" s="35">
        <v>45951</v>
      </c>
      <c r="B299" s="36">
        <v>12</v>
      </c>
      <c r="C299" t="s">
        <v>113</v>
      </c>
      <c r="D299" t="s">
        <v>6</v>
      </c>
      <c r="E299" t="s">
        <v>147</v>
      </c>
      <c r="F299" t="s">
        <v>193</v>
      </c>
      <c r="G299">
        <v>1687</v>
      </c>
      <c r="H299">
        <v>2140110689</v>
      </c>
      <c r="I299" t="s">
        <v>194</v>
      </c>
      <c r="J299" s="37">
        <v>16950</v>
      </c>
      <c r="K299" s="37">
        <v>5</v>
      </c>
      <c r="M299">
        <v>6549</v>
      </c>
      <c r="N299">
        <v>157.12368049999671</v>
      </c>
      <c r="O299">
        <v>190</v>
      </c>
      <c r="P299">
        <v>72</v>
      </c>
      <c r="Q299">
        <v>206</v>
      </c>
      <c r="R299">
        <v>25</v>
      </c>
      <c r="T299">
        <v>9</v>
      </c>
      <c r="V299" t="s">
        <v>120</v>
      </c>
      <c r="Y299" s="38">
        <v>0.29166666666666669</v>
      </c>
      <c r="Z299" s="38">
        <v>0.79166666666666663</v>
      </c>
      <c r="AA299" t="s">
        <v>117</v>
      </c>
      <c r="AC299" t="s">
        <v>118</v>
      </c>
      <c r="AD299">
        <v>0.75</v>
      </c>
      <c r="AG299">
        <v>0.5</v>
      </c>
      <c r="AQ299">
        <v>0.25</v>
      </c>
      <c r="AR299">
        <v>0.75</v>
      </c>
      <c r="BJ299">
        <v>1</v>
      </c>
      <c r="BK299">
        <f>0</f>
        <v>0</v>
      </c>
      <c r="BL299">
        <f t="shared" si="60"/>
        <v>3.25</v>
      </c>
      <c r="BM299">
        <f t="shared" si="61"/>
        <v>0</v>
      </c>
      <c r="BN299">
        <f t="shared" si="62"/>
        <v>0</v>
      </c>
      <c r="BO299">
        <f t="shared" si="63"/>
        <v>1</v>
      </c>
      <c r="BP299" s="37">
        <f>IF($F299="","",IFERROR(INDEX(Familias!$C$5:$C$300,MATCH($F299,Familias!$A$5:$A$300,0)),""))</f>
        <v>1880</v>
      </c>
      <c r="BQ299" s="37">
        <f t="shared" si="64"/>
        <v>16955</v>
      </c>
      <c r="BR299" s="36">
        <f t="shared" si="65"/>
        <v>12</v>
      </c>
      <c r="BS299" s="36">
        <f t="shared" si="66"/>
        <v>3.25</v>
      </c>
      <c r="BT299" s="36">
        <f t="shared" si="67"/>
        <v>8.75</v>
      </c>
      <c r="BU299" s="36">
        <f t="shared" si="68"/>
        <v>9.0185999999999993</v>
      </c>
      <c r="BV299" s="39">
        <f t="shared" si="69"/>
        <v>1.0306971428571428</v>
      </c>
      <c r="BW299" s="39">
        <f t="shared" si="70"/>
        <v>0.99970510173989968</v>
      </c>
      <c r="BX299" s="40">
        <f t="shared" si="71"/>
        <v>4.3823484501450606E-2</v>
      </c>
      <c r="BY299" s="40">
        <f t="shared" si="72"/>
        <v>3.1455183997556882E-2</v>
      </c>
      <c r="BZ299" t="str">
        <f t="shared" si="73"/>
        <v>OK</v>
      </c>
      <c r="CA299">
        <f t="shared" si="74"/>
        <v>1</v>
      </c>
    </row>
    <row r="300" spans="1:80" x14ac:dyDescent="0.25">
      <c r="A300" s="35">
        <v>45951</v>
      </c>
      <c r="B300" s="36">
        <v>12</v>
      </c>
      <c r="C300" t="s">
        <v>119</v>
      </c>
      <c r="D300" t="s">
        <v>6</v>
      </c>
      <c r="E300" t="s">
        <v>147</v>
      </c>
      <c r="F300" t="s">
        <v>193</v>
      </c>
      <c r="G300">
        <v>1687</v>
      </c>
      <c r="H300">
        <v>2140110689</v>
      </c>
      <c r="I300" t="s">
        <v>194</v>
      </c>
      <c r="J300" s="37">
        <v>16800</v>
      </c>
      <c r="K300" s="37">
        <v>3</v>
      </c>
      <c r="M300">
        <v>6851</v>
      </c>
      <c r="N300">
        <v>155.7150812999968</v>
      </c>
      <c r="O300">
        <v>115</v>
      </c>
      <c r="P300">
        <v>25</v>
      </c>
      <c r="Q300">
        <v>612</v>
      </c>
      <c r="T300">
        <v>10</v>
      </c>
      <c r="V300" t="s">
        <v>116</v>
      </c>
      <c r="Y300" s="38">
        <v>0.79166666666666663</v>
      </c>
      <c r="Z300" s="38">
        <v>0.29166666666666669</v>
      </c>
      <c r="AA300" t="s">
        <v>117</v>
      </c>
      <c r="AC300" t="s">
        <v>118</v>
      </c>
      <c r="AQ300">
        <v>0.25</v>
      </c>
      <c r="AR300">
        <v>0.75</v>
      </c>
      <c r="BI300">
        <v>0.5</v>
      </c>
      <c r="BK300">
        <f>0</f>
        <v>0</v>
      </c>
      <c r="BL300">
        <f t="shared" si="60"/>
        <v>1.5</v>
      </c>
      <c r="BM300">
        <f t="shared" si="61"/>
        <v>0</v>
      </c>
      <c r="BN300">
        <f t="shared" si="62"/>
        <v>0</v>
      </c>
      <c r="BO300">
        <f t="shared" si="63"/>
        <v>1</v>
      </c>
      <c r="BP300" s="37">
        <f>IF($F300="","",IFERROR(INDEX(Familias!$C$5:$C$300,MATCH($F300,Familias!$A$5:$A$300,0)),""))</f>
        <v>1880</v>
      </c>
      <c r="BQ300" s="37">
        <f t="shared" si="64"/>
        <v>16803</v>
      </c>
      <c r="BR300" s="36">
        <f t="shared" si="65"/>
        <v>12</v>
      </c>
      <c r="BS300" s="36">
        <f t="shared" si="66"/>
        <v>1.5</v>
      </c>
      <c r="BT300" s="36">
        <f t="shared" si="67"/>
        <v>10.5</v>
      </c>
      <c r="BU300" s="36">
        <f t="shared" si="68"/>
        <v>8.9377999999999993</v>
      </c>
      <c r="BV300" s="39">
        <f t="shared" si="69"/>
        <v>0.85121904761904754</v>
      </c>
      <c r="BW300" s="39">
        <f t="shared" si="70"/>
        <v>0.99982146045349041</v>
      </c>
      <c r="BX300" s="40">
        <f t="shared" si="71"/>
        <v>2.0434972996642826E-2</v>
      </c>
      <c r="BY300" s="40">
        <f t="shared" si="72"/>
        <v>8.9330024813895778E-2</v>
      </c>
      <c r="BZ300" t="str">
        <f t="shared" si="73"/>
        <v>OK</v>
      </c>
      <c r="CA300">
        <f t="shared" si="74"/>
        <v>1</v>
      </c>
    </row>
    <row r="301" spans="1:80" x14ac:dyDescent="0.25">
      <c r="A301" s="35">
        <v>45952</v>
      </c>
      <c r="B301" s="36">
        <v>3.7315999999999998</v>
      </c>
      <c r="C301" t="s">
        <v>113</v>
      </c>
      <c r="D301" t="s">
        <v>6</v>
      </c>
      <c r="E301" t="s">
        <v>147</v>
      </c>
      <c r="F301" t="s">
        <v>193</v>
      </c>
      <c r="G301">
        <v>1687</v>
      </c>
      <c r="H301">
        <v>2140110689</v>
      </c>
      <c r="I301" t="s">
        <v>194</v>
      </c>
      <c r="J301" s="37">
        <v>2250</v>
      </c>
      <c r="K301" s="37"/>
      <c r="M301">
        <v>765</v>
      </c>
      <c r="N301">
        <v>20.850974999999568</v>
      </c>
      <c r="P301">
        <v>8</v>
      </c>
      <c r="T301">
        <v>1</v>
      </c>
      <c r="V301" t="s">
        <v>120</v>
      </c>
      <c r="Y301" s="38">
        <v>0.29166666666666669</v>
      </c>
      <c r="Z301" s="38">
        <v>0.44722222222222219</v>
      </c>
      <c r="AA301" t="s">
        <v>117</v>
      </c>
      <c r="AC301" t="s">
        <v>121</v>
      </c>
      <c r="AD301">
        <v>0.46639999999999998</v>
      </c>
      <c r="AF301">
        <v>0.23319999999999999</v>
      </c>
      <c r="AG301">
        <v>0.38869999999999999</v>
      </c>
      <c r="AI301">
        <v>7.7700000000000005E-2</v>
      </c>
      <c r="AQ301">
        <v>7.7700000000000005E-2</v>
      </c>
      <c r="AR301">
        <v>0.23319999999999999</v>
      </c>
      <c r="BK301">
        <f>0</f>
        <v>0</v>
      </c>
      <c r="BL301">
        <f t="shared" si="60"/>
        <v>1.4769000000000003</v>
      </c>
      <c r="BM301">
        <f t="shared" si="61"/>
        <v>0</v>
      </c>
      <c r="BN301">
        <f t="shared" si="62"/>
        <v>0</v>
      </c>
      <c r="BO301">
        <f t="shared" si="63"/>
        <v>1</v>
      </c>
      <c r="BP301" s="37">
        <f>IF($F301="","",IFERROR(INDEX(Familias!$C$5:$C$300,MATCH($F301,Familias!$A$5:$A$300,0)),""))</f>
        <v>1880</v>
      </c>
      <c r="BQ301" s="37">
        <f t="shared" si="64"/>
        <v>2250</v>
      </c>
      <c r="BR301" s="36">
        <f t="shared" si="65"/>
        <v>3.7315999999999998</v>
      </c>
      <c r="BS301" s="36">
        <f t="shared" si="66"/>
        <v>1.4769000000000001</v>
      </c>
      <c r="BT301" s="36">
        <f t="shared" si="67"/>
        <v>2.2547000000000001</v>
      </c>
      <c r="BU301" s="36">
        <f t="shared" si="68"/>
        <v>1.1968000000000001</v>
      </c>
      <c r="BV301" s="39">
        <f t="shared" si="69"/>
        <v>0.53080232403423955</v>
      </c>
      <c r="BW301" s="39">
        <f t="shared" si="70"/>
        <v>1</v>
      </c>
      <c r="BX301" s="40">
        <f t="shared" si="71"/>
        <v>1.045751633986928E-2</v>
      </c>
      <c r="BY301" s="40">
        <f t="shared" si="72"/>
        <v>0</v>
      </c>
      <c r="BZ301" t="str">
        <f t="shared" si="73"/>
        <v>OK</v>
      </c>
      <c r="CA301">
        <f t="shared" si="74"/>
        <v>1</v>
      </c>
    </row>
    <row r="302" spans="1:80" x14ac:dyDescent="0.25">
      <c r="A302" s="35">
        <v>45952</v>
      </c>
      <c r="B302" s="36">
        <v>8.2683999999999997</v>
      </c>
      <c r="C302" t="s">
        <v>113</v>
      </c>
      <c r="D302" t="s">
        <v>6</v>
      </c>
      <c r="E302" t="s">
        <v>147</v>
      </c>
      <c r="F302" t="s">
        <v>175</v>
      </c>
      <c r="G302">
        <v>1679</v>
      </c>
      <c r="H302">
        <v>2140110718</v>
      </c>
      <c r="I302" t="s">
        <v>207</v>
      </c>
      <c r="J302" s="37">
        <v>6275</v>
      </c>
      <c r="K302" s="37">
        <v>10</v>
      </c>
      <c r="M302">
        <v>1881</v>
      </c>
      <c r="N302">
        <v>46.594978799998891</v>
      </c>
      <c r="O302">
        <v>5</v>
      </c>
      <c r="P302">
        <v>42</v>
      </c>
      <c r="Q302">
        <v>32</v>
      </c>
      <c r="R302">
        <v>10</v>
      </c>
      <c r="T302">
        <v>2</v>
      </c>
      <c r="V302" t="s">
        <v>120</v>
      </c>
      <c r="Y302" s="38">
        <v>0.44722222222222219</v>
      </c>
      <c r="Z302" s="38">
        <v>0.79166666666666663</v>
      </c>
      <c r="AA302" t="s">
        <v>117</v>
      </c>
      <c r="AC302" t="s">
        <v>121</v>
      </c>
      <c r="AD302">
        <v>1.0336000000000001</v>
      </c>
      <c r="AF302">
        <v>0.51680000000000004</v>
      </c>
      <c r="AG302">
        <v>0.86129999999999995</v>
      </c>
      <c r="AI302">
        <v>0.17230000000000001</v>
      </c>
      <c r="AQ302">
        <v>0.17230000000000001</v>
      </c>
      <c r="AR302">
        <v>0.51680000000000004</v>
      </c>
      <c r="BK302">
        <f>0</f>
        <v>0</v>
      </c>
      <c r="BL302">
        <f t="shared" si="60"/>
        <v>3.2730999999999999</v>
      </c>
      <c r="BM302">
        <f t="shared" si="61"/>
        <v>0</v>
      </c>
      <c r="BN302">
        <f t="shared" si="62"/>
        <v>0</v>
      </c>
      <c r="BO302">
        <f t="shared" si="63"/>
        <v>1</v>
      </c>
      <c r="BP302" s="37">
        <f>IF($F302="","",IFERROR(INDEX(Familias!$C$5:$C$300,MATCH($F302,Familias!$A$5:$A$300,0)),""))</f>
        <v>2370</v>
      </c>
      <c r="BQ302" s="37">
        <f t="shared" si="64"/>
        <v>6285</v>
      </c>
      <c r="BR302" s="36">
        <f t="shared" si="65"/>
        <v>8.2683999999999997</v>
      </c>
      <c r="BS302" s="36">
        <f t="shared" si="66"/>
        <v>3.2730999999999999</v>
      </c>
      <c r="BT302" s="36">
        <f t="shared" si="67"/>
        <v>4.9953000000000003</v>
      </c>
      <c r="BU302" s="36">
        <f t="shared" si="68"/>
        <v>2.6518999999999999</v>
      </c>
      <c r="BV302" s="39">
        <f t="shared" si="69"/>
        <v>0.53087902628470762</v>
      </c>
      <c r="BW302" s="39">
        <f t="shared" si="70"/>
        <v>0.99840891010342081</v>
      </c>
      <c r="BX302" s="40">
        <f t="shared" si="71"/>
        <v>3.0303030303030304E-2</v>
      </c>
      <c r="BY302" s="40">
        <f t="shared" si="72"/>
        <v>1.7012227538543329E-2</v>
      </c>
      <c r="BZ302" t="str">
        <f t="shared" si="73"/>
        <v>OK</v>
      </c>
      <c r="CA302">
        <f t="shared" si="74"/>
        <v>1</v>
      </c>
    </row>
    <row r="303" spans="1:80" x14ac:dyDescent="0.25">
      <c r="A303" s="35">
        <v>45952</v>
      </c>
      <c r="B303" s="36">
        <v>3.7662</v>
      </c>
      <c r="C303" t="s">
        <v>119</v>
      </c>
      <c r="D303" t="s">
        <v>6</v>
      </c>
      <c r="E303" t="s">
        <v>147</v>
      </c>
      <c r="F303" t="s">
        <v>175</v>
      </c>
      <c r="G303">
        <v>1680</v>
      </c>
      <c r="H303">
        <v>2140110719</v>
      </c>
      <c r="I303" t="s">
        <v>208</v>
      </c>
      <c r="J303" s="37">
        <v>1250</v>
      </c>
      <c r="K303" s="37"/>
      <c r="M303">
        <v>478</v>
      </c>
      <c r="N303">
        <v>9.267099999999779</v>
      </c>
      <c r="O303">
        <v>25</v>
      </c>
      <c r="R303">
        <v>30</v>
      </c>
      <c r="T303">
        <v>1</v>
      </c>
      <c r="V303" t="s">
        <v>116</v>
      </c>
      <c r="Y303" s="38">
        <v>0.79166666666666663</v>
      </c>
      <c r="Z303" s="38">
        <v>0.94861111111111107</v>
      </c>
      <c r="AA303" t="s">
        <v>117</v>
      </c>
      <c r="AC303" t="s">
        <v>121</v>
      </c>
      <c r="AE303">
        <v>0.68</v>
      </c>
      <c r="AR303">
        <v>0.2354</v>
      </c>
      <c r="AV303">
        <v>1.2554000000000001</v>
      </c>
      <c r="BK303">
        <f>0</f>
        <v>0</v>
      </c>
      <c r="BL303">
        <f t="shared" si="60"/>
        <v>0.91539999999999999</v>
      </c>
      <c r="BM303">
        <f t="shared" si="61"/>
        <v>0</v>
      </c>
      <c r="BN303">
        <f t="shared" si="62"/>
        <v>1.2554000000000001</v>
      </c>
      <c r="BO303">
        <f t="shared" si="63"/>
        <v>1</v>
      </c>
      <c r="BP303" s="37">
        <f>IF($F303="","",IFERROR(INDEX(Familias!$C$5:$C$300,MATCH($F303,Familias!$A$5:$A$300,0)),""))</f>
        <v>2370</v>
      </c>
      <c r="BQ303" s="37">
        <f t="shared" si="64"/>
        <v>1250</v>
      </c>
      <c r="BR303" s="36">
        <f t="shared" si="65"/>
        <v>3.7662</v>
      </c>
      <c r="BS303" s="36">
        <f t="shared" si="66"/>
        <v>2.1707999999999998</v>
      </c>
      <c r="BT303" s="36">
        <f t="shared" si="67"/>
        <v>1.5953999999999999</v>
      </c>
      <c r="BU303" s="36">
        <f t="shared" si="68"/>
        <v>0.52739999999999998</v>
      </c>
      <c r="BV303" s="39">
        <f t="shared" si="69"/>
        <v>0.33057540428732607</v>
      </c>
      <c r="BW303" s="39">
        <f t="shared" si="70"/>
        <v>1</v>
      </c>
      <c r="BX303" s="40">
        <f t="shared" si="71"/>
        <v>0.11506276150627615</v>
      </c>
      <c r="BY303" s="40">
        <f t="shared" si="72"/>
        <v>0</v>
      </c>
      <c r="BZ303" t="str">
        <f t="shared" si="73"/>
        <v>OK</v>
      </c>
      <c r="CA303">
        <f t="shared" si="74"/>
        <v>1</v>
      </c>
    </row>
    <row r="304" spans="1:80" x14ac:dyDescent="0.25">
      <c r="A304" s="35">
        <v>45952</v>
      </c>
      <c r="B304" s="36">
        <v>8.2338000000000005</v>
      </c>
      <c r="C304" t="s">
        <v>119</v>
      </c>
      <c r="D304" t="s">
        <v>6</v>
      </c>
      <c r="E304" t="s">
        <v>126</v>
      </c>
      <c r="F304" t="s">
        <v>127</v>
      </c>
      <c r="G304">
        <v>1723</v>
      </c>
      <c r="H304">
        <v>2140110610</v>
      </c>
      <c r="I304" t="s">
        <v>128</v>
      </c>
      <c r="J304" s="37">
        <v>2825</v>
      </c>
      <c r="K304" s="37"/>
      <c r="M304">
        <v>1499</v>
      </c>
      <c r="N304">
        <v>26.179557499999461</v>
      </c>
      <c r="O304">
        <v>310</v>
      </c>
      <c r="P304">
        <v>16</v>
      </c>
      <c r="R304">
        <v>30</v>
      </c>
      <c r="T304">
        <v>2</v>
      </c>
      <c r="V304" t="s">
        <v>116</v>
      </c>
      <c r="Y304" s="38">
        <v>0.94861111111111107</v>
      </c>
      <c r="Z304" s="38">
        <v>0.29166666666666669</v>
      </c>
      <c r="AA304" t="s">
        <v>117</v>
      </c>
      <c r="AC304" t="s">
        <v>121</v>
      </c>
      <c r="AE304">
        <v>1.4866999999999999</v>
      </c>
      <c r="AR304">
        <v>0.51459999999999995</v>
      </c>
      <c r="AV304">
        <v>2.7446000000000002</v>
      </c>
      <c r="BK304">
        <f>0</f>
        <v>0</v>
      </c>
      <c r="BL304">
        <f t="shared" si="60"/>
        <v>2.0012999999999996</v>
      </c>
      <c r="BM304">
        <f t="shared" si="61"/>
        <v>0</v>
      </c>
      <c r="BN304">
        <f t="shared" si="62"/>
        <v>2.7446000000000002</v>
      </c>
      <c r="BO304">
        <f t="shared" si="63"/>
        <v>1</v>
      </c>
      <c r="BP304" s="37">
        <f>IF($F304="","",IFERROR(INDEX(Familias!$C$5:$C$300,MATCH($F304,Familias!$A$5:$A$300,0)),""))</f>
        <v>2450</v>
      </c>
      <c r="BQ304" s="37">
        <f t="shared" si="64"/>
        <v>2825</v>
      </c>
      <c r="BR304" s="36">
        <f t="shared" si="65"/>
        <v>8.2338000000000005</v>
      </c>
      <c r="BS304" s="36">
        <f t="shared" si="66"/>
        <v>4.7458999999999998</v>
      </c>
      <c r="BT304" s="36">
        <f t="shared" si="67"/>
        <v>3.4878999999999998</v>
      </c>
      <c r="BU304" s="36">
        <f t="shared" si="68"/>
        <v>1.1531</v>
      </c>
      <c r="BV304" s="39">
        <f t="shared" si="69"/>
        <v>0.33060007454342155</v>
      </c>
      <c r="BW304" s="39">
        <f t="shared" si="70"/>
        <v>1</v>
      </c>
      <c r="BX304" s="40">
        <f t="shared" si="71"/>
        <v>0.23749166110740494</v>
      </c>
      <c r="BY304" s="40">
        <f t="shared" si="72"/>
        <v>0</v>
      </c>
      <c r="BZ304" t="str">
        <f t="shared" si="73"/>
        <v>OK</v>
      </c>
      <c r="CA304">
        <f t="shared" si="74"/>
        <v>1</v>
      </c>
    </row>
    <row r="305" spans="1:80" x14ac:dyDescent="0.25">
      <c r="A305" s="35">
        <v>45953</v>
      </c>
      <c r="B305" s="36">
        <v>12</v>
      </c>
      <c r="C305" t="s">
        <v>113</v>
      </c>
      <c r="D305" t="s">
        <v>6</v>
      </c>
      <c r="E305" t="s">
        <v>126</v>
      </c>
      <c r="F305" t="s">
        <v>127</v>
      </c>
      <c r="G305">
        <v>1723</v>
      </c>
      <c r="H305">
        <v>2140110610</v>
      </c>
      <c r="I305" t="s">
        <v>128</v>
      </c>
      <c r="J305" s="37">
        <v>13650</v>
      </c>
      <c r="K305" s="37">
        <v>17</v>
      </c>
      <c r="M305">
        <v>4984</v>
      </c>
      <c r="N305">
        <v>126.65345569999739</v>
      </c>
      <c r="P305">
        <v>48</v>
      </c>
      <c r="Q305">
        <v>101</v>
      </c>
      <c r="T305">
        <v>6</v>
      </c>
      <c r="V305" t="s">
        <v>120</v>
      </c>
      <c r="Y305" s="38">
        <v>0.29166666666666669</v>
      </c>
      <c r="Z305" s="38">
        <v>0.79166666666666663</v>
      </c>
      <c r="AA305" t="s">
        <v>117</v>
      </c>
      <c r="AC305" t="s">
        <v>118</v>
      </c>
      <c r="AK305">
        <v>0.75</v>
      </c>
      <c r="AQ305">
        <v>0.25</v>
      </c>
      <c r="AR305">
        <v>0.75</v>
      </c>
      <c r="BJ305">
        <v>2.25</v>
      </c>
      <c r="BK305">
        <f>0</f>
        <v>0</v>
      </c>
      <c r="BL305">
        <f t="shared" si="60"/>
        <v>4</v>
      </c>
      <c r="BM305">
        <f t="shared" si="61"/>
        <v>0</v>
      </c>
      <c r="BN305">
        <f t="shared" si="62"/>
        <v>0</v>
      </c>
      <c r="BO305">
        <f t="shared" si="63"/>
        <v>1</v>
      </c>
      <c r="BP305" s="37">
        <f>IF($F305="","",IFERROR(INDEX(Familias!$C$5:$C$300,MATCH($F305,Familias!$A$5:$A$300,0)),""))</f>
        <v>2450</v>
      </c>
      <c r="BQ305" s="37">
        <f t="shared" si="64"/>
        <v>13667</v>
      </c>
      <c r="BR305" s="36">
        <f t="shared" si="65"/>
        <v>12</v>
      </c>
      <c r="BS305" s="36">
        <f t="shared" si="66"/>
        <v>4</v>
      </c>
      <c r="BT305" s="36">
        <f t="shared" si="67"/>
        <v>8</v>
      </c>
      <c r="BU305" s="36">
        <f t="shared" si="68"/>
        <v>5.5784000000000002</v>
      </c>
      <c r="BV305" s="39">
        <f t="shared" si="69"/>
        <v>0.69730000000000003</v>
      </c>
      <c r="BW305" s="39">
        <f t="shared" si="70"/>
        <v>0.99875612789931956</v>
      </c>
      <c r="BX305" s="40">
        <f t="shared" si="71"/>
        <v>9.630818619582664E-3</v>
      </c>
      <c r="BY305" s="40">
        <f t="shared" si="72"/>
        <v>2.0264847512038522E-2</v>
      </c>
      <c r="BZ305" t="str">
        <f t="shared" si="73"/>
        <v>OK</v>
      </c>
      <c r="CA305">
        <f t="shared" si="74"/>
        <v>1</v>
      </c>
    </row>
    <row r="306" spans="1:80" x14ac:dyDescent="0.25">
      <c r="A306" s="35">
        <v>45953</v>
      </c>
      <c r="B306" s="36">
        <v>12</v>
      </c>
      <c r="C306" t="s">
        <v>119</v>
      </c>
      <c r="D306" t="s">
        <v>6</v>
      </c>
      <c r="E306" t="s">
        <v>126</v>
      </c>
      <c r="F306" t="s">
        <v>127</v>
      </c>
      <c r="G306">
        <v>1723</v>
      </c>
      <c r="H306">
        <v>2140110610</v>
      </c>
      <c r="I306" t="s">
        <v>128</v>
      </c>
      <c r="J306" s="37">
        <v>19975</v>
      </c>
      <c r="K306" s="37">
        <v>3</v>
      </c>
      <c r="M306">
        <v>8100</v>
      </c>
      <c r="N306">
        <v>185.13812379999621</v>
      </c>
      <c r="O306">
        <v>137</v>
      </c>
      <c r="P306">
        <v>34</v>
      </c>
      <c r="Q306">
        <v>785</v>
      </c>
      <c r="T306">
        <v>11</v>
      </c>
      <c r="V306" t="s">
        <v>116</v>
      </c>
      <c r="Y306" s="38">
        <v>0.79166666666666663</v>
      </c>
      <c r="Z306" s="38">
        <v>0.29166666666666669</v>
      </c>
      <c r="AA306" t="s">
        <v>117</v>
      </c>
      <c r="AC306" t="s">
        <v>118</v>
      </c>
      <c r="AQ306">
        <v>0.25</v>
      </c>
      <c r="AR306">
        <v>0.75</v>
      </c>
      <c r="BI306">
        <v>0.5</v>
      </c>
      <c r="BK306">
        <f>0</f>
        <v>0</v>
      </c>
      <c r="BL306">
        <f t="shared" si="60"/>
        <v>1.5</v>
      </c>
      <c r="BM306">
        <f t="shared" si="61"/>
        <v>0</v>
      </c>
      <c r="BN306">
        <f t="shared" si="62"/>
        <v>0</v>
      </c>
      <c r="BO306">
        <f t="shared" si="63"/>
        <v>1</v>
      </c>
      <c r="BP306" s="37">
        <f>IF($F306="","",IFERROR(INDEX(Familias!$C$5:$C$300,MATCH($F306,Familias!$A$5:$A$300,0)),""))</f>
        <v>2450</v>
      </c>
      <c r="BQ306" s="37">
        <f t="shared" si="64"/>
        <v>19978</v>
      </c>
      <c r="BR306" s="36">
        <f t="shared" si="65"/>
        <v>12</v>
      </c>
      <c r="BS306" s="36">
        <f t="shared" si="66"/>
        <v>1.5</v>
      </c>
      <c r="BT306" s="36">
        <f t="shared" si="67"/>
        <v>10.5</v>
      </c>
      <c r="BU306" s="36">
        <f t="shared" si="68"/>
        <v>8.1542999999999992</v>
      </c>
      <c r="BV306" s="39">
        <f t="shared" si="69"/>
        <v>0.77659999999999996</v>
      </c>
      <c r="BW306" s="39">
        <f t="shared" si="70"/>
        <v>0.99984983481830014</v>
      </c>
      <c r="BX306" s="40">
        <f t="shared" si="71"/>
        <v>2.1111111111111112E-2</v>
      </c>
      <c r="BY306" s="40">
        <f t="shared" si="72"/>
        <v>9.6913580246913586E-2</v>
      </c>
      <c r="BZ306" t="str">
        <f t="shared" si="73"/>
        <v>OK</v>
      </c>
      <c r="CA306">
        <f t="shared" si="74"/>
        <v>1</v>
      </c>
    </row>
    <row r="307" spans="1:80" x14ac:dyDescent="0.25">
      <c r="A307" s="35">
        <v>45954</v>
      </c>
      <c r="B307" s="36">
        <v>12</v>
      </c>
      <c r="C307" t="s">
        <v>113</v>
      </c>
      <c r="D307" t="s">
        <v>6</v>
      </c>
      <c r="E307" t="s">
        <v>126</v>
      </c>
      <c r="F307" t="s">
        <v>127</v>
      </c>
      <c r="G307">
        <v>1723</v>
      </c>
      <c r="H307">
        <v>2140110610</v>
      </c>
      <c r="I307" t="s">
        <v>128</v>
      </c>
      <c r="J307" s="37">
        <v>22075</v>
      </c>
      <c r="K307" s="37">
        <v>5</v>
      </c>
      <c r="M307">
        <v>8445</v>
      </c>
      <c r="N307">
        <v>204.61756799999571</v>
      </c>
      <c r="O307">
        <v>115</v>
      </c>
      <c r="P307">
        <v>96</v>
      </c>
      <c r="Q307">
        <v>206</v>
      </c>
      <c r="T307">
        <v>12</v>
      </c>
      <c r="V307" t="s">
        <v>120</v>
      </c>
      <c r="Y307" s="38">
        <v>0.29166666666666669</v>
      </c>
      <c r="Z307" s="38">
        <v>0.79166666666666663</v>
      </c>
      <c r="AA307" t="s">
        <v>117</v>
      </c>
      <c r="AC307" t="s">
        <v>118</v>
      </c>
      <c r="AQ307">
        <v>0.25</v>
      </c>
      <c r="AR307">
        <v>0.75</v>
      </c>
      <c r="BI307">
        <v>0.33329999999999999</v>
      </c>
      <c r="BK307">
        <f>0</f>
        <v>0</v>
      </c>
      <c r="BL307">
        <f t="shared" si="60"/>
        <v>1.3332999999999999</v>
      </c>
      <c r="BM307">
        <f t="shared" si="61"/>
        <v>0</v>
      </c>
      <c r="BN307">
        <f t="shared" si="62"/>
        <v>0</v>
      </c>
      <c r="BO307">
        <f t="shared" si="63"/>
        <v>1</v>
      </c>
      <c r="BP307" s="37">
        <f>IF($F307="","",IFERROR(INDEX(Familias!$C$5:$C$300,MATCH($F307,Familias!$A$5:$A$300,0)),""))</f>
        <v>2450</v>
      </c>
      <c r="BQ307" s="37">
        <f t="shared" si="64"/>
        <v>22080</v>
      </c>
      <c r="BR307" s="36">
        <f t="shared" si="65"/>
        <v>12</v>
      </c>
      <c r="BS307" s="36">
        <f t="shared" si="66"/>
        <v>1.3332999999999999</v>
      </c>
      <c r="BT307" s="36">
        <f t="shared" si="67"/>
        <v>10.666700000000001</v>
      </c>
      <c r="BU307" s="36">
        <f t="shared" si="68"/>
        <v>9.0122</v>
      </c>
      <c r="BV307" s="39">
        <f t="shared" si="69"/>
        <v>0.84489110971528214</v>
      </c>
      <c r="BW307" s="39">
        <f t="shared" si="70"/>
        <v>0.99977355072463769</v>
      </c>
      <c r="BX307" s="40">
        <f t="shared" si="71"/>
        <v>2.4985198342214326E-2</v>
      </c>
      <c r="BY307" s="40">
        <f t="shared" si="72"/>
        <v>2.4393132030787447E-2</v>
      </c>
      <c r="BZ307" t="str">
        <f t="shared" si="73"/>
        <v>OK</v>
      </c>
      <c r="CA307">
        <f t="shared" si="74"/>
        <v>1</v>
      </c>
    </row>
    <row r="308" spans="1:80" x14ac:dyDescent="0.25">
      <c r="A308" s="35">
        <v>45954</v>
      </c>
      <c r="B308" s="36">
        <v>12</v>
      </c>
      <c r="C308" t="s">
        <v>119</v>
      </c>
      <c r="D308" t="s">
        <v>6</v>
      </c>
      <c r="E308" t="s">
        <v>126</v>
      </c>
      <c r="F308" t="s">
        <v>127</v>
      </c>
      <c r="G308">
        <v>1723</v>
      </c>
      <c r="H308">
        <v>2140110610</v>
      </c>
      <c r="I308" t="s">
        <v>128</v>
      </c>
      <c r="J308" s="37">
        <v>20225</v>
      </c>
      <c r="K308" s="37">
        <v>5</v>
      </c>
      <c r="M308">
        <v>7616</v>
      </c>
      <c r="N308">
        <v>187.47343299999611</v>
      </c>
      <c r="O308">
        <v>150</v>
      </c>
      <c r="P308">
        <v>64</v>
      </c>
      <c r="Q308">
        <v>85</v>
      </c>
      <c r="T308">
        <v>11</v>
      </c>
      <c r="V308" t="s">
        <v>116</v>
      </c>
      <c r="Y308" s="38">
        <v>0.79166666666666663</v>
      </c>
      <c r="Z308" s="38">
        <v>0.29166666666666669</v>
      </c>
      <c r="AA308" t="s">
        <v>117</v>
      </c>
      <c r="AC308" t="s">
        <v>118</v>
      </c>
      <c r="AQ308">
        <v>0.25</v>
      </c>
      <c r="AR308">
        <v>0.75</v>
      </c>
      <c r="BI308">
        <v>0.5</v>
      </c>
      <c r="BK308">
        <f>0</f>
        <v>0</v>
      </c>
      <c r="BL308">
        <f t="shared" si="60"/>
        <v>1.5</v>
      </c>
      <c r="BM308">
        <f t="shared" si="61"/>
        <v>0</v>
      </c>
      <c r="BN308">
        <f t="shared" si="62"/>
        <v>0</v>
      </c>
      <c r="BO308">
        <f t="shared" si="63"/>
        <v>1</v>
      </c>
      <c r="BP308" s="37">
        <f>IF($F308="","",IFERROR(INDEX(Familias!$C$5:$C$300,MATCH($F308,Familias!$A$5:$A$300,0)),""))</f>
        <v>2450</v>
      </c>
      <c r="BQ308" s="37">
        <f t="shared" si="64"/>
        <v>20230</v>
      </c>
      <c r="BR308" s="36">
        <f t="shared" si="65"/>
        <v>12</v>
      </c>
      <c r="BS308" s="36">
        <f t="shared" si="66"/>
        <v>1.5</v>
      </c>
      <c r="BT308" s="36">
        <f t="shared" si="67"/>
        <v>10.5</v>
      </c>
      <c r="BU308" s="36">
        <f t="shared" si="68"/>
        <v>8.2570999999999994</v>
      </c>
      <c r="BV308" s="39">
        <f t="shared" si="69"/>
        <v>0.78639047619047608</v>
      </c>
      <c r="BW308" s="39">
        <f t="shared" si="70"/>
        <v>0.9997528423133959</v>
      </c>
      <c r="BX308" s="40">
        <f t="shared" si="71"/>
        <v>2.809873949579832E-2</v>
      </c>
      <c r="BY308" s="40">
        <f t="shared" si="72"/>
        <v>1.1160714285714286E-2</v>
      </c>
      <c r="BZ308" t="str">
        <f t="shared" si="73"/>
        <v>OK</v>
      </c>
      <c r="CA308">
        <f t="shared" si="74"/>
        <v>1</v>
      </c>
    </row>
    <row r="309" spans="1:80" x14ac:dyDescent="0.25">
      <c r="A309" s="35">
        <v>45955</v>
      </c>
      <c r="B309" s="36">
        <v>12</v>
      </c>
      <c r="C309" t="s">
        <v>113</v>
      </c>
      <c r="D309" t="s">
        <v>6</v>
      </c>
      <c r="E309" t="s">
        <v>126</v>
      </c>
      <c r="F309" t="s">
        <v>127</v>
      </c>
      <c r="G309">
        <v>1723</v>
      </c>
      <c r="H309">
        <v>2140110610</v>
      </c>
      <c r="I309" t="s">
        <v>128</v>
      </c>
      <c r="J309" s="37">
        <v>21600</v>
      </c>
      <c r="K309" s="37">
        <v>5</v>
      </c>
      <c r="M309">
        <v>8047</v>
      </c>
      <c r="N309">
        <v>200.21569549999589</v>
      </c>
      <c r="O309">
        <v>80</v>
      </c>
      <c r="P309">
        <v>56</v>
      </c>
      <c r="Q309">
        <v>200</v>
      </c>
      <c r="V309" t="s">
        <v>120</v>
      </c>
      <c r="Y309" s="38">
        <v>0.29166666666666669</v>
      </c>
      <c r="Z309" s="38">
        <v>0.79166666666666663</v>
      </c>
      <c r="AA309" t="s">
        <v>117</v>
      </c>
      <c r="AC309" t="s">
        <v>118</v>
      </c>
      <c r="AQ309">
        <v>0.25</v>
      </c>
      <c r="AR309">
        <v>0.75</v>
      </c>
      <c r="BI309">
        <v>0.33329999999999999</v>
      </c>
      <c r="BK309">
        <f>0</f>
        <v>0</v>
      </c>
      <c r="BL309">
        <f t="shared" si="60"/>
        <v>1.3332999999999999</v>
      </c>
      <c r="BM309">
        <f t="shared" si="61"/>
        <v>0</v>
      </c>
      <c r="BN309">
        <f t="shared" si="62"/>
        <v>0</v>
      </c>
      <c r="BO309">
        <f t="shared" si="63"/>
        <v>1</v>
      </c>
      <c r="BP309" s="37">
        <f>IF($F309="","",IFERROR(INDEX(Familias!$C$5:$C$300,MATCH($F309,Familias!$A$5:$A$300,0)),""))</f>
        <v>2450</v>
      </c>
      <c r="BQ309" s="37">
        <f t="shared" si="64"/>
        <v>21605</v>
      </c>
      <c r="BR309" s="36">
        <f t="shared" si="65"/>
        <v>12</v>
      </c>
      <c r="BS309" s="36">
        <f t="shared" si="66"/>
        <v>1.3332999999999999</v>
      </c>
      <c r="BT309" s="36">
        <f t="shared" si="67"/>
        <v>10.666700000000001</v>
      </c>
      <c r="BU309" s="36">
        <f t="shared" si="68"/>
        <v>8.8184000000000005</v>
      </c>
      <c r="BV309" s="39">
        <f t="shared" si="69"/>
        <v>0.82672241649244849</v>
      </c>
      <c r="BW309" s="39">
        <f t="shared" si="70"/>
        <v>0.99976857208979408</v>
      </c>
      <c r="BX309" s="40">
        <f t="shared" si="71"/>
        <v>1.6900708338511247E-2</v>
      </c>
      <c r="BY309" s="40">
        <f t="shared" si="72"/>
        <v>2.4853982850751834E-2</v>
      </c>
      <c r="BZ309" t="str">
        <f t="shared" si="73"/>
        <v>OK</v>
      </c>
      <c r="CA309">
        <f t="shared" si="74"/>
        <v>1</v>
      </c>
    </row>
    <row r="310" spans="1:80" x14ac:dyDescent="0.25">
      <c r="A310" s="35">
        <v>45955</v>
      </c>
      <c r="B310" s="36">
        <v>12</v>
      </c>
      <c r="C310" t="s">
        <v>119</v>
      </c>
      <c r="D310" t="s">
        <v>6</v>
      </c>
      <c r="E310" t="s">
        <v>126</v>
      </c>
      <c r="F310" t="s">
        <v>127</v>
      </c>
      <c r="G310">
        <v>1723</v>
      </c>
      <c r="H310">
        <v>2140110610</v>
      </c>
      <c r="I310" t="s">
        <v>128</v>
      </c>
      <c r="J310" s="37">
        <v>16850</v>
      </c>
      <c r="K310" s="37">
        <v>8</v>
      </c>
      <c r="M310">
        <v>6257</v>
      </c>
      <c r="N310">
        <v>156.2247717999968</v>
      </c>
      <c r="O310">
        <v>85</v>
      </c>
      <c r="P310">
        <v>40</v>
      </c>
      <c r="Q310">
        <v>117</v>
      </c>
      <c r="T310">
        <v>8</v>
      </c>
      <c r="V310" t="s">
        <v>116</v>
      </c>
      <c r="Y310" s="38">
        <v>0.79166666666666663</v>
      </c>
      <c r="Z310" s="38">
        <v>0.29166666666666669</v>
      </c>
      <c r="AA310" t="s">
        <v>117</v>
      </c>
      <c r="AC310" t="s">
        <v>118</v>
      </c>
      <c r="AR310">
        <v>0.75</v>
      </c>
      <c r="BC310">
        <v>2</v>
      </c>
      <c r="BI310">
        <v>0.5</v>
      </c>
      <c r="BJ310">
        <v>0.33329999999999999</v>
      </c>
      <c r="BK310">
        <f>0</f>
        <v>0</v>
      </c>
      <c r="BL310">
        <f t="shared" si="60"/>
        <v>3.5832999999999999</v>
      </c>
      <c r="BM310">
        <f t="shared" si="61"/>
        <v>0</v>
      </c>
      <c r="BN310">
        <f t="shared" si="62"/>
        <v>0</v>
      </c>
      <c r="BO310">
        <f t="shared" si="63"/>
        <v>1</v>
      </c>
      <c r="BP310" s="37">
        <f>IF($F310="","",IFERROR(INDEX(Familias!$C$5:$C$300,MATCH($F310,Familias!$A$5:$A$300,0)),""))</f>
        <v>2450</v>
      </c>
      <c r="BQ310" s="37">
        <f t="shared" si="64"/>
        <v>16858</v>
      </c>
      <c r="BR310" s="36">
        <f t="shared" si="65"/>
        <v>12</v>
      </c>
      <c r="BS310" s="36">
        <f t="shared" si="66"/>
        <v>3.5832999999999999</v>
      </c>
      <c r="BT310" s="36">
        <f t="shared" si="67"/>
        <v>8.4167000000000005</v>
      </c>
      <c r="BU310" s="36">
        <f t="shared" si="68"/>
        <v>6.8807999999999998</v>
      </c>
      <c r="BV310" s="39">
        <f t="shared" si="69"/>
        <v>0.81751755438592311</v>
      </c>
      <c r="BW310" s="39">
        <f t="shared" si="70"/>
        <v>0.99952544785858344</v>
      </c>
      <c r="BX310" s="40">
        <f t="shared" si="71"/>
        <v>1.9977625059932873E-2</v>
      </c>
      <c r="BY310" s="40">
        <f t="shared" si="72"/>
        <v>1.869905705609717E-2</v>
      </c>
      <c r="BZ310" t="str">
        <f t="shared" si="73"/>
        <v>OK</v>
      </c>
      <c r="CA310">
        <f t="shared" si="74"/>
        <v>1</v>
      </c>
    </row>
    <row r="311" spans="1:80" x14ac:dyDescent="0.25">
      <c r="A311" s="35">
        <v>45957</v>
      </c>
      <c r="B311" s="36">
        <v>6</v>
      </c>
      <c r="C311" t="s">
        <v>113</v>
      </c>
      <c r="D311" t="s">
        <v>6</v>
      </c>
      <c r="E311" t="s">
        <v>126</v>
      </c>
      <c r="F311" t="s">
        <v>127</v>
      </c>
      <c r="G311">
        <v>1723</v>
      </c>
      <c r="H311">
        <v>2140110610</v>
      </c>
      <c r="I311" t="s">
        <v>128</v>
      </c>
      <c r="J311" s="37">
        <v>2875</v>
      </c>
      <c r="K311" s="37"/>
      <c r="M311">
        <v>1106</v>
      </c>
      <c r="N311">
        <v>26.642912499999451</v>
      </c>
      <c r="O311">
        <v>40</v>
      </c>
      <c r="T311">
        <v>1</v>
      </c>
      <c r="V311" t="s">
        <v>116</v>
      </c>
      <c r="Y311" s="38">
        <v>0.29166666666666669</v>
      </c>
      <c r="Z311" s="38">
        <v>0.54166666666666663</v>
      </c>
      <c r="AA311" t="s">
        <v>117</v>
      </c>
      <c r="AC311" t="s">
        <v>121</v>
      </c>
      <c r="AD311">
        <v>0.5</v>
      </c>
      <c r="AE311">
        <v>0.5</v>
      </c>
      <c r="AL311">
        <v>0.75</v>
      </c>
      <c r="AQ311">
        <v>0.125</v>
      </c>
      <c r="AR311">
        <v>0.375</v>
      </c>
      <c r="BK311">
        <f>0</f>
        <v>0</v>
      </c>
      <c r="BL311">
        <f t="shared" si="60"/>
        <v>2.25</v>
      </c>
      <c r="BM311">
        <f t="shared" si="61"/>
        <v>0</v>
      </c>
      <c r="BN311">
        <f t="shared" si="62"/>
        <v>0</v>
      </c>
      <c r="BO311">
        <f t="shared" si="63"/>
        <v>1</v>
      </c>
      <c r="BP311" s="37">
        <f>IF($F311="","",IFERROR(INDEX(Familias!$C$5:$C$300,MATCH($F311,Familias!$A$5:$A$300,0)),""))</f>
        <v>2450</v>
      </c>
      <c r="BQ311" s="37">
        <f t="shared" si="64"/>
        <v>2875</v>
      </c>
      <c r="BR311" s="36">
        <f t="shared" si="65"/>
        <v>6</v>
      </c>
      <c r="BS311" s="36">
        <f t="shared" si="66"/>
        <v>2.25</v>
      </c>
      <c r="BT311" s="36">
        <f t="shared" si="67"/>
        <v>3.75</v>
      </c>
      <c r="BU311" s="36">
        <f t="shared" si="68"/>
        <v>1.1735</v>
      </c>
      <c r="BV311" s="39">
        <f t="shared" si="69"/>
        <v>0.31293333333333334</v>
      </c>
      <c r="BW311" s="39">
        <f t="shared" si="70"/>
        <v>1</v>
      </c>
      <c r="BX311" s="40">
        <f t="shared" si="71"/>
        <v>3.6166365280289332E-2</v>
      </c>
      <c r="BY311" s="40">
        <f t="shared" si="72"/>
        <v>0</v>
      </c>
      <c r="BZ311" t="str">
        <f t="shared" si="73"/>
        <v>OK</v>
      </c>
      <c r="CA311">
        <f t="shared" si="74"/>
        <v>1</v>
      </c>
    </row>
    <row r="312" spans="1:80" x14ac:dyDescent="0.25">
      <c r="A312" s="35">
        <v>45957</v>
      </c>
      <c r="B312" s="36">
        <v>6</v>
      </c>
      <c r="C312" t="s">
        <v>113</v>
      </c>
      <c r="D312" t="s">
        <v>6</v>
      </c>
      <c r="E312" t="s">
        <v>126</v>
      </c>
      <c r="F312" t="s">
        <v>127</v>
      </c>
      <c r="G312">
        <v>1816</v>
      </c>
      <c r="H312">
        <v>2140110676</v>
      </c>
      <c r="I312" t="s">
        <v>132</v>
      </c>
      <c r="J312" s="37">
        <v>2875</v>
      </c>
      <c r="K312" s="37"/>
      <c r="M312">
        <v>4942</v>
      </c>
      <c r="N312">
        <v>26.642912499999451</v>
      </c>
      <c r="O312">
        <v>120</v>
      </c>
      <c r="P312">
        <v>24</v>
      </c>
      <c r="Q312">
        <v>250</v>
      </c>
      <c r="R312">
        <v>110</v>
      </c>
      <c r="T312">
        <v>7</v>
      </c>
      <c r="V312" t="s">
        <v>116</v>
      </c>
      <c r="Y312" s="38">
        <v>0.54166666666666663</v>
      </c>
      <c r="Z312" s="38">
        <v>0.79166666666666663</v>
      </c>
      <c r="AA312" t="s">
        <v>117</v>
      </c>
      <c r="AC312" t="s">
        <v>121</v>
      </c>
      <c r="AD312">
        <v>0.5</v>
      </c>
      <c r="AE312">
        <v>0.5</v>
      </c>
      <c r="AL312">
        <v>0.75</v>
      </c>
      <c r="AQ312">
        <v>0.125</v>
      </c>
      <c r="AR312">
        <v>0.375</v>
      </c>
      <c r="BK312">
        <f>0</f>
        <v>0</v>
      </c>
      <c r="BL312">
        <f t="shared" si="60"/>
        <v>2.25</v>
      </c>
      <c r="BM312">
        <f t="shared" si="61"/>
        <v>0</v>
      </c>
      <c r="BN312">
        <f t="shared" si="62"/>
        <v>0</v>
      </c>
      <c r="BO312">
        <f t="shared" si="63"/>
        <v>1</v>
      </c>
      <c r="BP312" s="37">
        <f>IF($F312="","",IFERROR(INDEX(Familias!$C$5:$C$300,MATCH($F312,Familias!$A$5:$A$300,0)),""))</f>
        <v>2450</v>
      </c>
      <c r="BQ312" s="37">
        <f t="shared" si="64"/>
        <v>2875</v>
      </c>
      <c r="BR312" s="36">
        <f t="shared" si="65"/>
        <v>6</v>
      </c>
      <c r="BS312" s="36">
        <f t="shared" si="66"/>
        <v>2.25</v>
      </c>
      <c r="BT312" s="36">
        <f t="shared" si="67"/>
        <v>3.75</v>
      </c>
      <c r="BU312" s="36">
        <f t="shared" si="68"/>
        <v>1.1735</v>
      </c>
      <c r="BV312" s="39">
        <f t="shared" si="69"/>
        <v>0.31293333333333334</v>
      </c>
      <c r="BW312" s="39">
        <f t="shared" si="70"/>
        <v>1</v>
      </c>
      <c r="BX312" s="40">
        <f t="shared" si="71"/>
        <v>5.1396195872116551E-2</v>
      </c>
      <c r="BY312" s="40">
        <f t="shared" si="72"/>
        <v>5.0586806960744635E-2</v>
      </c>
      <c r="BZ312" t="str">
        <f t="shared" si="73"/>
        <v>OK</v>
      </c>
      <c r="CA312">
        <f t="shared" si="74"/>
        <v>1</v>
      </c>
    </row>
    <row r="313" spans="1:80" x14ac:dyDescent="0.25">
      <c r="A313" s="35">
        <v>45957</v>
      </c>
      <c r="B313" s="36">
        <v>12</v>
      </c>
      <c r="C313" t="s">
        <v>119</v>
      </c>
      <c r="D313" t="s">
        <v>6</v>
      </c>
      <c r="E313" t="s">
        <v>126</v>
      </c>
      <c r="F313" t="s">
        <v>127</v>
      </c>
      <c r="G313">
        <v>1816</v>
      </c>
      <c r="H313">
        <v>2140110676</v>
      </c>
      <c r="I313" t="s">
        <v>132</v>
      </c>
      <c r="J313" s="37">
        <v>17825</v>
      </c>
      <c r="K313" s="37">
        <v>30</v>
      </c>
      <c r="M313">
        <v>6794</v>
      </c>
      <c r="N313">
        <v>165.46407049999661</v>
      </c>
      <c r="O313">
        <v>78</v>
      </c>
      <c r="P313">
        <v>32</v>
      </c>
      <c r="Q313">
        <v>320</v>
      </c>
      <c r="T313">
        <v>9</v>
      </c>
      <c r="V313" t="s">
        <v>209</v>
      </c>
      <c r="Y313" s="38">
        <v>0.79166666666666663</v>
      </c>
      <c r="Z313" s="38">
        <v>0.29166666666666669</v>
      </c>
      <c r="AA313" t="s">
        <v>117</v>
      </c>
      <c r="AC313" t="s">
        <v>118</v>
      </c>
      <c r="AQ313">
        <v>0.25</v>
      </c>
      <c r="AR313">
        <v>0.75</v>
      </c>
      <c r="BI313">
        <v>0.5</v>
      </c>
      <c r="BK313">
        <f>0</f>
        <v>0</v>
      </c>
      <c r="BL313">
        <f t="shared" si="60"/>
        <v>1.5</v>
      </c>
      <c r="BM313">
        <f t="shared" si="61"/>
        <v>0</v>
      </c>
      <c r="BN313">
        <f t="shared" si="62"/>
        <v>0</v>
      </c>
      <c r="BO313">
        <f t="shared" si="63"/>
        <v>1</v>
      </c>
      <c r="BP313" s="37">
        <f>IF($F313="","",IFERROR(INDEX(Familias!$C$5:$C$300,MATCH($F313,Familias!$A$5:$A$300,0)),""))</f>
        <v>2450</v>
      </c>
      <c r="BQ313" s="37">
        <f t="shared" si="64"/>
        <v>17855</v>
      </c>
      <c r="BR313" s="36">
        <f t="shared" si="65"/>
        <v>12</v>
      </c>
      <c r="BS313" s="36">
        <f t="shared" si="66"/>
        <v>1.5</v>
      </c>
      <c r="BT313" s="36">
        <f t="shared" si="67"/>
        <v>10.5</v>
      </c>
      <c r="BU313" s="36">
        <f t="shared" si="68"/>
        <v>7.2877999999999998</v>
      </c>
      <c r="BV313" s="39">
        <f t="shared" si="69"/>
        <v>0.69407619047619051</v>
      </c>
      <c r="BW313" s="39">
        <f t="shared" si="70"/>
        <v>0.99831979837580509</v>
      </c>
      <c r="BX313" s="40">
        <f t="shared" si="71"/>
        <v>1.6190756549896969E-2</v>
      </c>
      <c r="BY313" s="40">
        <f t="shared" si="72"/>
        <v>4.7100382690609364E-2</v>
      </c>
      <c r="BZ313" t="str">
        <f t="shared" si="73"/>
        <v>OK</v>
      </c>
      <c r="CA313">
        <f t="shared" si="74"/>
        <v>1</v>
      </c>
    </row>
    <row r="314" spans="1:80" x14ac:dyDescent="0.25">
      <c r="A314" s="35">
        <v>45958</v>
      </c>
      <c r="B314" s="36">
        <v>4.9076000000000004</v>
      </c>
      <c r="C314" t="s">
        <v>113</v>
      </c>
      <c r="D314" t="s">
        <v>6</v>
      </c>
      <c r="E314" t="s">
        <v>126</v>
      </c>
      <c r="F314" t="s">
        <v>127</v>
      </c>
      <c r="G314">
        <v>1723</v>
      </c>
      <c r="H314">
        <v>2140110610</v>
      </c>
      <c r="I314" t="s">
        <v>128</v>
      </c>
      <c r="J314" s="37">
        <v>6100</v>
      </c>
      <c r="K314" s="37">
        <v>10</v>
      </c>
      <c r="M314">
        <v>2563</v>
      </c>
      <c r="N314">
        <v>56.621980999998833</v>
      </c>
      <c r="O314">
        <v>45</v>
      </c>
      <c r="P314">
        <v>16</v>
      </c>
      <c r="Q314">
        <v>310</v>
      </c>
      <c r="R314">
        <v>25</v>
      </c>
      <c r="T314">
        <v>3</v>
      </c>
      <c r="V314" t="s">
        <v>116</v>
      </c>
      <c r="Y314" s="38">
        <v>0.29166666666666669</v>
      </c>
      <c r="Z314" s="38">
        <v>0.49583333333333329</v>
      </c>
      <c r="AA314" t="s">
        <v>117</v>
      </c>
      <c r="AC314" t="s">
        <v>121</v>
      </c>
      <c r="AE314">
        <v>0.81789999999999996</v>
      </c>
      <c r="AO314">
        <v>0.20449999999999999</v>
      </c>
      <c r="AQ314">
        <v>0.1022</v>
      </c>
      <c r="AR314">
        <v>0.30669999999999997</v>
      </c>
      <c r="BK314">
        <f>0</f>
        <v>0</v>
      </c>
      <c r="BL314">
        <f t="shared" si="60"/>
        <v>1.4313</v>
      </c>
      <c r="BM314">
        <f t="shared" si="61"/>
        <v>0</v>
      </c>
      <c r="BN314">
        <f t="shared" si="62"/>
        <v>0</v>
      </c>
      <c r="BO314">
        <f t="shared" si="63"/>
        <v>1</v>
      </c>
      <c r="BP314" s="37">
        <f>IF($F314="","",IFERROR(INDEX(Familias!$C$5:$C$300,MATCH($F314,Familias!$A$5:$A$300,0)),""))</f>
        <v>2450</v>
      </c>
      <c r="BQ314" s="37">
        <f t="shared" si="64"/>
        <v>6110</v>
      </c>
      <c r="BR314" s="36">
        <f t="shared" si="65"/>
        <v>4.9076000000000004</v>
      </c>
      <c r="BS314" s="36">
        <f t="shared" si="66"/>
        <v>1.4313</v>
      </c>
      <c r="BT314" s="36">
        <f t="shared" si="67"/>
        <v>3.4763000000000002</v>
      </c>
      <c r="BU314" s="36">
        <f t="shared" si="68"/>
        <v>2.4939</v>
      </c>
      <c r="BV314" s="39">
        <f t="shared" si="69"/>
        <v>0.71740068463596351</v>
      </c>
      <c r="BW314" s="39">
        <f t="shared" si="70"/>
        <v>0.99836333878887074</v>
      </c>
      <c r="BX314" s="40">
        <f t="shared" si="71"/>
        <v>3.3554428404213812E-2</v>
      </c>
      <c r="BY314" s="40">
        <f t="shared" si="72"/>
        <v>0.12095200936402653</v>
      </c>
      <c r="BZ314" t="str">
        <f t="shared" si="73"/>
        <v>OK</v>
      </c>
      <c r="CA314">
        <f t="shared" si="74"/>
        <v>1</v>
      </c>
    </row>
    <row r="315" spans="1:80" x14ac:dyDescent="0.25">
      <c r="A315" s="35">
        <v>45958</v>
      </c>
      <c r="B315" s="36">
        <v>7.0923999999999996</v>
      </c>
      <c r="C315" t="s">
        <v>113</v>
      </c>
      <c r="D315" t="s">
        <v>6</v>
      </c>
      <c r="E315" t="s">
        <v>126</v>
      </c>
      <c r="F315" t="s">
        <v>127</v>
      </c>
      <c r="G315">
        <v>1878</v>
      </c>
      <c r="H315">
        <v>2140110673</v>
      </c>
      <c r="I315" t="s">
        <v>129</v>
      </c>
      <c r="J315" s="37">
        <v>8825</v>
      </c>
      <c r="K315" s="37">
        <v>5</v>
      </c>
      <c r="M315">
        <v>3513</v>
      </c>
      <c r="N315">
        <v>81.828492999998304</v>
      </c>
      <c r="O315">
        <v>90</v>
      </c>
      <c r="P315">
        <v>40</v>
      </c>
      <c r="Q315">
        <v>54</v>
      </c>
      <c r="R315">
        <v>45</v>
      </c>
      <c r="T315">
        <v>5</v>
      </c>
      <c r="V315" t="s">
        <v>116</v>
      </c>
      <c r="Y315" s="38">
        <v>0.49583333333333329</v>
      </c>
      <c r="Z315" s="38">
        <v>0.79166666666666663</v>
      </c>
      <c r="AA315" t="s">
        <v>117</v>
      </c>
      <c r="AC315" t="s">
        <v>121</v>
      </c>
      <c r="AE315">
        <v>1.1820999999999999</v>
      </c>
      <c r="AO315">
        <v>0.29549999999999998</v>
      </c>
      <c r="AQ315">
        <v>0.14779999999999999</v>
      </c>
      <c r="AR315">
        <v>0.44330000000000003</v>
      </c>
      <c r="BK315">
        <f>0</f>
        <v>0</v>
      </c>
      <c r="BL315">
        <f t="shared" si="60"/>
        <v>2.0686999999999998</v>
      </c>
      <c r="BM315">
        <f t="shared" si="61"/>
        <v>0</v>
      </c>
      <c r="BN315">
        <f t="shared" si="62"/>
        <v>0</v>
      </c>
      <c r="BO315">
        <f t="shared" si="63"/>
        <v>1</v>
      </c>
      <c r="BP315" s="37">
        <f>IF($F315="","",IFERROR(INDEX(Familias!$C$5:$C$300,MATCH($F315,Familias!$A$5:$A$300,0)),""))</f>
        <v>2450</v>
      </c>
      <c r="BQ315" s="37">
        <f t="shared" si="64"/>
        <v>8830</v>
      </c>
      <c r="BR315" s="36">
        <f t="shared" si="65"/>
        <v>7.0923999999999996</v>
      </c>
      <c r="BS315" s="36">
        <f t="shared" si="66"/>
        <v>2.0687000000000002</v>
      </c>
      <c r="BT315" s="36">
        <f t="shared" si="67"/>
        <v>5.0236999999999998</v>
      </c>
      <c r="BU315" s="36">
        <f t="shared" si="68"/>
        <v>3.6040999999999999</v>
      </c>
      <c r="BV315" s="39">
        <f t="shared" si="69"/>
        <v>0.71741943189282797</v>
      </c>
      <c r="BW315" s="39">
        <f t="shared" si="70"/>
        <v>0.99943374858437151</v>
      </c>
      <c r="BX315" s="40">
        <f t="shared" si="71"/>
        <v>4.9814972957586107E-2</v>
      </c>
      <c r="BY315" s="40">
        <f t="shared" si="72"/>
        <v>1.5371477369769428E-2</v>
      </c>
      <c r="BZ315" t="str">
        <f t="shared" si="73"/>
        <v>OK</v>
      </c>
      <c r="CA315">
        <f t="shared" si="74"/>
        <v>1</v>
      </c>
    </row>
    <row r="316" spans="1:80" x14ac:dyDescent="0.25">
      <c r="A316" s="35">
        <v>45958</v>
      </c>
      <c r="B316" s="36">
        <v>12</v>
      </c>
      <c r="C316" t="s">
        <v>119</v>
      </c>
      <c r="D316" t="s">
        <v>6</v>
      </c>
      <c r="E316" t="s">
        <v>126</v>
      </c>
      <c r="F316" t="s">
        <v>127</v>
      </c>
      <c r="G316">
        <v>1878</v>
      </c>
      <c r="H316">
        <v>2140110673</v>
      </c>
      <c r="I316" t="s">
        <v>129</v>
      </c>
      <c r="J316" s="37">
        <v>19725</v>
      </c>
      <c r="K316" s="37">
        <v>40</v>
      </c>
      <c r="M316">
        <v>7521</v>
      </c>
      <c r="N316">
        <v>183.16423149999619</v>
      </c>
      <c r="O316">
        <v>220</v>
      </c>
      <c r="P316">
        <v>72</v>
      </c>
      <c r="Q316">
        <v>100</v>
      </c>
      <c r="T316">
        <v>11</v>
      </c>
      <c r="V316" t="s">
        <v>209</v>
      </c>
      <c r="Y316" s="38">
        <v>0.79166666666666663</v>
      </c>
      <c r="Z316" s="38">
        <v>0.29166666666666669</v>
      </c>
      <c r="AA316" t="s">
        <v>117</v>
      </c>
      <c r="AC316" t="s">
        <v>118</v>
      </c>
      <c r="AQ316">
        <v>0.25</v>
      </c>
      <c r="AR316">
        <v>0.75</v>
      </c>
      <c r="BI316">
        <v>0.5</v>
      </c>
      <c r="BK316">
        <f>0</f>
        <v>0</v>
      </c>
      <c r="BL316">
        <f t="shared" si="60"/>
        <v>1.5</v>
      </c>
      <c r="BM316">
        <f t="shared" si="61"/>
        <v>0</v>
      </c>
      <c r="BN316">
        <f t="shared" si="62"/>
        <v>0</v>
      </c>
      <c r="BO316">
        <f t="shared" si="63"/>
        <v>1</v>
      </c>
      <c r="BP316" s="37">
        <f>IF($F316="","",IFERROR(INDEX(Familias!$C$5:$C$300,MATCH($F316,Familias!$A$5:$A$300,0)),""))</f>
        <v>2450</v>
      </c>
      <c r="BQ316" s="37">
        <f t="shared" si="64"/>
        <v>19765</v>
      </c>
      <c r="BR316" s="36">
        <f t="shared" si="65"/>
        <v>12</v>
      </c>
      <c r="BS316" s="36">
        <f t="shared" si="66"/>
        <v>1.5</v>
      </c>
      <c r="BT316" s="36">
        <f t="shared" si="67"/>
        <v>10.5</v>
      </c>
      <c r="BU316" s="36">
        <f t="shared" si="68"/>
        <v>8.0672999999999995</v>
      </c>
      <c r="BV316" s="39">
        <f t="shared" si="69"/>
        <v>0.76831428571428562</v>
      </c>
      <c r="BW316" s="39">
        <f t="shared" si="70"/>
        <v>0.99797622059195545</v>
      </c>
      <c r="BX316" s="40">
        <f t="shared" si="71"/>
        <v>3.8824624385055177E-2</v>
      </c>
      <c r="BY316" s="40">
        <f t="shared" si="72"/>
        <v>1.3296104241457253E-2</v>
      </c>
      <c r="BZ316" t="str">
        <f t="shared" si="73"/>
        <v>OK</v>
      </c>
      <c r="CA316">
        <f t="shared" si="74"/>
        <v>1</v>
      </c>
    </row>
    <row r="317" spans="1:80" x14ac:dyDescent="0.25">
      <c r="A317" s="35">
        <v>45959</v>
      </c>
      <c r="B317" s="36">
        <v>12</v>
      </c>
      <c r="C317" t="s">
        <v>113</v>
      </c>
      <c r="D317" t="s">
        <v>6</v>
      </c>
      <c r="E317" t="s">
        <v>126</v>
      </c>
      <c r="F317" t="s">
        <v>127</v>
      </c>
      <c r="G317">
        <v>1878</v>
      </c>
      <c r="H317">
        <v>2140110673</v>
      </c>
      <c r="I317" t="s">
        <v>129</v>
      </c>
      <c r="J317" s="37">
        <v>15775</v>
      </c>
      <c r="K317" s="37">
        <v>10</v>
      </c>
      <c r="M317">
        <v>6153</v>
      </c>
      <c r="N317">
        <v>146.28117349999701</v>
      </c>
      <c r="O317">
        <v>210</v>
      </c>
      <c r="P317">
        <v>48</v>
      </c>
      <c r="Q317">
        <v>165</v>
      </c>
      <c r="T317">
        <v>9</v>
      </c>
      <c r="V317" t="s">
        <v>116</v>
      </c>
      <c r="Y317" s="38">
        <v>0.29166666666666669</v>
      </c>
      <c r="Z317" s="38">
        <v>0.79166666666666663</v>
      </c>
      <c r="AA317" t="s">
        <v>117</v>
      </c>
      <c r="AC317" t="s">
        <v>118</v>
      </c>
      <c r="AO317">
        <v>1.3332999999999999</v>
      </c>
      <c r="AQ317">
        <v>0.25</v>
      </c>
      <c r="AR317">
        <v>0.75</v>
      </c>
      <c r="BI317">
        <v>0.5</v>
      </c>
      <c r="BJ317">
        <v>1.25</v>
      </c>
      <c r="BK317">
        <f>0</f>
        <v>0</v>
      </c>
      <c r="BL317">
        <f t="shared" si="60"/>
        <v>4.0832999999999995</v>
      </c>
      <c r="BM317">
        <f t="shared" si="61"/>
        <v>0</v>
      </c>
      <c r="BN317">
        <f t="shared" si="62"/>
        <v>0</v>
      </c>
      <c r="BO317">
        <f t="shared" si="63"/>
        <v>1</v>
      </c>
      <c r="BP317" s="37">
        <f>IF($F317="","",IFERROR(INDEX(Familias!$C$5:$C$300,MATCH($F317,Familias!$A$5:$A$300,0)),""))</f>
        <v>2450</v>
      </c>
      <c r="BQ317" s="37">
        <f t="shared" si="64"/>
        <v>15785</v>
      </c>
      <c r="BR317" s="36">
        <f t="shared" si="65"/>
        <v>12</v>
      </c>
      <c r="BS317" s="36">
        <f t="shared" si="66"/>
        <v>4.0833000000000004</v>
      </c>
      <c r="BT317" s="36">
        <f t="shared" si="67"/>
        <v>7.9166999999999996</v>
      </c>
      <c r="BU317" s="36">
        <f t="shared" si="68"/>
        <v>6.4428999999999998</v>
      </c>
      <c r="BV317" s="39">
        <f t="shared" si="69"/>
        <v>0.81383657331969128</v>
      </c>
      <c r="BW317" s="39">
        <f t="shared" si="70"/>
        <v>0.99936648717136523</v>
      </c>
      <c r="BX317" s="40">
        <f t="shared" si="71"/>
        <v>4.1930765480253533E-2</v>
      </c>
      <c r="BY317" s="40">
        <f t="shared" si="72"/>
        <v>2.681618722574354E-2</v>
      </c>
      <c r="BZ317" t="str">
        <f t="shared" si="73"/>
        <v>OK</v>
      </c>
      <c r="CA317">
        <f t="shared" si="74"/>
        <v>1</v>
      </c>
    </row>
    <row r="318" spans="1:80" x14ac:dyDescent="0.25">
      <c r="A318" s="35">
        <v>45959</v>
      </c>
      <c r="B318" s="36">
        <v>12</v>
      </c>
      <c r="C318" t="s">
        <v>119</v>
      </c>
      <c r="D318" t="s">
        <v>6</v>
      </c>
      <c r="E318" t="s">
        <v>126</v>
      </c>
      <c r="F318" t="s">
        <v>127</v>
      </c>
      <c r="G318">
        <v>1878</v>
      </c>
      <c r="H318">
        <v>2140110673</v>
      </c>
      <c r="I318" t="s">
        <v>129</v>
      </c>
      <c r="J318" s="37">
        <v>19950</v>
      </c>
      <c r="K318" s="37">
        <v>10</v>
      </c>
      <c r="M318">
        <v>7189</v>
      </c>
      <c r="N318">
        <v>184.97131599999619</v>
      </c>
      <c r="P318">
        <v>64</v>
      </c>
      <c r="Q318">
        <v>64</v>
      </c>
      <c r="V318" t="s">
        <v>120</v>
      </c>
      <c r="Y318" s="38">
        <v>0.79166666666666663</v>
      </c>
      <c r="Z318" s="38">
        <v>0.29166666666666669</v>
      </c>
      <c r="AA318" t="s">
        <v>117</v>
      </c>
      <c r="AC318" t="s">
        <v>118</v>
      </c>
      <c r="AG318">
        <v>0.75</v>
      </c>
      <c r="AR318">
        <v>0.75</v>
      </c>
      <c r="AW318">
        <v>0.5</v>
      </c>
      <c r="BI318">
        <v>0.25</v>
      </c>
      <c r="BK318">
        <f>0</f>
        <v>0</v>
      </c>
      <c r="BL318">
        <f t="shared" si="60"/>
        <v>2.25</v>
      </c>
      <c r="BM318">
        <f t="shared" si="61"/>
        <v>0</v>
      </c>
      <c r="BN318">
        <f t="shared" si="62"/>
        <v>0</v>
      </c>
      <c r="BO318">
        <f t="shared" si="63"/>
        <v>1</v>
      </c>
      <c r="BP318" s="37">
        <f>IF($F318="","",IFERROR(INDEX(Familias!$C$5:$C$300,MATCH($F318,Familias!$A$5:$A$300,0)),""))</f>
        <v>2450</v>
      </c>
      <c r="BQ318" s="37">
        <f t="shared" si="64"/>
        <v>19960</v>
      </c>
      <c r="BR318" s="36">
        <f t="shared" si="65"/>
        <v>12</v>
      </c>
      <c r="BS318" s="36">
        <f t="shared" si="66"/>
        <v>2.25</v>
      </c>
      <c r="BT318" s="36">
        <f t="shared" si="67"/>
        <v>9.75</v>
      </c>
      <c r="BU318" s="36">
        <f t="shared" si="68"/>
        <v>8.1469000000000005</v>
      </c>
      <c r="BV318" s="39">
        <f t="shared" si="69"/>
        <v>0.83557948717948727</v>
      </c>
      <c r="BW318" s="39">
        <f t="shared" si="70"/>
        <v>0.99949899799599196</v>
      </c>
      <c r="BX318" s="40">
        <f t="shared" si="71"/>
        <v>8.9024899151481426E-3</v>
      </c>
      <c r="BY318" s="40">
        <f t="shared" si="72"/>
        <v>8.9024899151481426E-3</v>
      </c>
      <c r="BZ318" t="str">
        <f t="shared" si="73"/>
        <v>OK</v>
      </c>
      <c r="CA318">
        <f t="shared" si="74"/>
        <v>1</v>
      </c>
    </row>
    <row r="319" spans="1:80" x14ac:dyDescent="0.25">
      <c r="A319" s="35">
        <v>45960</v>
      </c>
      <c r="B319" s="36">
        <v>12</v>
      </c>
      <c r="C319" t="s">
        <v>113</v>
      </c>
      <c r="D319" t="s">
        <v>6</v>
      </c>
      <c r="E319" t="s">
        <v>147</v>
      </c>
      <c r="F319" t="s">
        <v>147</v>
      </c>
      <c r="G319">
        <v>1899</v>
      </c>
      <c r="H319">
        <v>2140110663</v>
      </c>
      <c r="I319" t="s">
        <v>148</v>
      </c>
      <c r="J319" s="37">
        <v>22325</v>
      </c>
      <c r="K319" s="37">
        <v>3</v>
      </c>
      <c r="M319">
        <v>6750</v>
      </c>
      <c r="N319">
        <v>165.53264703999599</v>
      </c>
      <c r="O319">
        <v>120</v>
      </c>
      <c r="P319">
        <v>70</v>
      </c>
      <c r="Q319">
        <v>83</v>
      </c>
      <c r="V319" t="s">
        <v>116</v>
      </c>
      <c r="Y319" s="38">
        <v>0.29166666666666669</v>
      </c>
      <c r="Z319" s="38">
        <v>0.79166666666666663</v>
      </c>
      <c r="AA319" t="s">
        <v>117</v>
      </c>
      <c r="AC319" t="s">
        <v>118</v>
      </c>
      <c r="AD319">
        <v>0.33329999999999999</v>
      </c>
      <c r="AJ319">
        <v>0.83330000000000004</v>
      </c>
      <c r="AQ319">
        <v>0.25</v>
      </c>
      <c r="AR319">
        <v>0.41670000000000001</v>
      </c>
      <c r="BK319">
        <f>0</f>
        <v>0</v>
      </c>
      <c r="BL319">
        <f t="shared" si="60"/>
        <v>1.8333000000000002</v>
      </c>
      <c r="BM319">
        <f t="shared" si="61"/>
        <v>0</v>
      </c>
      <c r="BN319">
        <f t="shared" si="62"/>
        <v>0</v>
      </c>
      <c r="BO319">
        <f t="shared" si="63"/>
        <v>1</v>
      </c>
      <c r="BP319" s="37">
        <f>IF($F319="","",IFERROR(INDEX(Familias!$C$5:$C$300,MATCH($F319,Familias!$A$5:$A$300,0)),""))</f>
        <v>2280</v>
      </c>
      <c r="BQ319" s="37">
        <f t="shared" si="64"/>
        <v>22328</v>
      </c>
      <c r="BR319" s="36">
        <f t="shared" si="65"/>
        <v>12</v>
      </c>
      <c r="BS319" s="36">
        <f t="shared" si="66"/>
        <v>1.8332999999999999</v>
      </c>
      <c r="BT319" s="36">
        <f t="shared" si="67"/>
        <v>10.166700000000001</v>
      </c>
      <c r="BU319" s="36">
        <f t="shared" si="68"/>
        <v>9.7929999999999993</v>
      </c>
      <c r="BV319" s="39">
        <f t="shared" si="69"/>
        <v>0.9632427434664147</v>
      </c>
      <c r="BW319" s="39">
        <f t="shared" si="70"/>
        <v>0.99986563955571484</v>
      </c>
      <c r="BX319" s="40">
        <f t="shared" si="71"/>
        <v>2.8148148148148148E-2</v>
      </c>
      <c r="BY319" s="40">
        <f t="shared" si="72"/>
        <v>1.2296296296296296E-2</v>
      </c>
      <c r="BZ319" t="str">
        <f t="shared" si="73"/>
        <v>OK</v>
      </c>
      <c r="CA319">
        <f t="shared" si="74"/>
        <v>1</v>
      </c>
    </row>
    <row r="320" spans="1:80" x14ac:dyDescent="0.25">
      <c r="A320" s="35">
        <v>45960</v>
      </c>
      <c r="B320" s="36">
        <v>12</v>
      </c>
      <c r="C320" t="s">
        <v>119</v>
      </c>
      <c r="D320" t="s">
        <v>6</v>
      </c>
      <c r="E320" t="s">
        <v>147</v>
      </c>
      <c r="F320" t="s">
        <v>147</v>
      </c>
      <c r="G320">
        <v>1889</v>
      </c>
      <c r="H320">
        <v>2140110663</v>
      </c>
      <c r="I320" t="s">
        <v>148</v>
      </c>
      <c r="J320" s="37">
        <v>22900</v>
      </c>
      <c r="K320" s="37">
        <v>5</v>
      </c>
      <c r="M320">
        <v>6703</v>
      </c>
      <c r="N320">
        <v>169.81034039999599</v>
      </c>
      <c r="O320">
        <v>35</v>
      </c>
      <c r="P320">
        <v>66</v>
      </c>
      <c r="T320">
        <v>12</v>
      </c>
      <c r="V320" t="s">
        <v>120</v>
      </c>
      <c r="Y320" s="38">
        <v>0.79166666666666663</v>
      </c>
      <c r="Z320" s="38">
        <v>0.29166666666666669</v>
      </c>
      <c r="AA320" t="s">
        <v>117</v>
      </c>
      <c r="AC320" t="s">
        <v>118</v>
      </c>
      <c r="AQ320">
        <v>0.25</v>
      </c>
      <c r="AR320">
        <v>0.75</v>
      </c>
      <c r="BI320">
        <v>0.33329999999999999</v>
      </c>
      <c r="BK320">
        <f>0</f>
        <v>0</v>
      </c>
      <c r="BL320">
        <f t="shared" si="60"/>
        <v>1.3332999999999999</v>
      </c>
      <c r="BM320">
        <f t="shared" si="61"/>
        <v>0</v>
      </c>
      <c r="BN320">
        <f t="shared" si="62"/>
        <v>0</v>
      </c>
      <c r="BO320">
        <f t="shared" si="63"/>
        <v>1</v>
      </c>
      <c r="BP320" s="37">
        <f>IF($F320="","",IFERROR(INDEX(Familias!$C$5:$C$300,MATCH($F320,Familias!$A$5:$A$300,0)),""))</f>
        <v>2280</v>
      </c>
      <c r="BQ320" s="37">
        <f t="shared" si="64"/>
        <v>22905</v>
      </c>
      <c r="BR320" s="36">
        <f t="shared" si="65"/>
        <v>12</v>
      </c>
      <c r="BS320" s="36">
        <f t="shared" si="66"/>
        <v>1.3332999999999999</v>
      </c>
      <c r="BT320" s="36">
        <f t="shared" si="67"/>
        <v>10.666700000000001</v>
      </c>
      <c r="BU320" s="36">
        <f t="shared" si="68"/>
        <v>10.046099999999999</v>
      </c>
      <c r="BV320" s="39">
        <f t="shared" si="69"/>
        <v>0.94181893181583798</v>
      </c>
      <c r="BW320" s="39">
        <f t="shared" si="70"/>
        <v>0.99978170705086222</v>
      </c>
      <c r="BX320" s="40">
        <f t="shared" si="71"/>
        <v>1.5067880053707296E-2</v>
      </c>
      <c r="BY320" s="40">
        <f t="shared" si="72"/>
        <v>0</v>
      </c>
      <c r="BZ320" t="str">
        <f t="shared" si="73"/>
        <v>OK</v>
      </c>
      <c r="CA320">
        <f t="shared" si="74"/>
        <v>1</v>
      </c>
    </row>
    <row r="321" spans="1:80" x14ac:dyDescent="0.25">
      <c r="A321" s="35">
        <v>45961</v>
      </c>
      <c r="B321" s="36">
        <v>8.3077000000000005</v>
      </c>
      <c r="C321" t="s">
        <v>113</v>
      </c>
      <c r="D321" t="s">
        <v>6</v>
      </c>
      <c r="E321" t="s">
        <v>147</v>
      </c>
      <c r="F321" t="s">
        <v>147</v>
      </c>
      <c r="G321">
        <v>1899</v>
      </c>
      <c r="H321">
        <v>2140110663</v>
      </c>
      <c r="I321" t="s">
        <v>148</v>
      </c>
      <c r="J321" s="37">
        <v>16875</v>
      </c>
      <c r="K321" s="37"/>
      <c r="M321">
        <v>5009</v>
      </c>
      <c r="N321">
        <v>125.10584999999701</v>
      </c>
      <c r="O321">
        <v>60</v>
      </c>
      <c r="P321">
        <v>54</v>
      </c>
      <c r="Q321">
        <v>20</v>
      </c>
      <c r="T321">
        <v>9</v>
      </c>
      <c r="V321" t="s">
        <v>116</v>
      </c>
      <c r="Y321" s="38">
        <v>0.29166666666666669</v>
      </c>
      <c r="Z321" s="38">
        <v>0.63749999999999996</v>
      </c>
      <c r="AA321" t="s">
        <v>117</v>
      </c>
      <c r="AC321" t="s">
        <v>121</v>
      </c>
      <c r="AQ321">
        <v>0.1731</v>
      </c>
      <c r="AR321">
        <v>0.51919999999999999</v>
      </c>
      <c r="BI321">
        <v>0.23080000000000001</v>
      </c>
      <c r="BK321">
        <f>0</f>
        <v>0</v>
      </c>
      <c r="BL321">
        <f t="shared" si="60"/>
        <v>0.92310000000000003</v>
      </c>
      <c r="BM321">
        <f t="shared" si="61"/>
        <v>0</v>
      </c>
      <c r="BN321">
        <f t="shared" si="62"/>
        <v>0</v>
      </c>
      <c r="BO321">
        <f t="shared" si="63"/>
        <v>1</v>
      </c>
      <c r="BP321" s="37">
        <f>IF($F321="","",IFERROR(INDEX(Familias!$C$5:$C$300,MATCH($F321,Familias!$A$5:$A$300,0)),""))</f>
        <v>2280</v>
      </c>
      <c r="BQ321" s="37">
        <f t="shared" si="64"/>
        <v>16875</v>
      </c>
      <c r="BR321" s="36">
        <f t="shared" si="65"/>
        <v>8.3077000000000005</v>
      </c>
      <c r="BS321" s="36">
        <f t="shared" si="66"/>
        <v>0.92310000000000003</v>
      </c>
      <c r="BT321" s="36">
        <f t="shared" si="67"/>
        <v>7.3845999999999998</v>
      </c>
      <c r="BU321" s="36">
        <f t="shared" si="68"/>
        <v>7.4013</v>
      </c>
      <c r="BV321" s="39">
        <f t="shared" si="69"/>
        <v>1.0022614630447146</v>
      </c>
      <c r="BW321" s="39">
        <f t="shared" si="70"/>
        <v>1</v>
      </c>
      <c r="BX321" s="40">
        <f t="shared" si="71"/>
        <v>2.2759033739269314E-2</v>
      </c>
      <c r="BY321" s="40">
        <f t="shared" si="72"/>
        <v>3.9928129367139149E-3</v>
      </c>
      <c r="BZ321" t="str">
        <f t="shared" si="73"/>
        <v>OK</v>
      </c>
      <c r="CA321">
        <f t="shared" si="74"/>
        <v>1</v>
      </c>
    </row>
    <row r="322" spans="1:80" x14ac:dyDescent="0.25">
      <c r="A322" s="35">
        <v>45961</v>
      </c>
      <c r="B322" s="36">
        <v>3.6922999999999999</v>
      </c>
      <c r="C322" t="s">
        <v>113</v>
      </c>
      <c r="D322" t="s">
        <v>6</v>
      </c>
      <c r="E322" t="s">
        <v>147</v>
      </c>
      <c r="F322" t="s">
        <v>147</v>
      </c>
      <c r="G322">
        <v>1924</v>
      </c>
      <c r="H322">
        <v>2140110663</v>
      </c>
      <c r="I322" t="s">
        <v>148</v>
      </c>
      <c r="J322" s="37">
        <v>7500</v>
      </c>
      <c r="K322" s="37"/>
      <c r="M322">
        <v>2123</v>
      </c>
      <c r="N322">
        <v>55.602599999998681</v>
      </c>
      <c r="O322">
        <v>24</v>
      </c>
      <c r="T322">
        <v>4</v>
      </c>
      <c r="V322" t="s">
        <v>116</v>
      </c>
      <c r="Y322" s="38">
        <v>0.63749999999999996</v>
      </c>
      <c r="Z322" s="38">
        <v>0.79166666666666663</v>
      </c>
      <c r="AA322" t="s">
        <v>117</v>
      </c>
      <c r="AC322" t="s">
        <v>121</v>
      </c>
      <c r="AQ322">
        <v>7.6899999999999996E-2</v>
      </c>
      <c r="AR322">
        <v>0.23080000000000001</v>
      </c>
      <c r="BI322">
        <v>0.1026</v>
      </c>
      <c r="BK322">
        <f>0</f>
        <v>0</v>
      </c>
      <c r="BL322">
        <f t="shared" ref="BL322:BL385" si="75">N(AD322)+N(AE322)+N(AF322)+N(AG322)+N(AH322)+N(AI322)+N(AJ322)+N(AK322)+N(AL322)+N(AM322)+N(AN322)+N(AO322)+N(AP322)+N(AQ322)+N(AR322)+N(AS322)+N(AT322)+N(AU322)+N(AW322)+N(AX322)+N(AY322)+N(BC322)+N(BE322)+N(BF322)+N(BH322)+N(BI322)+N(BJ322)</f>
        <v>0.4103</v>
      </c>
      <c r="BM322">
        <f t="shared" ref="BM322:BM385" si="76">N(AZ322)+N(BA322)+N(BB322)+N(BD322)</f>
        <v>0</v>
      </c>
      <c r="BN322">
        <f t="shared" ref="BN322:BN385" si="77">N(AV322)+N(BG322)</f>
        <v>0</v>
      </c>
      <c r="BO322">
        <f t="shared" ref="BO322:BO385" si="78">IF($A322="","",IF(WEEKDAY($A322,2)=7,0,1))</f>
        <v>1</v>
      </c>
      <c r="BP322" s="37">
        <f>IF($F322="","",IFERROR(INDEX(Familias!$C$5:$C$300,MATCH($F322,Familias!$A$5:$A$300,0)),""))</f>
        <v>2280</v>
      </c>
      <c r="BQ322" s="37">
        <f t="shared" ref="BQ322:BQ385" si="79">IF(AND($J322="",$K322=""),"",N($J322)+N($K322))</f>
        <v>7500</v>
      </c>
      <c r="BR322" s="36">
        <f t="shared" ref="BR322:BR385" si="80">IF($A322="","",ROUND(N($B322),4))</f>
        <v>3.6922999999999999</v>
      </c>
      <c r="BS322" s="36">
        <f t="shared" ref="BS322:BS385" si="81">IF($A322="","",ROUND(SUM($AD322:$BJ322),4))</f>
        <v>0.4103</v>
      </c>
      <c r="BT322" s="36">
        <f t="shared" ref="BT322:BT385" si="82">IF($A322="","",ROUND(MAX(0,$BR322-$BS322),4))</f>
        <v>3.282</v>
      </c>
      <c r="BU322" s="36">
        <f t="shared" ref="BU322:BU385" si="83">IF(OR($BQ322="",$BP322="",N($BP322)=0),"",ROUND($BQ322/$BP322,4))</f>
        <v>3.2894999999999999</v>
      </c>
      <c r="BV322" s="39">
        <f t="shared" ref="BV322:BV385" si="84">IF(OR($BU322="",N($BT322)=0),"",$BU322/$BT322)</f>
        <v>1.0022851919561242</v>
      </c>
      <c r="BW322" s="39">
        <f t="shared" ref="BW322:BW385" si="85">IF(N($BQ322)&gt;0,N($J322)/$BQ322,"")</f>
        <v>1</v>
      </c>
      <c r="BX322" s="40">
        <f t="shared" ref="BX322:BX385" si="86">IF(N($M322)&gt;0,(N($P322)+N($O322)+N($R322))/$M322,"")</f>
        <v>1.1304757418747056E-2</v>
      </c>
      <c r="BY322" s="40">
        <f t="shared" ref="BY322:BY385" si="87">IF(N($M322)&gt;0,N($Q322)/$M322,"")</f>
        <v>0</v>
      </c>
      <c r="BZ322" t="str">
        <f t="shared" ref="BZ322:BZ385" si="88">IF($A322="","",IF($BO322=0,"Domingo",IF($AA322&lt;&gt;"Sí","Paradas no digitadas",IF($BQ322="",IF(N($BT322)&gt;0,"Sin producción","Parada total"),IF($F322="","Sin familia",IF($BP322="","Familia sin estándar",IF(AND($BV322&lt;&gt;"",N($BV322)&gt;1.1),"Revisar rendimiento","OK")))))))</f>
        <v>OK</v>
      </c>
      <c r="CA322">
        <f t="shared" ref="CA322:CA385" si="89">IF(OR($BU322="",$BO322&lt;&gt;1,$AA322&lt;&gt;"Sí"),0,1)</f>
        <v>1</v>
      </c>
    </row>
    <row r="323" spans="1:80" x14ac:dyDescent="0.25">
      <c r="A323" s="35">
        <v>45961</v>
      </c>
      <c r="B323" s="36">
        <v>12</v>
      </c>
      <c r="C323" t="s">
        <v>119</v>
      </c>
      <c r="D323" t="s">
        <v>6</v>
      </c>
      <c r="E323" t="s">
        <v>147</v>
      </c>
      <c r="F323" t="s">
        <v>147</v>
      </c>
      <c r="G323">
        <v>1899</v>
      </c>
      <c r="H323">
        <v>2140110663</v>
      </c>
      <c r="I323" t="s">
        <v>148</v>
      </c>
      <c r="J323" s="37">
        <v>4600</v>
      </c>
      <c r="K323" s="37"/>
      <c r="M323">
        <v>1281</v>
      </c>
      <c r="N323">
        <v>34.102927999999189</v>
      </c>
      <c r="O323">
        <v>10</v>
      </c>
      <c r="P323">
        <v>12</v>
      </c>
      <c r="T323">
        <v>2</v>
      </c>
      <c r="V323" t="s">
        <v>120</v>
      </c>
      <c r="Y323" s="38">
        <v>0.79166666666666663</v>
      </c>
      <c r="Z323" s="38">
        <v>0.29166666666666669</v>
      </c>
      <c r="AA323" t="s">
        <v>117</v>
      </c>
      <c r="AC323" t="s">
        <v>118</v>
      </c>
      <c r="AE323">
        <v>2.5</v>
      </c>
      <c r="AR323">
        <v>0.75</v>
      </c>
      <c r="BI323">
        <v>0.33329999999999999</v>
      </c>
      <c r="BK323">
        <f>0</f>
        <v>0</v>
      </c>
      <c r="BL323">
        <f t="shared" si="75"/>
        <v>3.5832999999999999</v>
      </c>
      <c r="BM323">
        <f t="shared" si="76"/>
        <v>0</v>
      </c>
      <c r="BN323">
        <f t="shared" si="77"/>
        <v>0</v>
      </c>
      <c r="BO323">
        <f t="shared" si="78"/>
        <v>1</v>
      </c>
      <c r="BP323" s="37">
        <f>IF($F323="","",IFERROR(INDEX(Familias!$C$5:$C$300,MATCH($F323,Familias!$A$5:$A$300,0)),""))</f>
        <v>2280</v>
      </c>
      <c r="BQ323" s="37">
        <f t="shared" si="79"/>
        <v>4600</v>
      </c>
      <c r="BR323" s="36">
        <f t="shared" si="80"/>
        <v>12</v>
      </c>
      <c r="BS323" s="36">
        <f t="shared" si="81"/>
        <v>3.5832999999999999</v>
      </c>
      <c r="BT323" s="36">
        <f t="shared" si="82"/>
        <v>8.4167000000000005</v>
      </c>
      <c r="BU323" s="36">
        <f t="shared" si="83"/>
        <v>2.0175000000000001</v>
      </c>
      <c r="BV323" s="39">
        <f t="shared" si="84"/>
        <v>0.23970202098209512</v>
      </c>
      <c r="BW323" s="39">
        <f t="shared" si="85"/>
        <v>1</v>
      </c>
      <c r="BX323" s="40">
        <f t="shared" si="86"/>
        <v>1.7174082747853241E-2</v>
      </c>
      <c r="BY323" s="40">
        <f t="shared" si="87"/>
        <v>0</v>
      </c>
      <c r="BZ323" t="str">
        <f t="shared" si="88"/>
        <v>OK</v>
      </c>
      <c r="CA323">
        <f t="shared" si="89"/>
        <v>1</v>
      </c>
    </row>
    <row r="324" spans="1:80" x14ac:dyDescent="0.25">
      <c r="A324" s="35">
        <v>45964</v>
      </c>
      <c r="B324" s="36">
        <v>12</v>
      </c>
      <c r="C324" t="s">
        <v>113</v>
      </c>
      <c r="D324" t="s">
        <v>6</v>
      </c>
      <c r="F324" t="s">
        <v>186</v>
      </c>
      <c r="G324">
        <v>1971</v>
      </c>
      <c r="H324">
        <v>2140110631</v>
      </c>
      <c r="I324" t="s">
        <v>202</v>
      </c>
      <c r="J324" s="37">
        <v>13000</v>
      </c>
      <c r="K324" s="37">
        <v>10</v>
      </c>
      <c r="M324">
        <v>4433</v>
      </c>
      <c r="O324">
        <v>50</v>
      </c>
      <c r="P324">
        <v>54</v>
      </c>
      <c r="Q324">
        <v>90</v>
      </c>
      <c r="R324">
        <v>90</v>
      </c>
      <c r="T324">
        <v>9</v>
      </c>
      <c r="V324" t="s">
        <v>120</v>
      </c>
      <c r="Y324" s="38">
        <v>0.29166666666666669</v>
      </c>
      <c r="Z324" s="38">
        <v>0.79166666666666663</v>
      </c>
      <c r="AA324" t="s">
        <v>117</v>
      </c>
      <c r="AC324" t="s">
        <v>118</v>
      </c>
      <c r="AF324">
        <v>0.5</v>
      </c>
      <c r="AL324">
        <v>0.5</v>
      </c>
      <c r="AQ324">
        <v>0.25</v>
      </c>
      <c r="AR324">
        <v>0.75</v>
      </c>
      <c r="AW324">
        <v>3.5</v>
      </c>
      <c r="BK324">
        <f>0</f>
        <v>0</v>
      </c>
      <c r="BL324">
        <f t="shared" si="75"/>
        <v>5.5</v>
      </c>
      <c r="BM324">
        <f t="shared" si="76"/>
        <v>0</v>
      </c>
      <c r="BN324">
        <f t="shared" si="77"/>
        <v>0</v>
      </c>
      <c r="BO324">
        <f t="shared" si="78"/>
        <v>1</v>
      </c>
      <c r="BP324" s="37">
        <f>IF($F324="","",IFERROR(INDEX(Familias!$C$5:$C$300,MATCH($F324,Familias!$A$5:$A$300,0)),""))</f>
        <v>3160</v>
      </c>
      <c r="BQ324" s="37">
        <f t="shared" si="79"/>
        <v>13010</v>
      </c>
      <c r="BR324" s="36">
        <f t="shared" si="80"/>
        <v>12</v>
      </c>
      <c r="BS324" s="36">
        <f t="shared" si="81"/>
        <v>5.5</v>
      </c>
      <c r="BT324" s="36">
        <f t="shared" si="82"/>
        <v>6.5</v>
      </c>
      <c r="BU324" s="36">
        <f t="shared" si="83"/>
        <v>4.1170999999999998</v>
      </c>
      <c r="BV324" s="39">
        <f t="shared" si="84"/>
        <v>0.63339999999999996</v>
      </c>
      <c r="BW324" s="39">
        <f t="shared" si="85"/>
        <v>0.99923136049192929</v>
      </c>
      <c r="BX324" s="40">
        <f t="shared" si="86"/>
        <v>4.3762688923979248E-2</v>
      </c>
      <c r="BY324" s="40">
        <f t="shared" si="87"/>
        <v>2.0302278366794498E-2</v>
      </c>
      <c r="BZ324" t="str">
        <f t="shared" si="88"/>
        <v>OK</v>
      </c>
      <c r="CA324">
        <f t="shared" si="89"/>
        <v>1</v>
      </c>
    </row>
    <row r="325" spans="1:80" x14ac:dyDescent="0.25">
      <c r="A325" s="35">
        <v>45964</v>
      </c>
      <c r="B325" s="36">
        <v>12</v>
      </c>
      <c r="C325" t="s">
        <v>119</v>
      </c>
      <c r="D325" t="s">
        <v>6</v>
      </c>
      <c r="F325" t="s">
        <v>186</v>
      </c>
      <c r="G325">
        <v>1971</v>
      </c>
      <c r="H325">
        <v>2140110631</v>
      </c>
      <c r="I325" t="s">
        <v>202</v>
      </c>
      <c r="J325" s="37">
        <v>22550</v>
      </c>
      <c r="K325" s="37">
        <v>10</v>
      </c>
      <c r="M325">
        <v>7857</v>
      </c>
      <c r="O325">
        <v>80</v>
      </c>
      <c r="P325">
        <v>51</v>
      </c>
      <c r="Q325">
        <v>475</v>
      </c>
      <c r="T325">
        <v>14</v>
      </c>
      <c r="V325" t="s">
        <v>116</v>
      </c>
      <c r="Y325" s="38">
        <v>0.79166666666666663</v>
      </c>
      <c r="Z325" s="38">
        <v>0.29166666666666669</v>
      </c>
      <c r="AA325" t="s">
        <v>117</v>
      </c>
      <c r="AC325" t="s">
        <v>118</v>
      </c>
      <c r="AR325">
        <v>0.75</v>
      </c>
      <c r="AW325">
        <v>2.8332999999999999</v>
      </c>
      <c r="BI325">
        <v>0.5</v>
      </c>
      <c r="BK325">
        <f>0</f>
        <v>0</v>
      </c>
      <c r="BL325">
        <f t="shared" si="75"/>
        <v>4.0832999999999995</v>
      </c>
      <c r="BM325">
        <f t="shared" si="76"/>
        <v>0</v>
      </c>
      <c r="BN325">
        <f t="shared" si="77"/>
        <v>0</v>
      </c>
      <c r="BO325">
        <f t="shared" si="78"/>
        <v>1</v>
      </c>
      <c r="BP325" s="37">
        <f>IF($F325="","",IFERROR(INDEX(Familias!$C$5:$C$300,MATCH($F325,Familias!$A$5:$A$300,0)),""))</f>
        <v>3160</v>
      </c>
      <c r="BQ325" s="37">
        <f t="shared" si="79"/>
        <v>22560</v>
      </c>
      <c r="BR325" s="36">
        <f t="shared" si="80"/>
        <v>12</v>
      </c>
      <c r="BS325" s="36">
        <f t="shared" si="81"/>
        <v>4.0833000000000004</v>
      </c>
      <c r="BT325" s="36">
        <f t="shared" si="82"/>
        <v>7.9166999999999996</v>
      </c>
      <c r="BU325" s="36">
        <f t="shared" si="83"/>
        <v>7.1391999999999998</v>
      </c>
      <c r="BV325" s="39">
        <f t="shared" si="84"/>
        <v>0.90178988720047493</v>
      </c>
      <c r="BW325" s="39">
        <f t="shared" si="85"/>
        <v>0.99955673758865249</v>
      </c>
      <c r="BX325" s="40">
        <f t="shared" si="86"/>
        <v>1.6673030418734885E-2</v>
      </c>
      <c r="BY325" s="40">
        <f t="shared" si="87"/>
        <v>6.0455644648084512E-2</v>
      </c>
      <c r="BZ325" t="str">
        <f t="shared" si="88"/>
        <v>OK</v>
      </c>
      <c r="CA325">
        <f t="shared" si="89"/>
        <v>1</v>
      </c>
    </row>
    <row r="326" spans="1:80" x14ac:dyDescent="0.25">
      <c r="A326" s="35">
        <v>45965</v>
      </c>
      <c r="B326" s="36">
        <v>6.4734999999999996</v>
      </c>
      <c r="C326" t="s">
        <v>113</v>
      </c>
      <c r="D326" t="s">
        <v>6</v>
      </c>
      <c r="F326" t="s">
        <v>186</v>
      </c>
      <c r="G326">
        <v>1971</v>
      </c>
      <c r="H326">
        <v>2140110631</v>
      </c>
      <c r="I326" t="s">
        <v>202</v>
      </c>
      <c r="J326" s="37">
        <v>13700</v>
      </c>
      <c r="K326" s="37">
        <v>5</v>
      </c>
      <c r="M326">
        <v>4610</v>
      </c>
      <c r="O326">
        <v>62</v>
      </c>
      <c r="P326">
        <v>54</v>
      </c>
      <c r="Q326">
        <v>20</v>
      </c>
      <c r="T326">
        <v>9</v>
      </c>
      <c r="V326" t="s">
        <v>120</v>
      </c>
      <c r="Y326" s="38">
        <v>0.29166666666666669</v>
      </c>
      <c r="Z326" s="38">
        <v>0.56111111111111112</v>
      </c>
      <c r="AA326" t="s">
        <v>200</v>
      </c>
      <c r="AB326" t="s">
        <v>201</v>
      </c>
      <c r="AC326" t="s">
        <v>121</v>
      </c>
      <c r="AF326">
        <v>0.35959999999999998</v>
      </c>
      <c r="AG326">
        <v>4.4999999999999998E-2</v>
      </c>
      <c r="AQ326">
        <v>9.8900000000000002E-2</v>
      </c>
      <c r="AR326">
        <v>0.40460000000000002</v>
      </c>
      <c r="BI326">
        <v>0.17979999999999999</v>
      </c>
      <c r="BK326">
        <f>0</f>
        <v>0</v>
      </c>
      <c r="BL326">
        <f t="shared" si="75"/>
        <v>1.0878999999999999</v>
      </c>
      <c r="BM326">
        <f t="shared" si="76"/>
        <v>0</v>
      </c>
      <c r="BN326">
        <f t="shared" si="77"/>
        <v>0</v>
      </c>
      <c r="BO326">
        <f t="shared" si="78"/>
        <v>1</v>
      </c>
      <c r="BP326" s="37">
        <f>IF($F326="","",IFERROR(INDEX(Familias!$C$5:$C$300,MATCH($F326,Familias!$A$5:$A$300,0)),""))</f>
        <v>3160</v>
      </c>
      <c r="BQ326" s="37">
        <f t="shared" si="79"/>
        <v>13705</v>
      </c>
      <c r="BR326" s="36">
        <f t="shared" si="80"/>
        <v>6.4734999999999996</v>
      </c>
      <c r="BS326" s="36">
        <f t="shared" si="81"/>
        <v>1.0879000000000001</v>
      </c>
      <c r="BT326" s="36">
        <f t="shared" si="82"/>
        <v>5.3856000000000002</v>
      </c>
      <c r="BU326" s="36">
        <f t="shared" si="83"/>
        <v>4.3369999999999997</v>
      </c>
      <c r="BV326" s="39">
        <f t="shared" si="84"/>
        <v>0.8052956030897207</v>
      </c>
      <c r="BW326" s="39">
        <f t="shared" si="85"/>
        <v>0.99963516964611454</v>
      </c>
      <c r="BX326" s="40">
        <f t="shared" si="86"/>
        <v>2.5162689804772233E-2</v>
      </c>
      <c r="BY326" s="40">
        <f t="shared" si="87"/>
        <v>4.3383947939262474E-3</v>
      </c>
      <c r="BZ326" t="str">
        <f t="shared" si="88"/>
        <v>Paradas no digitadas</v>
      </c>
      <c r="CA326">
        <f t="shared" si="89"/>
        <v>0</v>
      </c>
    </row>
    <row r="327" spans="1:80" x14ac:dyDescent="0.25">
      <c r="A327" s="35">
        <v>45965</v>
      </c>
      <c r="B327" s="36">
        <v>5.5265000000000004</v>
      </c>
      <c r="C327" t="s">
        <v>113</v>
      </c>
      <c r="D327" t="s">
        <v>6</v>
      </c>
      <c r="F327" t="s">
        <v>186</v>
      </c>
      <c r="G327">
        <v>2006</v>
      </c>
      <c r="H327">
        <v>2140110632</v>
      </c>
      <c r="I327" t="s">
        <v>187</v>
      </c>
      <c r="J327" s="37">
        <v>11700</v>
      </c>
      <c r="K327" s="37"/>
      <c r="M327">
        <v>3793</v>
      </c>
      <c r="P327">
        <v>11</v>
      </c>
      <c r="Q327">
        <v>10</v>
      </c>
      <c r="R327">
        <v>20</v>
      </c>
      <c r="T327">
        <v>7</v>
      </c>
      <c r="V327" t="s">
        <v>120</v>
      </c>
      <c r="Y327" s="38">
        <v>0.56111111111111112</v>
      </c>
      <c r="Z327" s="38">
        <v>0.79166666666666663</v>
      </c>
      <c r="AA327" t="s">
        <v>200</v>
      </c>
      <c r="AC327" t="s">
        <v>121</v>
      </c>
      <c r="AF327">
        <v>0.307</v>
      </c>
      <c r="AG327">
        <v>3.8399999999999997E-2</v>
      </c>
      <c r="AQ327">
        <v>8.4400000000000003E-2</v>
      </c>
      <c r="AR327">
        <v>0.34539999999999998</v>
      </c>
      <c r="BI327">
        <v>0.1535</v>
      </c>
      <c r="BK327">
        <f>0</f>
        <v>0</v>
      </c>
      <c r="BL327">
        <f t="shared" si="75"/>
        <v>0.92869999999999986</v>
      </c>
      <c r="BM327">
        <f t="shared" si="76"/>
        <v>0</v>
      </c>
      <c r="BN327">
        <f t="shared" si="77"/>
        <v>0</v>
      </c>
      <c r="BO327">
        <f t="shared" si="78"/>
        <v>1</v>
      </c>
      <c r="BP327" s="37">
        <f>IF($F327="","",IFERROR(INDEX(Familias!$C$5:$C$300,MATCH($F327,Familias!$A$5:$A$300,0)),""))</f>
        <v>3160</v>
      </c>
      <c r="BQ327" s="37">
        <f t="shared" si="79"/>
        <v>11700</v>
      </c>
      <c r="BR327" s="36">
        <f t="shared" si="80"/>
        <v>5.5265000000000004</v>
      </c>
      <c r="BS327" s="36">
        <f t="shared" si="81"/>
        <v>0.92869999999999997</v>
      </c>
      <c r="BT327" s="36">
        <f t="shared" si="82"/>
        <v>4.5978000000000003</v>
      </c>
      <c r="BU327" s="36">
        <f t="shared" si="83"/>
        <v>3.7025000000000001</v>
      </c>
      <c r="BV327" s="39">
        <f t="shared" si="84"/>
        <v>0.80527643655661396</v>
      </c>
      <c r="BW327" s="39">
        <f t="shared" si="85"/>
        <v>1</v>
      </c>
      <c r="BX327" s="40">
        <f t="shared" si="86"/>
        <v>8.1729501713683102E-3</v>
      </c>
      <c r="BY327" s="40">
        <f t="shared" si="87"/>
        <v>2.6364355391510679E-3</v>
      </c>
      <c r="BZ327" t="str">
        <f t="shared" si="88"/>
        <v>Paradas no digitadas</v>
      </c>
      <c r="CA327">
        <f t="shared" si="89"/>
        <v>0</v>
      </c>
    </row>
    <row r="328" spans="1:80" x14ac:dyDescent="0.25">
      <c r="A328" s="35">
        <v>45965</v>
      </c>
      <c r="B328" s="36">
        <v>5.3250000000000002</v>
      </c>
      <c r="C328" t="s">
        <v>119</v>
      </c>
      <c r="D328" t="s">
        <v>6</v>
      </c>
      <c r="F328" t="s">
        <v>186</v>
      </c>
      <c r="G328">
        <v>2006</v>
      </c>
      <c r="H328">
        <v>2140110632</v>
      </c>
      <c r="I328" t="s">
        <v>187</v>
      </c>
      <c r="J328" s="37">
        <v>13850</v>
      </c>
      <c r="K328" s="37">
        <v>3</v>
      </c>
      <c r="M328">
        <v>4601</v>
      </c>
      <c r="P328">
        <v>19</v>
      </c>
      <c r="Q328">
        <v>140</v>
      </c>
      <c r="T328">
        <v>8</v>
      </c>
      <c r="V328" t="s">
        <v>116</v>
      </c>
      <c r="Y328" s="38">
        <v>0.79166666666666663</v>
      </c>
      <c r="Z328" s="38">
        <v>1.3194444444444439E-2</v>
      </c>
      <c r="AA328" t="s">
        <v>117</v>
      </c>
      <c r="AC328" t="s">
        <v>121</v>
      </c>
      <c r="AD328">
        <v>0.1479</v>
      </c>
      <c r="AE328">
        <v>0.36980000000000002</v>
      </c>
      <c r="AQ328">
        <v>0.1109</v>
      </c>
      <c r="AR328">
        <v>0.33279999999999998</v>
      </c>
      <c r="BK328">
        <f>0</f>
        <v>0</v>
      </c>
      <c r="BL328">
        <f t="shared" si="75"/>
        <v>0.96140000000000003</v>
      </c>
      <c r="BM328">
        <f t="shared" si="76"/>
        <v>0</v>
      </c>
      <c r="BN328">
        <f t="shared" si="77"/>
        <v>0</v>
      </c>
      <c r="BO328">
        <f t="shared" si="78"/>
        <v>1</v>
      </c>
      <c r="BP328" s="37">
        <f>IF($F328="","",IFERROR(INDEX(Familias!$C$5:$C$300,MATCH($F328,Familias!$A$5:$A$300,0)),""))</f>
        <v>3160</v>
      </c>
      <c r="BQ328" s="37">
        <f t="shared" si="79"/>
        <v>13853</v>
      </c>
      <c r="BR328" s="36">
        <f t="shared" si="80"/>
        <v>5.3250000000000002</v>
      </c>
      <c r="BS328" s="36">
        <f t="shared" si="81"/>
        <v>0.96140000000000003</v>
      </c>
      <c r="BT328" s="36">
        <f t="shared" si="82"/>
        <v>4.3635999999999999</v>
      </c>
      <c r="BU328" s="36">
        <f t="shared" si="83"/>
        <v>4.3838999999999997</v>
      </c>
      <c r="BV328" s="39">
        <f t="shared" si="84"/>
        <v>1.0046521221010174</v>
      </c>
      <c r="BW328" s="39">
        <f t="shared" si="85"/>
        <v>0.99978344041001954</v>
      </c>
      <c r="BX328" s="40">
        <f t="shared" si="86"/>
        <v>4.1295370571614864E-3</v>
      </c>
      <c r="BY328" s="40">
        <f t="shared" si="87"/>
        <v>3.0428167789610956E-2</v>
      </c>
      <c r="BZ328" t="str">
        <f t="shared" si="88"/>
        <v>OK</v>
      </c>
      <c r="CA328">
        <f t="shared" si="89"/>
        <v>1</v>
      </c>
    </row>
    <row r="329" spans="1:80" x14ac:dyDescent="0.25">
      <c r="A329" s="35">
        <v>45965</v>
      </c>
      <c r="B329" s="36">
        <v>6.6749999999999998</v>
      </c>
      <c r="C329" t="s">
        <v>119</v>
      </c>
      <c r="D329" t="s">
        <v>6</v>
      </c>
      <c r="F329" t="s">
        <v>186</v>
      </c>
      <c r="G329">
        <v>2010</v>
      </c>
      <c r="H329">
        <v>2140110633</v>
      </c>
      <c r="I329" t="s">
        <v>188</v>
      </c>
      <c r="J329" s="37">
        <v>17350</v>
      </c>
      <c r="K329" s="37">
        <v>15</v>
      </c>
      <c r="M329">
        <v>5816</v>
      </c>
      <c r="O329">
        <v>65</v>
      </c>
      <c r="P329">
        <v>66</v>
      </c>
      <c r="R329">
        <v>30</v>
      </c>
      <c r="T329">
        <v>11</v>
      </c>
      <c r="V329" t="s">
        <v>116</v>
      </c>
      <c r="Y329" s="38">
        <v>1.3194444444444439E-2</v>
      </c>
      <c r="Z329" s="38">
        <v>0.29166666666666669</v>
      </c>
      <c r="AA329" t="s">
        <v>117</v>
      </c>
      <c r="AC329" t="s">
        <v>121</v>
      </c>
      <c r="AD329">
        <v>0.18540000000000001</v>
      </c>
      <c r="AE329">
        <v>0.46350000000000002</v>
      </c>
      <c r="AQ329">
        <v>0.1391</v>
      </c>
      <c r="AR329">
        <v>0.41720000000000002</v>
      </c>
      <c r="BK329">
        <f>0</f>
        <v>0</v>
      </c>
      <c r="BL329">
        <f t="shared" si="75"/>
        <v>1.2052</v>
      </c>
      <c r="BM329">
        <f t="shared" si="76"/>
        <v>0</v>
      </c>
      <c r="BN329">
        <f t="shared" si="77"/>
        <v>0</v>
      </c>
      <c r="BO329">
        <f t="shared" si="78"/>
        <v>1</v>
      </c>
      <c r="BP329" s="37">
        <f>IF($F329="","",IFERROR(INDEX(Familias!$C$5:$C$300,MATCH($F329,Familias!$A$5:$A$300,0)),""))</f>
        <v>3160</v>
      </c>
      <c r="BQ329" s="37">
        <f t="shared" si="79"/>
        <v>17365</v>
      </c>
      <c r="BR329" s="36">
        <f t="shared" si="80"/>
        <v>6.6749999999999998</v>
      </c>
      <c r="BS329" s="36">
        <f t="shared" si="81"/>
        <v>1.2052</v>
      </c>
      <c r="BT329" s="36">
        <f t="shared" si="82"/>
        <v>5.4698000000000002</v>
      </c>
      <c r="BU329" s="36">
        <f t="shared" si="83"/>
        <v>5.4953000000000003</v>
      </c>
      <c r="BV329" s="39">
        <f t="shared" si="84"/>
        <v>1.0046619620461443</v>
      </c>
      <c r="BW329" s="39">
        <f t="shared" si="85"/>
        <v>0.9991361934926577</v>
      </c>
      <c r="BX329" s="40">
        <f t="shared" si="86"/>
        <v>2.7682255845942229E-2</v>
      </c>
      <c r="BY329" s="40">
        <f t="shared" si="87"/>
        <v>0</v>
      </c>
      <c r="BZ329" t="str">
        <f t="shared" si="88"/>
        <v>OK</v>
      </c>
      <c r="CA329">
        <f t="shared" si="89"/>
        <v>1</v>
      </c>
    </row>
    <row r="330" spans="1:80" x14ac:dyDescent="0.25">
      <c r="A330" s="35">
        <v>45966</v>
      </c>
      <c r="B330" s="36">
        <v>7.4615</v>
      </c>
      <c r="C330" t="s">
        <v>113</v>
      </c>
      <c r="D330" t="s">
        <v>6</v>
      </c>
      <c r="F330" t="s">
        <v>186</v>
      </c>
      <c r="G330">
        <v>2010</v>
      </c>
      <c r="H330">
        <v>2140110633</v>
      </c>
      <c r="I330" t="s">
        <v>188</v>
      </c>
      <c r="J330" s="37">
        <v>18250</v>
      </c>
      <c r="K330" s="37">
        <v>5</v>
      </c>
      <c r="M330">
        <v>5891</v>
      </c>
      <c r="T330">
        <v>11</v>
      </c>
      <c r="V330" t="s">
        <v>120</v>
      </c>
      <c r="Y330" s="38">
        <v>0.29166666666666669</v>
      </c>
      <c r="Z330" s="38">
        <v>0.60277777777777775</v>
      </c>
      <c r="AA330" t="s">
        <v>117</v>
      </c>
      <c r="AC330" t="s">
        <v>121</v>
      </c>
      <c r="AF330">
        <v>0.20730000000000001</v>
      </c>
      <c r="AG330">
        <v>0.46629999999999999</v>
      </c>
      <c r="AI330">
        <v>0.31090000000000001</v>
      </c>
      <c r="AQ330">
        <v>0.15540000000000001</v>
      </c>
      <c r="AR330">
        <v>0.46629999999999999</v>
      </c>
      <c r="BI330">
        <v>0.15540000000000001</v>
      </c>
      <c r="BK330">
        <f>0</f>
        <v>0</v>
      </c>
      <c r="BL330">
        <f t="shared" si="75"/>
        <v>1.7615999999999998</v>
      </c>
      <c r="BM330">
        <f t="shared" si="76"/>
        <v>0</v>
      </c>
      <c r="BN330">
        <f t="shared" si="77"/>
        <v>0</v>
      </c>
      <c r="BO330">
        <f t="shared" si="78"/>
        <v>1</v>
      </c>
      <c r="BP330" s="37">
        <f>IF($F330="","",IFERROR(INDEX(Familias!$C$5:$C$300,MATCH($F330,Familias!$A$5:$A$300,0)),""))</f>
        <v>3160</v>
      </c>
      <c r="BQ330" s="37">
        <f t="shared" si="79"/>
        <v>18255</v>
      </c>
      <c r="BR330" s="36">
        <f t="shared" si="80"/>
        <v>7.4615</v>
      </c>
      <c r="BS330" s="36">
        <f t="shared" si="81"/>
        <v>1.7616000000000001</v>
      </c>
      <c r="BT330" s="36">
        <f t="shared" si="82"/>
        <v>5.6999000000000004</v>
      </c>
      <c r="BU330" s="36">
        <f t="shared" si="83"/>
        <v>5.7769000000000004</v>
      </c>
      <c r="BV330" s="39">
        <f t="shared" si="84"/>
        <v>1.0135090089299812</v>
      </c>
      <c r="BW330" s="39">
        <f t="shared" si="85"/>
        <v>0.99972610243768834</v>
      </c>
      <c r="BX330" s="40">
        <f t="shared" si="86"/>
        <v>0</v>
      </c>
      <c r="BY330" s="40">
        <f t="shared" si="87"/>
        <v>0</v>
      </c>
      <c r="BZ330" t="str">
        <f t="shared" si="88"/>
        <v>OK</v>
      </c>
      <c r="CA330">
        <f t="shared" si="89"/>
        <v>1</v>
      </c>
    </row>
    <row r="331" spans="1:80" x14ac:dyDescent="0.25">
      <c r="A331" s="35">
        <v>45966</v>
      </c>
      <c r="B331" s="36">
        <v>4.5385</v>
      </c>
      <c r="C331" t="s">
        <v>113</v>
      </c>
      <c r="D331" t="s">
        <v>6</v>
      </c>
      <c r="E331" t="s">
        <v>114</v>
      </c>
      <c r="F331" t="s">
        <v>210</v>
      </c>
      <c r="G331">
        <v>2077</v>
      </c>
      <c r="H331">
        <v>2140110707</v>
      </c>
      <c r="I331" t="s">
        <v>211</v>
      </c>
      <c r="J331" s="37">
        <v>8850</v>
      </c>
      <c r="K331" s="37">
        <v>5</v>
      </c>
      <c r="O331">
        <v>20</v>
      </c>
      <c r="P331">
        <v>24</v>
      </c>
      <c r="Q331">
        <v>32</v>
      </c>
      <c r="R331">
        <v>15</v>
      </c>
      <c r="T331">
        <v>3</v>
      </c>
      <c r="V331" t="s">
        <v>120</v>
      </c>
      <c r="Y331" s="38">
        <v>0.60277777777777775</v>
      </c>
      <c r="Z331" s="38">
        <v>0.79166666666666663</v>
      </c>
      <c r="AA331" t="s">
        <v>117</v>
      </c>
      <c r="AC331" t="s">
        <v>121</v>
      </c>
      <c r="AF331">
        <v>0.12609999999999999</v>
      </c>
      <c r="AG331">
        <v>0.28370000000000001</v>
      </c>
      <c r="AI331">
        <v>0.18909999999999999</v>
      </c>
      <c r="AQ331">
        <v>9.4600000000000004E-2</v>
      </c>
      <c r="AR331">
        <v>0.28370000000000001</v>
      </c>
      <c r="BI331">
        <v>9.4600000000000004E-2</v>
      </c>
      <c r="BK331">
        <f>0</f>
        <v>0</v>
      </c>
      <c r="BL331">
        <f t="shared" si="75"/>
        <v>1.0718000000000001</v>
      </c>
      <c r="BM331">
        <f t="shared" si="76"/>
        <v>0</v>
      </c>
      <c r="BN331">
        <f t="shared" si="77"/>
        <v>0</v>
      </c>
      <c r="BO331">
        <f t="shared" si="78"/>
        <v>1</v>
      </c>
      <c r="BP331" s="37">
        <f>IF($F331="","",IFERROR(INDEX(Familias!$C$5:$C$300,MATCH($F331,Familias!$A$5:$A$300,0)),""))</f>
        <v>2520</v>
      </c>
      <c r="BQ331" s="37">
        <f t="shared" si="79"/>
        <v>8855</v>
      </c>
      <c r="BR331" s="36">
        <f t="shared" si="80"/>
        <v>4.5385</v>
      </c>
      <c r="BS331" s="36">
        <f t="shared" si="81"/>
        <v>1.0718000000000001</v>
      </c>
      <c r="BT331" s="36">
        <f t="shared" si="82"/>
        <v>3.4666999999999999</v>
      </c>
      <c r="BU331" s="36">
        <f t="shared" si="83"/>
        <v>3.5139</v>
      </c>
      <c r="BV331" s="39">
        <f t="shared" si="84"/>
        <v>1.0136152536994838</v>
      </c>
      <c r="BW331" s="39">
        <f t="shared" si="85"/>
        <v>0.99943534726143424</v>
      </c>
      <c r="BX331" s="40" t="str">
        <f t="shared" si="86"/>
        <v/>
      </c>
      <c r="BY331" s="40" t="str">
        <f t="shared" si="87"/>
        <v/>
      </c>
      <c r="BZ331" t="str">
        <f t="shared" si="88"/>
        <v>OK</v>
      </c>
      <c r="CA331">
        <f t="shared" si="89"/>
        <v>1</v>
      </c>
    </row>
    <row r="332" spans="1:80" x14ac:dyDescent="0.25">
      <c r="A332" s="35">
        <v>45966</v>
      </c>
      <c r="B332" s="36">
        <v>12</v>
      </c>
      <c r="C332" t="s">
        <v>119</v>
      </c>
      <c r="D332" t="s">
        <v>6</v>
      </c>
      <c r="E332" t="s">
        <v>114</v>
      </c>
      <c r="F332" t="s">
        <v>210</v>
      </c>
      <c r="G332">
        <v>2077</v>
      </c>
      <c r="H332">
        <v>2140110707</v>
      </c>
      <c r="I332" t="s">
        <v>211</v>
      </c>
      <c r="J332" s="37">
        <v>26450</v>
      </c>
      <c r="K332" s="37">
        <v>10</v>
      </c>
      <c r="M332">
        <v>6165</v>
      </c>
      <c r="O332">
        <v>50</v>
      </c>
      <c r="P332">
        <v>56</v>
      </c>
      <c r="Q332">
        <v>30</v>
      </c>
      <c r="T332">
        <v>8</v>
      </c>
      <c r="V332" t="s">
        <v>116</v>
      </c>
      <c r="Y332" s="38">
        <v>0.79166666666666663</v>
      </c>
      <c r="Z332" s="38">
        <v>0.29166666666666669</v>
      </c>
      <c r="AA332" t="s">
        <v>117</v>
      </c>
      <c r="AC332" t="s">
        <v>118</v>
      </c>
      <c r="AD332">
        <v>0.25</v>
      </c>
      <c r="AQ332">
        <v>0.25</v>
      </c>
      <c r="AR332">
        <v>0.75</v>
      </c>
      <c r="BK332">
        <f>0</f>
        <v>0</v>
      </c>
      <c r="BL332">
        <f t="shared" si="75"/>
        <v>1.25</v>
      </c>
      <c r="BM332">
        <f t="shared" si="76"/>
        <v>0</v>
      </c>
      <c r="BN332">
        <f t="shared" si="77"/>
        <v>0</v>
      </c>
      <c r="BO332">
        <f t="shared" si="78"/>
        <v>1</v>
      </c>
      <c r="BP332" s="37">
        <f>IF($F332="","",IFERROR(INDEX(Familias!$C$5:$C$300,MATCH($F332,Familias!$A$5:$A$300,0)),""))</f>
        <v>2520</v>
      </c>
      <c r="BQ332" s="37">
        <f t="shared" si="79"/>
        <v>26460</v>
      </c>
      <c r="BR332" s="36">
        <f t="shared" si="80"/>
        <v>12</v>
      </c>
      <c r="BS332" s="36">
        <f t="shared" si="81"/>
        <v>1.25</v>
      </c>
      <c r="BT332" s="36">
        <f t="shared" si="82"/>
        <v>10.75</v>
      </c>
      <c r="BU332" s="36">
        <f t="shared" si="83"/>
        <v>10.5</v>
      </c>
      <c r="BV332" s="39">
        <f t="shared" si="84"/>
        <v>0.97674418604651159</v>
      </c>
      <c r="BW332" s="39">
        <f t="shared" si="85"/>
        <v>0.99962207105064249</v>
      </c>
      <c r="BX332" s="40">
        <f t="shared" si="86"/>
        <v>1.7193836171938363E-2</v>
      </c>
      <c r="BY332" s="40">
        <f t="shared" si="87"/>
        <v>4.8661800486618006E-3</v>
      </c>
      <c r="BZ332" t="str">
        <f t="shared" si="88"/>
        <v>OK</v>
      </c>
      <c r="CA332">
        <f t="shared" si="89"/>
        <v>1</v>
      </c>
    </row>
    <row r="333" spans="1:80" x14ac:dyDescent="0.25">
      <c r="A333" s="35">
        <v>45967</v>
      </c>
      <c r="B333" s="36">
        <v>12</v>
      </c>
      <c r="C333" t="s">
        <v>113</v>
      </c>
      <c r="D333" t="s">
        <v>6</v>
      </c>
      <c r="E333" t="s">
        <v>114</v>
      </c>
      <c r="F333" t="s">
        <v>210</v>
      </c>
      <c r="G333">
        <v>2077</v>
      </c>
      <c r="H333">
        <v>2140110707</v>
      </c>
      <c r="I333" t="s">
        <v>211</v>
      </c>
      <c r="J333" s="37">
        <v>27700</v>
      </c>
      <c r="K333" s="37">
        <v>20</v>
      </c>
      <c r="M333">
        <v>6719</v>
      </c>
      <c r="O333">
        <v>157</v>
      </c>
      <c r="P333">
        <v>57</v>
      </c>
      <c r="Q333">
        <v>130</v>
      </c>
      <c r="T333">
        <v>9</v>
      </c>
      <c r="V333" t="s">
        <v>120</v>
      </c>
      <c r="Y333" s="38">
        <v>0.29166666666666669</v>
      </c>
      <c r="Z333" s="38">
        <v>0.79166666666666663</v>
      </c>
      <c r="AA333" t="s">
        <v>117</v>
      </c>
      <c r="AC333" t="s">
        <v>118</v>
      </c>
      <c r="AQ333">
        <v>0.25</v>
      </c>
      <c r="AR333">
        <v>0.75</v>
      </c>
      <c r="BI333">
        <v>0.33329999999999999</v>
      </c>
      <c r="BK333">
        <f>0</f>
        <v>0</v>
      </c>
      <c r="BL333">
        <f t="shared" si="75"/>
        <v>1.3332999999999999</v>
      </c>
      <c r="BM333">
        <f t="shared" si="76"/>
        <v>0</v>
      </c>
      <c r="BN333">
        <f t="shared" si="77"/>
        <v>0</v>
      </c>
      <c r="BO333">
        <f t="shared" si="78"/>
        <v>1</v>
      </c>
      <c r="BP333" s="37">
        <f>IF($F333="","",IFERROR(INDEX(Familias!$C$5:$C$300,MATCH($F333,Familias!$A$5:$A$300,0)),""))</f>
        <v>2520</v>
      </c>
      <c r="BQ333" s="37">
        <f t="shared" si="79"/>
        <v>27720</v>
      </c>
      <c r="BR333" s="36">
        <f t="shared" si="80"/>
        <v>12</v>
      </c>
      <c r="BS333" s="36">
        <f t="shared" si="81"/>
        <v>1.3332999999999999</v>
      </c>
      <c r="BT333" s="36">
        <f t="shared" si="82"/>
        <v>10.666700000000001</v>
      </c>
      <c r="BU333" s="36">
        <f t="shared" si="83"/>
        <v>11</v>
      </c>
      <c r="BV333" s="39">
        <f t="shared" si="84"/>
        <v>1.0312467773538208</v>
      </c>
      <c r="BW333" s="39">
        <f t="shared" si="85"/>
        <v>0.99927849927849932</v>
      </c>
      <c r="BX333" s="40">
        <f t="shared" si="86"/>
        <v>3.1849977675249296E-2</v>
      </c>
      <c r="BY333" s="40">
        <f t="shared" si="87"/>
        <v>1.9348117279357046E-2</v>
      </c>
      <c r="BZ333" t="str">
        <f t="shared" si="88"/>
        <v>OK</v>
      </c>
      <c r="CA333">
        <f t="shared" si="89"/>
        <v>1</v>
      </c>
    </row>
    <row r="334" spans="1:80" x14ac:dyDescent="0.25">
      <c r="A334" s="35">
        <v>45967</v>
      </c>
      <c r="B334" s="36">
        <v>12</v>
      </c>
      <c r="C334" t="s">
        <v>119</v>
      </c>
      <c r="D334" t="s">
        <v>6</v>
      </c>
      <c r="E334" t="s">
        <v>114</v>
      </c>
      <c r="F334" t="s">
        <v>210</v>
      </c>
      <c r="G334">
        <v>2077</v>
      </c>
      <c r="H334">
        <v>2140110707</v>
      </c>
      <c r="I334" t="s">
        <v>211</v>
      </c>
      <c r="J334" s="37">
        <v>27050</v>
      </c>
      <c r="K334" s="37"/>
      <c r="M334">
        <v>6530</v>
      </c>
      <c r="O334">
        <v>138</v>
      </c>
      <c r="P334">
        <v>48</v>
      </c>
      <c r="Q334">
        <v>140</v>
      </c>
      <c r="V334" t="s">
        <v>116</v>
      </c>
      <c r="Y334" s="38">
        <v>0.79166666666666663</v>
      </c>
      <c r="Z334" s="38">
        <v>0.29166666666666669</v>
      </c>
      <c r="AA334" t="s">
        <v>117</v>
      </c>
      <c r="AC334" t="s">
        <v>118</v>
      </c>
      <c r="AQ334">
        <v>0.25</v>
      </c>
      <c r="AR334">
        <v>0.75</v>
      </c>
      <c r="BI334">
        <v>0.5</v>
      </c>
      <c r="BK334">
        <f>0</f>
        <v>0</v>
      </c>
      <c r="BL334">
        <f t="shared" si="75"/>
        <v>1.5</v>
      </c>
      <c r="BM334">
        <f t="shared" si="76"/>
        <v>0</v>
      </c>
      <c r="BN334">
        <f t="shared" si="77"/>
        <v>0</v>
      </c>
      <c r="BO334">
        <f t="shared" si="78"/>
        <v>1</v>
      </c>
      <c r="BP334" s="37">
        <f>IF($F334="","",IFERROR(INDEX(Familias!$C$5:$C$300,MATCH($F334,Familias!$A$5:$A$300,0)),""))</f>
        <v>2520</v>
      </c>
      <c r="BQ334" s="37">
        <f t="shared" si="79"/>
        <v>27050</v>
      </c>
      <c r="BR334" s="36">
        <f t="shared" si="80"/>
        <v>12</v>
      </c>
      <c r="BS334" s="36">
        <f t="shared" si="81"/>
        <v>1.5</v>
      </c>
      <c r="BT334" s="36">
        <f t="shared" si="82"/>
        <v>10.5</v>
      </c>
      <c r="BU334" s="36">
        <f t="shared" si="83"/>
        <v>10.7341</v>
      </c>
      <c r="BV334" s="39">
        <f t="shared" si="84"/>
        <v>1.0222952380952381</v>
      </c>
      <c r="BW334" s="39">
        <f t="shared" si="85"/>
        <v>1</v>
      </c>
      <c r="BX334" s="40">
        <f t="shared" si="86"/>
        <v>2.8483920367534457E-2</v>
      </c>
      <c r="BY334" s="40">
        <f t="shared" si="87"/>
        <v>2.1439509954058193E-2</v>
      </c>
      <c r="BZ334" t="str">
        <f t="shared" si="88"/>
        <v>OK</v>
      </c>
      <c r="CA334">
        <f t="shared" si="89"/>
        <v>1</v>
      </c>
    </row>
    <row r="335" spans="1:80" x14ac:dyDescent="0.25">
      <c r="A335" s="35">
        <v>45968</v>
      </c>
      <c r="B335" s="36">
        <v>5.7542</v>
      </c>
      <c r="C335" t="s">
        <v>113</v>
      </c>
      <c r="D335" t="s">
        <v>6</v>
      </c>
      <c r="E335" t="s">
        <v>114</v>
      </c>
      <c r="F335" t="s">
        <v>210</v>
      </c>
      <c r="G335">
        <v>2077</v>
      </c>
      <c r="H335">
        <v>2140110707</v>
      </c>
      <c r="I335" t="s">
        <v>211</v>
      </c>
      <c r="J335" s="37">
        <v>9950</v>
      </c>
      <c r="K335" s="37"/>
      <c r="M335">
        <v>2308</v>
      </c>
      <c r="O335">
        <v>15</v>
      </c>
      <c r="P335">
        <v>16</v>
      </c>
      <c r="T335">
        <v>3</v>
      </c>
      <c r="V335" t="s">
        <v>120</v>
      </c>
      <c r="Y335" s="38">
        <v>0.29166666666666669</v>
      </c>
      <c r="Z335" s="38">
        <v>0.53125</v>
      </c>
      <c r="AA335" t="s">
        <v>117</v>
      </c>
      <c r="AC335" t="s">
        <v>121</v>
      </c>
      <c r="AG335">
        <v>0.23980000000000001</v>
      </c>
      <c r="AN335">
        <v>0.71930000000000005</v>
      </c>
      <c r="AQ335">
        <v>0.11990000000000001</v>
      </c>
      <c r="AR335">
        <v>0.35959999999999998</v>
      </c>
      <c r="BI335">
        <v>0.1598</v>
      </c>
      <c r="BK335">
        <f>0</f>
        <v>0</v>
      </c>
      <c r="BL335">
        <f t="shared" si="75"/>
        <v>1.5984</v>
      </c>
      <c r="BM335">
        <f t="shared" si="76"/>
        <v>0</v>
      </c>
      <c r="BN335">
        <f t="shared" si="77"/>
        <v>0</v>
      </c>
      <c r="BO335">
        <f t="shared" si="78"/>
        <v>1</v>
      </c>
      <c r="BP335" s="37">
        <f>IF($F335="","",IFERROR(INDEX(Familias!$C$5:$C$300,MATCH($F335,Familias!$A$5:$A$300,0)),""))</f>
        <v>2520</v>
      </c>
      <c r="BQ335" s="37">
        <f t="shared" si="79"/>
        <v>9950</v>
      </c>
      <c r="BR335" s="36">
        <f t="shared" si="80"/>
        <v>5.7542</v>
      </c>
      <c r="BS335" s="36">
        <f t="shared" si="81"/>
        <v>1.5984</v>
      </c>
      <c r="BT335" s="36">
        <f t="shared" si="82"/>
        <v>4.1558000000000002</v>
      </c>
      <c r="BU335" s="36">
        <f t="shared" si="83"/>
        <v>3.9483999999999999</v>
      </c>
      <c r="BV335" s="39">
        <f t="shared" si="84"/>
        <v>0.95009384474710035</v>
      </c>
      <c r="BW335" s="39">
        <f t="shared" si="85"/>
        <v>1</v>
      </c>
      <c r="BX335" s="40">
        <f t="shared" si="86"/>
        <v>1.3431542461005199E-2</v>
      </c>
      <c r="BY335" s="40">
        <f t="shared" si="87"/>
        <v>0</v>
      </c>
      <c r="BZ335" t="str">
        <f t="shared" si="88"/>
        <v>OK</v>
      </c>
      <c r="CA335">
        <f t="shared" si="89"/>
        <v>1</v>
      </c>
    </row>
    <row r="336" spans="1:80" x14ac:dyDescent="0.25">
      <c r="A336" s="35">
        <v>45968</v>
      </c>
      <c r="B336" s="36">
        <v>6.2458</v>
      </c>
      <c r="C336" t="s">
        <v>113</v>
      </c>
      <c r="D336" t="s">
        <v>6</v>
      </c>
      <c r="E336" t="s">
        <v>114</v>
      </c>
      <c r="F336" t="s">
        <v>210</v>
      </c>
      <c r="G336">
        <v>2124</v>
      </c>
      <c r="H336">
        <v>2140110708</v>
      </c>
      <c r="I336" t="s">
        <v>212</v>
      </c>
      <c r="J336" s="37">
        <v>10750</v>
      </c>
      <c r="K336" s="37">
        <v>50</v>
      </c>
      <c r="M336">
        <v>2517</v>
      </c>
      <c r="O336">
        <v>15</v>
      </c>
      <c r="R336">
        <v>30</v>
      </c>
      <c r="V336" t="s">
        <v>120</v>
      </c>
      <c r="Y336" s="38">
        <v>0.53125</v>
      </c>
      <c r="Z336" s="38">
        <v>0.79166666666666663</v>
      </c>
      <c r="AA336" t="s">
        <v>117</v>
      </c>
      <c r="AC336" t="s">
        <v>121</v>
      </c>
      <c r="AG336">
        <v>0.26019999999999999</v>
      </c>
      <c r="AN336">
        <v>0.78069999999999995</v>
      </c>
      <c r="AQ336">
        <v>0.13009999999999999</v>
      </c>
      <c r="AR336">
        <v>0.39040000000000002</v>
      </c>
      <c r="BI336">
        <v>0.17349999999999999</v>
      </c>
      <c r="BK336">
        <f>0</f>
        <v>0</v>
      </c>
      <c r="BL336">
        <f t="shared" si="75"/>
        <v>1.7348999999999999</v>
      </c>
      <c r="BM336">
        <f t="shared" si="76"/>
        <v>0</v>
      </c>
      <c r="BN336">
        <f t="shared" si="77"/>
        <v>0</v>
      </c>
      <c r="BO336">
        <f t="shared" si="78"/>
        <v>1</v>
      </c>
      <c r="BP336" s="37">
        <f>IF($F336="","",IFERROR(INDEX(Familias!$C$5:$C$300,MATCH($F336,Familias!$A$5:$A$300,0)),""))</f>
        <v>2520</v>
      </c>
      <c r="BQ336" s="37">
        <f t="shared" si="79"/>
        <v>10800</v>
      </c>
      <c r="BR336" s="36">
        <f t="shared" si="80"/>
        <v>6.2458</v>
      </c>
      <c r="BS336" s="36">
        <f t="shared" si="81"/>
        <v>1.7349000000000001</v>
      </c>
      <c r="BT336" s="36">
        <f t="shared" si="82"/>
        <v>4.5109000000000004</v>
      </c>
      <c r="BU336" s="36">
        <f t="shared" si="83"/>
        <v>4.2857000000000003</v>
      </c>
      <c r="BV336" s="39">
        <f t="shared" si="84"/>
        <v>0.95007648141169165</v>
      </c>
      <c r="BW336" s="39">
        <f t="shared" si="85"/>
        <v>0.99537037037037035</v>
      </c>
      <c r="BX336" s="40">
        <f t="shared" si="86"/>
        <v>1.7878426698450536E-2</v>
      </c>
      <c r="BY336" s="40">
        <f t="shared" si="87"/>
        <v>0</v>
      </c>
      <c r="BZ336" t="str">
        <f t="shared" si="88"/>
        <v>OK</v>
      </c>
      <c r="CA336">
        <f t="shared" si="89"/>
        <v>1</v>
      </c>
    </row>
    <row r="337" spans="1:80" x14ac:dyDescent="0.25">
      <c r="A337" s="35">
        <v>45968</v>
      </c>
      <c r="B337" s="36">
        <v>12</v>
      </c>
      <c r="C337" t="s">
        <v>119</v>
      </c>
      <c r="D337" t="s">
        <v>6</v>
      </c>
      <c r="E337" t="s">
        <v>114</v>
      </c>
      <c r="F337" t="s">
        <v>210</v>
      </c>
      <c r="G337">
        <v>2124</v>
      </c>
      <c r="H337">
        <v>2140110708</v>
      </c>
      <c r="I337" t="s">
        <v>212</v>
      </c>
      <c r="J337" s="37">
        <v>19400</v>
      </c>
      <c r="K337" s="37">
        <v>15</v>
      </c>
      <c r="M337">
        <v>4726</v>
      </c>
      <c r="O337">
        <v>13</v>
      </c>
      <c r="P337">
        <v>24</v>
      </c>
      <c r="Q337">
        <v>268</v>
      </c>
      <c r="T337">
        <v>6</v>
      </c>
      <c r="V337" t="s">
        <v>116</v>
      </c>
      <c r="Y337" s="38">
        <v>0.79166666666666663</v>
      </c>
      <c r="Z337" s="38">
        <v>0.29166666666666669</v>
      </c>
      <c r="AA337" t="s">
        <v>117</v>
      </c>
      <c r="AC337" t="s">
        <v>118</v>
      </c>
      <c r="AD337">
        <v>0.33329999999999999</v>
      </c>
      <c r="AG337">
        <v>1</v>
      </c>
      <c r="AR337">
        <v>0.75</v>
      </c>
      <c r="BC337">
        <v>2</v>
      </c>
      <c r="BK337">
        <f>0</f>
        <v>0</v>
      </c>
      <c r="BL337">
        <f t="shared" si="75"/>
        <v>4.0832999999999995</v>
      </c>
      <c r="BM337">
        <f t="shared" si="76"/>
        <v>0</v>
      </c>
      <c r="BN337">
        <f t="shared" si="77"/>
        <v>0</v>
      </c>
      <c r="BO337">
        <f t="shared" si="78"/>
        <v>1</v>
      </c>
      <c r="BP337" s="37">
        <f>IF($F337="","",IFERROR(INDEX(Familias!$C$5:$C$300,MATCH($F337,Familias!$A$5:$A$300,0)),""))</f>
        <v>2520</v>
      </c>
      <c r="BQ337" s="37">
        <f t="shared" si="79"/>
        <v>19415</v>
      </c>
      <c r="BR337" s="36">
        <f t="shared" si="80"/>
        <v>12</v>
      </c>
      <c r="BS337" s="36">
        <f t="shared" si="81"/>
        <v>4.0833000000000004</v>
      </c>
      <c r="BT337" s="36">
        <f t="shared" si="82"/>
        <v>7.9166999999999996</v>
      </c>
      <c r="BU337" s="36">
        <f t="shared" si="83"/>
        <v>7.7043999999999997</v>
      </c>
      <c r="BV337" s="39">
        <f t="shared" si="84"/>
        <v>0.97318327080728084</v>
      </c>
      <c r="BW337" s="39">
        <f t="shared" si="85"/>
        <v>0.99922740149369049</v>
      </c>
      <c r="BX337" s="40">
        <f t="shared" si="86"/>
        <v>7.8290308929327129E-3</v>
      </c>
      <c r="BY337" s="40">
        <f t="shared" si="87"/>
        <v>5.6707575116377487E-2</v>
      </c>
      <c r="BZ337" t="str">
        <f t="shared" si="88"/>
        <v>OK</v>
      </c>
      <c r="CA337">
        <f t="shared" si="89"/>
        <v>1</v>
      </c>
    </row>
    <row r="338" spans="1:80" x14ac:dyDescent="0.25">
      <c r="A338" s="35">
        <v>45971</v>
      </c>
      <c r="B338" s="36">
        <v>12</v>
      </c>
      <c r="C338" t="s">
        <v>113</v>
      </c>
      <c r="D338" t="s">
        <v>6</v>
      </c>
      <c r="E338" t="s">
        <v>114</v>
      </c>
      <c r="F338" t="s">
        <v>210</v>
      </c>
      <c r="G338">
        <v>2126</v>
      </c>
      <c r="H338">
        <v>2140110709</v>
      </c>
      <c r="I338" t="s">
        <v>213</v>
      </c>
      <c r="J338" s="37">
        <v>23150</v>
      </c>
      <c r="K338" s="37">
        <v>15</v>
      </c>
      <c r="M338">
        <v>5730</v>
      </c>
      <c r="O338">
        <v>200</v>
      </c>
      <c r="P338">
        <v>155</v>
      </c>
      <c r="R338">
        <v>65</v>
      </c>
      <c r="T338">
        <v>8</v>
      </c>
      <c r="V338" t="s">
        <v>116</v>
      </c>
      <c r="Y338" s="38">
        <v>0.29166666666666669</v>
      </c>
      <c r="Z338" s="38">
        <v>0.79166666666666663</v>
      </c>
      <c r="AA338" t="s">
        <v>117</v>
      </c>
      <c r="AC338" t="s">
        <v>118</v>
      </c>
      <c r="AD338">
        <v>0.75</v>
      </c>
      <c r="AF338">
        <v>0.83330000000000004</v>
      </c>
      <c r="AQ338">
        <v>0.25</v>
      </c>
      <c r="BK338">
        <f>0</f>
        <v>0</v>
      </c>
      <c r="BL338">
        <f t="shared" si="75"/>
        <v>1.8332999999999999</v>
      </c>
      <c r="BM338">
        <f t="shared" si="76"/>
        <v>0</v>
      </c>
      <c r="BN338">
        <f t="shared" si="77"/>
        <v>0</v>
      </c>
      <c r="BO338">
        <f t="shared" si="78"/>
        <v>1</v>
      </c>
      <c r="BP338" s="37">
        <f>IF($F338="","",IFERROR(INDEX(Familias!$C$5:$C$300,MATCH($F338,Familias!$A$5:$A$300,0)),""))</f>
        <v>2520</v>
      </c>
      <c r="BQ338" s="37">
        <f t="shared" si="79"/>
        <v>23165</v>
      </c>
      <c r="BR338" s="36">
        <f t="shared" si="80"/>
        <v>12</v>
      </c>
      <c r="BS338" s="36">
        <f t="shared" si="81"/>
        <v>1.8332999999999999</v>
      </c>
      <c r="BT338" s="36">
        <f t="shared" si="82"/>
        <v>10.166700000000001</v>
      </c>
      <c r="BU338" s="36">
        <f t="shared" si="83"/>
        <v>9.1925000000000008</v>
      </c>
      <c r="BV338" s="39">
        <f t="shared" si="84"/>
        <v>0.9041773633529071</v>
      </c>
      <c r="BW338" s="39">
        <f t="shared" si="85"/>
        <v>0.99935247140082017</v>
      </c>
      <c r="BX338" s="40">
        <f t="shared" si="86"/>
        <v>7.3298429319371722E-2</v>
      </c>
      <c r="BY338" s="40">
        <f t="shared" si="87"/>
        <v>0</v>
      </c>
      <c r="BZ338" t="str">
        <f t="shared" si="88"/>
        <v>OK</v>
      </c>
      <c r="CA338">
        <f t="shared" si="89"/>
        <v>1</v>
      </c>
    </row>
    <row r="339" spans="1:80" x14ac:dyDescent="0.25">
      <c r="A339" s="35">
        <v>45971</v>
      </c>
      <c r="B339" s="36">
        <v>3.5739999999999998</v>
      </c>
      <c r="C339" t="s">
        <v>119</v>
      </c>
      <c r="D339" t="s">
        <v>6</v>
      </c>
      <c r="E339" t="s">
        <v>114</v>
      </c>
      <c r="F339" t="s">
        <v>210</v>
      </c>
      <c r="G339">
        <v>2126</v>
      </c>
      <c r="H339">
        <v>2140110709</v>
      </c>
      <c r="I339" t="s">
        <v>213</v>
      </c>
      <c r="J339" s="37">
        <v>6650</v>
      </c>
      <c r="K339" s="37"/>
      <c r="M339">
        <v>1523</v>
      </c>
      <c r="O339">
        <v>15</v>
      </c>
      <c r="T339">
        <v>2</v>
      </c>
      <c r="V339" t="s">
        <v>120</v>
      </c>
      <c r="Y339" s="38">
        <v>0.79166666666666663</v>
      </c>
      <c r="Z339" s="38">
        <v>0.94027777777777777</v>
      </c>
      <c r="AA339" t="s">
        <v>117</v>
      </c>
      <c r="AC339" t="s">
        <v>121</v>
      </c>
      <c r="AF339">
        <v>0.1489</v>
      </c>
      <c r="AG339">
        <v>0.29780000000000001</v>
      </c>
      <c r="AI339">
        <v>9.9299999999999999E-2</v>
      </c>
      <c r="AQ339">
        <v>7.4499999999999997E-2</v>
      </c>
      <c r="AR339">
        <v>0.22339999999999999</v>
      </c>
      <c r="BI339">
        <v>7.4499999999999997E-2</v>
      </c>
      <c r="BK339">
        <f>0</f>
        <v>0</v>
      </c>
      <c r="BL339">
        <f t="shared" si="75"/>
        <v>0.91840000000000011</v>
      </c>
      <c r="BM339">
        <f t="shared" si="76"/>
        <v>0</v>
      </c>
      <c r="BN339">
        <f t="shared" si="77"/>
        <v>0</v>
      </c>
      <c r="BO339">
        <f t="shared" si="78"/>
        <v>1</v>
      </c>
      <c r="BP339" s="37">
        <f>IF($F339="","",IFERROR(INDEX(Familias!$C$5:$C$300,MATCH($F339,Familias!$A$5:$A$300,0)),""))</f>
        <v>2520</v>
      </c>
      <c r="BQ339" s="37">
        <f t="shared" si="79"/>
        <v>6650</v>
      </c>
      <c r="BR339" s="36">
        <f t="shared" si="80"/>
        <v>3.5739999999999998</v>
      </c>
      <c r="BS339" s="36">
        <f t="shared" si="81"/>
        <v>0.91839999999999999</v>
      </c>
      <c r="BT339" s="36">
        <f t="shared" si="82"/>
        <v>2.6556000000000002</v>
      </c>
      <c r="BU339" s="36">
        <f t="shared" si="83"/>
        <v>2.6389</v>
      </c>
      <c r="BV339" s="39">
        <f t="shared" si="84"/>
        <v>0.9937114023196264</v>
      </c>
      <c r="BW339" s="39">
        <f t="shared" si="85"/>
        <v>1</v>
      </c>
      <c r="BX339" s="40">
        <f t="shared" si="86"/>
        <v>9.8489822718319103E-3</v>
      </c>
      <c r="BY339" s="40">
        <f t="shared" si="87"/>
        <v>0</v>
      </c>
      <c r="BZ339" t="str">
        <f t="shared" si="88"/>
        <v>OK</v>
      </c>
      <c r="CA339">
        <f t="shared" si="89"/>
        <v>1</v>
      </c>
    </row>
    <row r="340" spans="1:80" x14ac:dyDescent="0.25">
      <c r="A340" s="35">
        <v>45971</v>
      </c>
      <c r="B340" s="36">
        <v>8.4260000000000002</v>
      </c>
      <c r="C340" t="s">
        <v>119</v>
      </c>
      <c r="D340" t="s">
        <v>6</v>
      </c>
      <c r="F340" t="s">
        <v>186</v>
      </c>
      <c r="G340">
        <v>2147</v>
      </c>
      <c r="H340">
        <v>2140110631</v>
      </c>
      <c r="I340" t="s">
        <v>202</v>
      </c>
      <c r="J340" s="37">
        <v>19650</v>
      </c>
      <c r="K340" s="37">
        <v>10</v>
      </c>
      <c r="M340">
        <v>6656</v>
      </c>
      <c r="O340">
        <v>140</v>
      </c>
      <c r="P340">
        <v>100</v>
      </c>
      <c r="Q340">
        <v>50</v>
      </c>
      <c r="R340">
        <v>25</v>
      </c>
      <c r="T340">
        <v>13</v>
      </c>
      <c r="V340" t="s">
        <v>120</v>
      </c>
      <c r="Y340" s="38">
        <v>0.94027777777777777</v>
      </c>
      <c r="Z340" s="38">
        <v>0.29166666666666669</v>
      </c>
      <c r="AA340" t="s">
        <v>117</v>
      </c>
      <c r="AC340" t="s">
        <v>121</v>
      </c>
      <c r="AF340">
        <v>0.35110000000000002</v>
      </c>
      <c r="AG340">
        <v>0.70220000000000005</v>
      </c>
      <c r="AI340">
        <v>0.2341</v>
      </c>
      <c r="AQ340">
        <v>0.17549999999999999</v>
      </c>
      <c r="AR340">
        <v>0.52659999999999996</v>
      </c>
      <c r="BI340">
        <v>0.17549999999999999</v>
      </c>
      <c r="BK340">
        <f>0</f>
        <v>0</v>
      </c>
      <c r="BL340">
        <f t="shared" si="75"/>
        <v>2.165</v>
      </c>
      <c r="BM340">
        <f t="shared" si="76"/>
        <v>0</v>
      </c>
      <c r="BN340">
        <f t="shared" si="77"/>
        <v>0</v>
      </c>
      <c r="BO340">
        <f t="shared" si="78"/>
        <v>1</v>
      </c>
      <c r="BP340" s="37">
        <f>IF($F340="","",IFERROR(INDEX(Familias!$C$5:$C$300,MATCH($F340,Familias!$A$5:$A$300,0)),""))</f>
        <v>3160</v>
      </c>
      <c r="BQ340" s="37">
        <f t="shared" si="79"/>
        <v>19660</v>
      </c>
      <c r="BR340" s="36">
        <f t="shared" si="80"/>
        <v>8.4260000000000002</v>
      </c>
      <c r="BS340" s="36">
        <f t="shared" si="81"/>
        <v>2.165</v>
      </c>
      <c r="BT340" s="36">
        <f t="shared" si="82"/>
        <v>6.2610000000000001</v>
      </c>
      <c r="BU340" s="36">
        <f t="shared" si="83"/>
        <v>6.2214999999999998</v>
      </c>
      <c r="BV340" s="39">
        <f t="shared" si="84"/>
        <v>0.99369110365756264</v>
      </c>
      <c r="BW340" s="39">
        <f t="shared" si="85"/>
        <v>0.99949135300101732</v>
      </c>
      <c r="BX340" s="40">
        <f t="shared" si="86"/>
        <v>3.981370192307692E-2</v>
      </c>
      <c r="BY340" s="40">
        <f t="shared" si="87"/>
        <v>7.512019230769231E-3</v>
      </c>
      <c r="BZ340" t="str">
        <f t="shared" si="88"/>
        <v>OK</v>
      </c>
      <c r="CA340">
        <f t="shared" si="89"/>
        <v>1</v>
      </c>
    </row>
    <row r="341" spans="1:80" x14ac:dyDescent="0.25">
      <c r="A341" s="35">
        <v>45972</v>
      </c>
      <c r="B341" s="36">
        <v>3.9508000000000001</v>
      </c>
      <c r="C341" t="s">
        <v>113</v>
      </c>
      <c r="D341" t="s">
        <v>6</v>
      </c>
      <c r="F341" t="s">
        <v>186</v>
      </c>
      <c r="G341">
        <v>2147</v>
      </c>
      <c r="H341">
        <v>2140110631</v>
      </c>
      <c r="I341" t="s">
        <v>202</v>
      </c>
      <c r="J341" s="37">
        <v>9350</v>
      </c>
      <c r="K341" s="37">
        <v>150</v>
      </c>
      <c r="M341">
        <v>3158</v>
      </c>
      <c r="O341">
        <v>45</v>
      </c>
      <c r="P341">
        <v>18</v>
      </c>
      <c r="Q341">
        <v>96</v>
      </c>
      <c r="T341">
        <v>3</v>
      </c>
      <c r="V341" t="s">
        <v>116</v>
      </c>
      <c r="Y341" s="38">
        <v>0.29166666666666669</v>
      </c>
      <c r="Z341" s="38">
        <v>0.45624999999999999</v>
      </c>
      <c r="AA341" t="s">
        <v>117</v>
      </c>
      <c r="AC341" t="s">
        <v>136</v>
      </c>
      <c r="AE341">
        <v>0.27439999999999998</v>
      </c>
      <c r="AO341">
        <v>0.24690000000000001</v>
      </c>
      <c r="AQ341">
        <v>5.4899999999999997E-2</v>
      </c>
      <c r="AR341">
        <v>0.24690000000000001</v>
      </c>
      <c r="BI341">
        <v>0.1646</v>
      </c>
      <c r="BK341">
        <f>0</f>
        <v>0</v>
      </c>
      <c r="BL341">
        <f t="shared" si="75"/>
        <v>0.98769999999999991</v>
      </c>
      <c r="BM341">
        <f t="shared" si="76"/>
        <v>0</v>
      </c>
      <c r="BN341">
        <f t="shared" si="77"/>
        <v>0</v>
      </c>
      <c r="BO341">
        <f t="shared" si="78"/>
        <v>1</v>
      </c>
      <c r="BP341" s="37">
        <f>IF($F341="","",IFERROR(INDEX(Familias!$C$5:$C$300,MATCH($F341,Familias!$A$5:$A$300,0)),""))</f>
        <v>3160</v>
      </c>
      <c r="BQ341" s="37">
        <f t="shared" si="79"/>
        <v>9500</v>
      </c>
      <c r="BR341" s="36">
        <f t="shared" si="80"/>
        <v>3.9508000000000001</v>
      </c>
      <c r="BS341" s="36">
        <f t="shared" si="81"/>
        <v>0.98770000000000002</v>
      </c>
      <c r="BT341" s="36">
        <f t="shared" si="82"/>
        <v>2.9630999999999998</v>
      </c>
      <c r="BU341" s="36">
        <f t="shared" si="83"/>
        <v>3.0063</v>
      </c>
      <c r="BV341" s="39">
        <f t="shared" si="84"/>
        <v>1.0145793257061861</v>
      </c>
      <c r="BW341" s="39">
        <f t="shared" si="85"/>
        <v>0.98421052631578942</v>
      </c>
      <c r="BX341" s="40">
        <f t="shared" si="86"/>
        <v>1.9949335022165927E-2</v>
      </c>
      <c r="BY341" s="40">
        <f t="shared" si="87"/>
        <v>3.0398986700443317E-2</v>
      </c>
      <c r="BZ341" t="str">
        <f t="shared" si="88"/>
        <v>OK</v>
      </c>
      <c r="CA341">
        <f t="shared" si="89"/>
        <v>1</v>
      </c>
    </row>
    <row r="342" spans="1:80" x14ac:dyDescent="0.25">
      <c r="A342" s="35">
        <v>45972</v>
      </c>
      <c r="B342" s="36">
        <v>5.3023999999999996</v>
      </c>
      <c r="C342" t="s">
        <v>113</v>
      </c>
      <c r="D342" t="s">
        <v>6</v>
      </c>
      <c r="F342" t="s">
        <v>186</v>
      </c>
      <c r="G342">
        <v>2149</v>
      </c>
      <c r="H342">
        <v>2140110631</v>
      </c>
      <c r="I342" t="s">
        <v>202</v>
      </c>
      <c r="J342" s="37">
        <v>12700</v>
      </c>
      <c r="K342" s="37">
        <v>50</v>
      </c>
      <c r="M342">
        <v>4335</v>
      </c>
      <c r="O342">
        <v>75</v>
      </c>
      <c r="P342">
        <v>28</v>
      </c>
      <c r="Q342">
        <v>135</v>
      </c>
      <c r="T342">
        <v>4</v>
      </c>
      <c r="V342" t="s">
        <v>116</v>
      </c>
      <c r="Y342" s="38">
        <v>0.45624999999999999</v>
      </c>
      <c r="Z342" s="38">
        <v>0.67708333333333337</v>
      </c>
      <c r="AA342" t="s">
        <v>117</v>
      </c>
      <c r="AC342" t="s">
        <v>136</v>
      </c>
      <c r="AE342">
        <v>0.36820000000000003</v>
      </c>
      <c r="AO342">
        <v>0.33139999999999997</v>
      </c>
      <c r="AQ342">
        <v>7.3599999999999999E-2</v>
      </c>
      <c r="AR342">
        <v>0.33139999999999997</v>
      </c>
      <c r="BI342">
        <v>0.22090000000000001</v>
      </c>
      <c r="BK342">
        <f>0</f>
        <v>0</v>
      </c>
      <c r="BL342">
        <f t="shared" si="75"/>
        <v>1.3255000000000001</v>
      </c>
      <c r="BM342">
        <f t="shared" si="76"/>
        <v>0</v>
      </c>
      <c r="BN342">
        <f t="shared" si="77"/>
        <v>0</v>
      </c>
      <c r="BO342">
        <f t="shared" si="78"/>
        <v>1</v>
      </c>
      <c r="BP342" s="37">
        <f>IF($F342="","",IFERROR(INDEX(Familias!$C$5:$C$300,MATCH($F342,Familias!$A$5:$A$300,0)),""))</f>
        <v>3160</v>
      </c>
      <c r="BQ342" s="37">
        <f t="shared" si="79"/>
        <v>12750</v>
      </c>
      <c r="BR342" s="36">
        <f t="shared" si="80"/>
        <v>5.3023999999999996</v>
      </c>
      <c r="BS342" s="36">
        <f t="shared" si="81"/>
        <v>1.3254999999999999</v>
      </c>
      <c r="BT342" s="36">
        <f t="shared" si="82"/>
        <v>3.9769000000000001</v>
      </c>
      <c r="BU342" s="36">
        <f t="shared" si="83"/>
        <v>4.0347999999999997</v>
      </c>
      <c r="BV342" s="39">
        <f t="shared" si="84"/>
        <v>1.0145590786793732</v>
      </c>
      <c r="BW342" s="39">
        <f t="shared" si="85"/>
        <v>0.99607843137254903</v>
      </c>
      <c r="BX342" s="40">
        <f t="shared" si="86"/>
        <v>2.3760092272203E-2</v>
      </c>
      <c r="BY342" s="40">
        <f t="shared" si="87"/>
        <v>3.1141868512110725E-2</v>
      </c>
      <c r="BZ342" t="str">
        <f t="shared" si="88"/>
        <v>OK</v>
      </c>
      <c r="CA342">
        <f t="shared" si="89"/>
        <v>1</v>
      </c>
    </row>
    <row r="343" spans="1:80" x14ac:dyDescent="0.25">
      <c r="A343" s="35">
        <v>45972</v>
      </c>
      <c r="B343" s="36">
        <v>2.7467999999999999</v>
      </c>
      <c r="C343" t="s">
        <v>113</v>
      </c>
      <c r="D343" t="s">
        <v>6</v>
      </c>
      <c r="F343" t="s">
        <v>186</v>
      </c>
      <c r="G343">
        <v>2150</v>
      </c>
      <c r="H343">
        <v>2140110633</v>
      </c>
      <c r="I343" t="s">
        <v>188</v>
      </c>
      <c r="J343" s="37">
        <v>6600</v>
      </c>
      <c r="K343" s="37">
        <v>5</v>
      </c>
      <c r="M343">
        <v>2259</v>
      </c>
      <c r="O343">
        <v>20</v>
      </c>
      <c r="P343">
        <v>26</v>
      </c>
      <c r="R343">
        <v>40</v>
      </c>
      <c r="V343" t="s">
        <v>116</v>
      </c>
      <c r="Y343" s="38">
        <v>0.67708333333333337</v>
      </c>
      <c r="Z343" s="38">
        <v>0.79166666666666663</v>
      </c>
      <c r="AA343" t="s">
        <v>117</v>
      </c>
      <c r="AC343" t="s">
        <v>136</v>
      </c>
      <c r="AE343">
        <v>0.1908</v>
      </c>
      <c r="AO343">
        <v>0.17169999999999999</v>
      </c>
      <c r="AQ343">
        <v>3.8199999999999998E-2</v>
      </c>
      <c r="AR343">
        <v>0.17169999999999999</v>
      </c>
      <c r="BI343">
        <v>0.1145</v>
      </c>
      <c r="BK343">
        <f>0</f>
        <v>0</v>
      </c>
      <c r="BL343">
        <f t="shared" si="75"/>
        <v>0.68690000000000007</v>
      </c>
      <c r="BM343">
        <f t="shared" si="76"/>
        <v>0</v>
      </c>
      <c r="BN343">
        <f t="shared" si="77"/>
        <v>0</v>
      </c>
      <c r="BO343">
        <f t="shared" si="78"/>
        <v>1</v>
      </c>
      <c r="BP343" s="37">
        <f>IF($F343="","",IFERROR(INDEX(Familias!$C$5:$C$300,MATCH($F343,Familias!$A$5:$A$300,0)),""))</f>
        <v>3160</v>
      </c>
      <c r="BQ343" s="37">
        <f t="shared" si="79"/>
        <v>6605</v>
      </c>
      <c r="BR343" s="36">
        <f t="shared" si="80"/>
        <v>2.7467999999999999</v>
      </c>
      <c r="BS343" s="36">
        <f t="shared" si="81"/>
        <v>0.68689999999999996</v>
      </c>
      <c r="BT343" s="36">
        <f t="shared" si="82"/>
        <v>2.0598999999999998</v>
      </c>
      <c r="BU343" s="36">
        <f t="shared" si="83"/>
        <v>2.0901999999999998</v>
      </c>
      <c r="BV343" s="39">
        <f t="shared" si="84"/>
        <v>1.0147094519151416</v>
      </c>
      <c r="BW343" s="39">
        <f t="shared" si="85"/>
        <v>0.99924299772899317</v>
      </c>
      <c r="BX343" s="40">
        <f t="shared" si="86"/>
        <v>3.8069942452412575E-2</v>
      </c>
      <c r="BY343" s="40">
        <f t="shared" si="87"/>
        <v>0</v>
      </c>
      <c r="BZ343" t="str">
        <f t="shared" si="88"/>
        <v>OK</v>
      </c>
      <c r="CA343">
        <f t="shared" si="89"/>
        <v>1</v>
      </c>
    </row>
    <row r="344" spans="1:80" x14ac:dyDescent="0.25">
      <c r="A344" s="35">
        <v>45972</v>
      </c>
      <c r="B344" s="36">
        <v>9.2432999999999996</v>
      </c>
      <c r="C344" t="s">
        <v>119</v>
      </c>
      <c r="D344" t="s">
        <v>6</v>
      </c>
      <c r="F344" t="s">
        <v>186</v>
      </c>
      <c r="G344">
        <v>2150</v>
      </c>
      <c r="H344">
        <v>2140110633</v>
      </c>
      <c r="I344" t="s">
        <v>188</v>
      </c>
      <c r="J344" s="37">
        <v>23500</v>
      </c>
      <c r="K344" s="37">
        <v>5</v>
      </c>
      <c r="M344">
        <v>7700</v>
      </c>
      <c r="O344">
        <v>30</v>
      </c>
      <c r="P344">
        <v>84</v>
      </c>
      <c r="Q344">
        <v>114</v>
      </c>
      <c r="T344">
        <v>14</v>
      </c>
      <c r="V344" t="s">
        <v>120</v>
      </c>
      <c r="Y344" s="38">
        <v>0.79166666666666663</v>
      </c>
      <c r="Z344" s="38">
        <v>0.17708333333333329</v>
      </c>
      <c r="AA344" t="s">
        <v>117</v>
      </c>
      <c r="AC344" t="s">
        <v>121</v>
      </c>
      <c r="AG344">
        <v>0.77029999999999998</v>
      </c>
      <c r="AQ344">
        <v>0.19259999999999999</v>
      </c>
      <c r="AR344">
        <v>0.57769999999999999</v>
      </c>
      <c r="BI344">
        <v>0.25679999999999997</v>
      </c>
      <c r="BK344">
        <f>0</f>
        <v>0</v>
      </c>
      <c r="BL344">
        <f t="shared" si="75"/>
        <v>1.7973999999999999</v>
      </c>
      <c r="BM344">
        <f t="shared" si="76"/>
        <v>0</v>
      </c>
      <c r="BN344">
        <f t="shared" si="77"/>
        <v>0</v>
      </c>
      <c r="BO344">
        <f t="shared" si="78"/>
        <v>1</v>
      </c>
      <c r="BP344" s="37">
        <f>IF($F344="","",IFERROR(INDEX(Familias!$C$5:$C$300,MATCH($F344,Familias!$A$5:$A$300,0)),""))</f>
        <v>3160</v>
      </c>
      <c r="BQ344" s="37">
        <f t="shared" si="79"/>
        <v>23505</v>
      </c>
      <c r="BR344" s="36">
        <f t="shared" si="80"/>
        <v>9.2432999999999996</v>
      </c>
      <c r="BS344" s="36">
        <f t="shared" si="81"/>
        <v>1.7974000000000001</v>
      </c>
      <c r="BT344" s="36">
        <f t="shared" si="82"/>
        <v>7.4459</v>
      </c>
      <c r="BU344" s="36">
        <f t="shared" si="83"/>
        <v>7.4382999999999999</v>
      </c>
      <c r="BV344" s="39">
        <f t="shared" si="84"/>
        <v>0.99897930404652224</v>
      </c>
      <c r="BW344" s="39">
        <f t="shared" si="85"/>
        <v>0.99978727930227607</v>
      </c>
      <c r="BX344" s="40">
        <f t="shared" si="86"/>
        <v>1.4805194805194806E-2</v>
      </c>
      <c r="BY344" s="40">
        <f t="shared" si="87"/>
        <v>1.4805194805194806E-2</v>
      </c>
      <c r="BZ344" t="str">
        <f t="shared" si="88"/>
        <v>OK</v>
      </c>
      <c r="CA344">
        <f t="shared" si="89"/>
        <v>1</v>
      </c>
    </row>
    <row r="345" spans="1:80" x14ac:dyDescent="0.25">
      <c r="A345" s="35">
        <v>45972</v>
      </c>
      <c r="B345" s="36">
        <v>2.7566999999999999</v>
      </c>
      <c r="C345" t="s">
        <v>119</v>
      </c>
      <c r="D345" t="s">
        <v>6</v>
      </c>
      <c r="F345" t="s">
        <v>186</v>
      </c>
      <c r="G345">
        <v>2152</v>
      </c>
      <c r="H345">
        <v>2140110632</v>
      </c>
      <c r="I345" t="s">
        <v>187</v>
      </c>
      <c r="J345" s="37">
        <v>7000</v>
      </c>
      <c r="K345" s="37">
        <v>10</v>
      </c>
      <c r="M345">
        <v>2327</v>
      </c>
      <c r="O345">
        <v>10</v>
      </c>
      <c r="P345">
        <v>30</v>
      </c>
      <c r="Q345">
        <v>30</v>
      </c>
      <c r="R345">
        <v>30</v>
      </c>
      <c r="T345">
        <v>6</v>
      </c>
      <c r="V345" t="s">
        <v>120</v>
      </c>
      <c r="Y345" s="38">
        <v>0.17708333333333329</v>
      </c>
      <c r="Z345" s="38">
        <v>0.29166666666666669</v>
      </c>
      <c r="AA345" t="s">
        <v>117</v>
      </c>
      <c r="AC345" t="s">
        <v>121</v>
      </c>
      <c r="AG345">
        <v>0.22969999999999999</v>
      </c>
      <c r="AQ345">
        <v>5.74E-2</v>
      </c>
      <c r="AR345">
        <v>0.17230000000000001</v>
      </c>
      <c r="BI345">
        <v>7.6600000000000001E-2</v>
      </c>
      <c r="BK345">
        <f>0</f>
        <v>0</v>
      </c>
      <c r="BL345">
        <f t="shared" si="75"/>
        <v>0.53600000000000003</v>
      </c>
      <c r="BM345">
        <f t="shared" si="76"/>
        <v>0</v>
      </c>
      <c r="BN345">
        <f t="shared" si="77"/>
        <v>0</v>
      </c>
      <c r="BO345">
        <f t="shared" si="78"/>
        <v>1</v>
      </c>
      <c r="BP345" s="37">
        <f>IF($F345="","",IFERROR(INDEX(Familias!$C$5:$C$300,MATCH($F345,Familias!$A$5:$A$300,0)),""))</f>
        <v>3160</v>
      </c>
      <c r="BQ345" s="37">
        <f t="shared" si="79"/>
        <v>7010</v>
      </c>
      <c r="BR345" s="36">
        <f t="shared" si="80"/>
        <v>2.7566999999999999</v>
      </c>
      <c r="BS345" s="36">
        <f t="shared" si="81"/>
        <v>0.53600000000000003</v>
      </c>
      <c r="BT345" s="36">
        <f t="shared" si="82"/>
        <v>2.2206999999999999</v>
      </c>
      <c r="BU345" s="36">
        <f t="shared" si="83"/>
        <v>2.2183999999999999</v>
      </c>
      <c r="BV345" s="39">
        <f t="shared" si="84"/>
        <v>0.99896429053901925</v>
      </c>
      <c r="BW345" s="39">
        <f t="shared" si="85"/>
        <v>0.99857346647646217</v>
      </c>
      <c r="BX345" s="40">
        <f t="shared" si="86"/>
        <v>3.0081650193382038E-2</v>
      </c>
      <c r="BY345" s="40">
        <f t="shared" si="87"/>
        <v>1.289213579716373E-2</v>
      </c>
      <c r="BZ345" t="str">
        <f t="shared" si="88"/>
        <v>OK</v>
      </c>
      <c r="CA345">
        <f t="shared" si="89"/>
        <v>1</v>
      </c>
    </row>
    <row r="346" spans="1:80" x14ac:dyDescent="0.25">
      <c r="A346" s="35">
        <v>45973</v>
      </c>
      <c r="B346" s="36">
        <v>12</v>
      </c>
      <c r="C346" t="s">
        <v>113</v>
      </c>
      <c r="D346" t="s">
        <v>6</v>
      </c>
      <c r="E346" t="s">
        <v>126</v>
      </c>
      <c r="F346" t="s">
        <v>127</v>
      </c>
      <c r="G346">
        <v>2190</v>
      </c>
      <c r="H346">
        <v>2140110610</v>
      </c>
      <c r="I346" t="s">
        <v>128</v>
      </c>
      <c r="J346" s="37">
        <v>2475</v>
      </c>
      <c r="K346" s="37">
        <v>30</v>
      </c>
      <c r="M346">
        <v>217</v>
      </c>
      <c r="V346" t="s">
        <v>116</v>
      </c>
      <c r="Y346" s="38">
        <v>0.29166666666666669</v>
      </c>
      <c r="Z346" s="38">
        <v>0.79166666666666663</v>
      </c>
      <c r="AA346" t="s">
        <v>117</v>
      </c>
      <c r="AC346" t="s">
        <v>121</v>
      </c>
      <c r="AD346">
        <v>0.25</v>
      </c>
      <c r="AE346">
        <v>6</v>
      </c>
      <c r="AQ346">
        <v>0.25</v>
      </c>
      <c r="AR346">
        <v>0.75</v>
      </c>
      <c r="BK346">
        <f>0</f>
        <v>0</v>
      </c>
      <c r="BL346">
        <f t="shared" si="75"/>
        <v>7.25</v>
      </c>
      <c r="BM346">
        <f t="shared" si="76"/>
        <v>0</v>
      </c>
      <c r="BN346">
        <f t="shared" si="77"/>
        <v>0</v>
      </c>
      <c r="BO346">
        <f t="shared" si="78"/>
        <v>1</v>
      </c>
      <c r="BP346" s="37">
        <f>IF($F346="","",IFERROR(INDEX(Familias!$C$5:$C$300,MATCH($F346,Familias!$A$5:$A$300,0)),""))</f>
        <v>2450</v>
      </c>
      <c r="BQ346" s="37">
        <f t="shared" si="79"/>
        <v>2505</v>
      </c>
      <c r="BR346" s="36">
        <f t="shared" si="80"/>
        <v>12</v>
      </c>
      <c r="BS346" s="36">
        <f t="shared" si="81"/>
        <v>7.25</v>
      </c>
      <c r="BT346" s="36">
        <f t="shared" si="82"/>
        <v>4.75</v>
      </c>
      <c r="BU346" s="36">
        <f t="shared" si="83"/>
        <v>1.0224</v>
      </c>
      <c r="BV346" s="39">
        <f t="shared" si="84"/>
        <v>0.2152421052631579</v>
      </c>
      <c r="BW346" s="39">
        <f t="shared" si="85"/>
        <v>0.9880239520958084</v>
      </c>
      <c r="BX346" s="40">
        <f t="shared" si="86"/>
        <v>0</v>
      </c>
      <c r="BY346" s="40">
        <f t="shared" si="87"/>
        <v>0</v>
      </c>
      <c r="BZ346" t="str">
        <f t="shared" si="88"/>
        <v>OK</v>
      </c>
      <c r="CA346">
        <f t="shared" si="89"/>
        <v>1</v>
      </c>
    </row>
    <row r="347" spans="1:80" x14ac:dyDescent="0.25">
      <c r="A347" s="35">
        <v>45973</v>
      </c>
      <c r="B347" s="36">
        <v>0</v>
      </c>
      <c r="C347" t="s">
        <v>113</v>
      </c>
      <c r="D347" t="s">
        <v>6</v>
      </c>
      <c r="E347" t="s">
        <v>126</v>
      </c>
      <c r="F347" t="s">
        <v>127</v>
      </c>
      <c r="G347">
        <v>2190</v>
      </c>
      <c r="H347">
        <v>2140110610</v>
      </c>
      <c r="I347" t="s">
        <v>128</v>
      </c>
      <c r="J347" s="37"/>
      <c r="K347" s="37"/>
      <c r="M347">
        <v>186</v>
      </c>
      <c r="O347">
        <v>186</v>
      </c>
      <c r="T347">
        <v>0</v>
      </c>
      <c r="V347" t="s">
        <v>116</v>
      </c>
      <c r="Y347" s="38">
        <v>0.79166666666666663</v>
      </c>
      <c r="Z347" s="38">
        <v>0.79166666666666663</v>
      </c>
      <c r="AA347" t="s">
        <v>117</v>
      </c>
      <c r="AC347" t="s">
        <v>121</v>
      </c>
      <c r="BK347">
        <f>0</f>
        <v>0</v>
      </c>
      <c r="BL347">
        <f t="shared" si="75"/>
        <v>0</v>
      </c>
      <c r="BM347">
        <f t="shared" si="76"/>
        <v>0</v>
      </c>
      <c r="BN347">
        <f t="shared" si="77"/>
        <v>0</v>
      </c>
      <c r="BO347">
        <f t="shared" si="78"/>
        <v>1</v>
      </c>
      <c r="BP347" s="37">
        <f>IF($F347="","",IFERROR(INDEX(Familias!$C$5:$C$300,MATCH($F347,Familias!$A$5:$A$300,0)),""))</f>
        <v>2450</v>
      </c>
      <c r="BQ347" s="37" t="str">
        <f t="shared" si="79"/>
        <v/>
      </c>
      <c r="BR347" s="36">
        <f t="shared" si="80"/>
        <v>0</v>
      </c>
      <c r="BS347" s="36">
        <f t="shared" si="81"/>
        <v>0</v>
      </c>
      <c r="BT347" s="36">
        <f t="shared" si="82"/>
        <v>0</v>
      </c>
      <c r="BU347" s="36" t="str">
        <f t="shared" si="83"/>
        <v/>
      </c>
      <c r="BV347" s="39" t="str">
        <f t="shared" si="84"/>
        <v/>
      </c>
      <c r="BW347" s="39" t="str">
        <f t="shared" si="85"/>
        <v/>
      </c>
      <c r="BX347" s="40">
        <f t="shared" si="86"/>
        <v>1</v>
      </c>
      <c r="BY347" s="40">
        <f t="shared" si="87"/>
        <v>0</v>
      </c>
      <c r="BZ347" t="str">
        <f t="shared" si="88"/>
        <v>Parada total</v>
      </c>
      <c r="CA347">
        <f t="shared" si="89"/>
        <v>0</v>
      </c>
    </row>
    <row r="348" spans="1:80" x14ac:dyDescent="0.25">
      <c r="A348" s="35">
        <v>45973</v>
      </c>
      <c r="B348" s="36">
        <v>12</v>
      </c>
      <c r="C348" t="s">
        <v>119</v>
      </c>
      <c r="D348" t="s">
        <v>6</v>
      </c>
      <c r="E348" t="s">
        <v>126</v>
      </c>
      <c r="F348" t="s">
        <v>127</v>
      </c>
      <c r="G348">
        <v>2190</v>
      </c>
      <c r="H348">
        <v>2140110610</v>
      </c>
      <c r="I348" t="s">
        <v>128</v>
      </c>
      <c r="J348" s="37">
        <v>7396</v>
      </c>
      <c r="K348" s="37">
        <v>20</v>
      </c>
      <c r="M348">
        <v>3011</v>
      </c>
      <c r="O348">
        <v>180</v>
      </c>
      <c r="P348">
        <v>40</v>
      </c>
      <c r="Q348">
        <v>73</v>
      </c>
      <c r="T348">
        <v>5</v>
      </c>
      <c r="V348" t="s">
        <v>120</v>
      </c>
      <c r="Y348" s="38">
        <v>0.79166666666666663</v>
      </c>
      <c r="Z348" s="38">
        <v>0.29166666666666669</v>
      </c>
      <c r="AA348" t="s">
        <v>117</v>
      </c>
      <c r="AC348" t="s">
        <v>118</v>
      </c>
      <c r="AG348">
        <v>0.5</v>
      </c>
      <c r="AK348">
        <v>1.5</v>
      </c>
      <c r="AR348">
        <v>0.75</v>
      </c>
      <c r="AV348">
        <v>2</v>
      </c>
      <c r="BJ348">
        <v>1.5</v>
      </c>
      <c r="BK348">
        <f>0</f>
        <v>0</v>
      </c>
      <c r="BL348">
        <f t="shared" si="75"/>
        <v>4.25</v>
      </c>
      <c r="BM348">
        <f t="shared" si="76"/>
        <v>0</v>
      </c>
      <c r="BN348">
        <f t="shared" si="77"/>
        <v>2</v>
      </c>
      <c r="BO348">
        <f t="shared" si="78"/>
        <v>1</v>
      </c>
      <c r="BP348" s="37">
        <f>IF($F348="","",IFERROR(INDEX(Familias!$C$5:$C$300,MATCH($F348,Familias!$A$5:$A$300,0)),""))</f>
        <v>2450</v>
      </c>
      <c r="BQ348" s="37">
        <f t="shared" si="79"/>
        <v>7416</v>
      </c>
      <c r="BR348" s="36">
        <f t="shared" si="80"/>
        <v>12</v>
      </c>
      <c r="BS348" s="36">
        <f t="shared" si="81"/>
        <v>6.25</v>
      </c>
      <c r="BT348" s="36">
        <f t="shared" si="82"/>
        <v>5.75</v>
      </c>
      <c r="BU348" s="36">
        <f t="shared" si="83"/>
        <v>3.0268999999999999</v>
      </c>
      <c r="BV348" s="39">
        <f t="shared" si="84"/>
        <v>0.52641739130434784</v>
      </c>
      <c r="BW348" s="39">
        <f t="shared" si="85"/>
        <v>0.99730312837108959</v>
      </c>
      <c r="BX348" s="40">
        <f t="shared" si="86"/>
        <v>7.3065426768515448E-2</v>
      </c>
      <c r="BY348" s="40">
        <f t="shared" si="87"/>
        <v>2.4244437064098307E-2</v>
      </c>
      <c r="BZ348" t="str">
        <f t="shared" si="88"/>
        <v>OK</v>
      </c>
      <c r="CA348">
        <f t="shared" si="89"/>
        <v>1</v>
      </c>
    </row>
    <row r="349" spans="1:80" x14ac:dyDescent="0.25">
      <c r="A349" s="35">
        <v>45974</v>
      </c>
      <c r="B349" s="36">
        <v>1.7533000000000001</v>
      </c>
      <c r="C349" t="s">
        <v>113</v>
      </c>
      <c r="D349" t="s">
        <v>6</v>
      </c>
      <c r="F349" t="s">
        <v>186</v>
      </c>
      <c r="G349">
        <v>2152</v>
      </c>
      <c r="H349">
        <v>2140110632</v>
      </c>
      <c r="I349" t="s">
        <v>187</v>
      </c>
      <c r="J349" s="37">
        <v>950</v>
      </c>
      <c r="K349" s="37">
        <v>30</v>
      </c>
      <c r="M349">
        <v>1394</v>
      </c>
      <c r="O349">
        <v>400</v>
      </c>
      <c r="P349">
        <v>10</v>
      </c>
      <c r="Q349">
        <v>28</v>
      </c>
      <c r="T349">
        <v>2</v>
      </c>
      <c r="V349" t="s">
        <v>116</v>
      </c>
      <c r="Y349" s="38">
        <v>0.29166666666666669</v>
      </c>
      <c r="Z349" s="38">
        <v>0.36458333333333331</v>
      </c>
      <c r="AA349" t="s">
        <v>117</v>
      </c>
      <c r="AC349" t="s">
        <v>121</v>
      </c>
      <c r="AQ349">
        <v>3.6499999999999998E-2</v>
      </c>
      <c r="AV349">
        <v>0.80359999999999998</v>
      </c>
      <c r="BJ349">
        <v>0.29220000000000002</v>
      </c>
      <c r="BK349">
        <f>0</f>
        <v>0</v>
      </c>
      <c r="BL349">
        <f t="shared" si="75"/>
        <v>0.32869999999999999</v>
      </c>
      <c r="BM349">
        <f t="shared" si="76"/>
        <v>0</v>
      </c>
      <c r="BN349">
        <f t="shared" si="77"/>
        <v>0.80359999999999998</v>
      </c>
      <c r="BO349">
        <f t="shared" si="78"/>
        <v>1</v>
      </c>
      <c r="BP349" s="37">
        <f>IF($F349="","",IFERROR(INDEX(Familias!$C$5:$C$300,MATCH($F349,Familias!$A$5:$A$300,0)),""))</f>
        <v>3160</v>
      </c>
      <c r="BQ349" s="37">
        <f t="shared" si="79"/>
        <v>980</v>
      </c>
      <c r="BR349" s="36">
        <f t="shared" si="80"/>
        <v>1.7533000000000001</v>
      </c>
      <c r="BS349" s="36">
        <f t="shared" si="81"/>
        <v>1.1323000000000001</v>
      </c>
      <c r="BT349" s="36">
        <f t="shared" si="82"/>
        <v>0.621</v>
      </c>
      <c r="BU349" s="36">
        <f t="shared" si="83"/>
        <v>0.31009999999999999</v>
      </c>
      <c r="BV349" s="39">
        <f t="shared" si="84"/>
        <v>0.49935587761674716</v>
      </c>
      <c r="BW349" s="39">
        <f t="shared" si="85"/>
        <v>0.96938775510204078</v>
      </c>
      <c r="BX349" s="40">
        <f t="shared" si="86"/>
        <v>0.29411764705882354</v>
      </c>
      <c r="BY349" s="40">
        <f t="shared" si="87"/>
        <v>2.0086083213773313E-2</v>
      </c>
      <c r="BZ349" t="str">
        <f t="shared" si="88"/>
        <v>OK</v>
      </c>
      <c r="CA349">
        <f t="shared" si="89"/>
        <v>1</v>
      </c>
    </row>
    <row r="350" spans="1:80" x14ac:dyDescent="0.25">
      <c r="A350" s="35">
        <v>45974</v>
      </c>
      <c r="B350" s="36">
        <v>10.246700000000001</v>
      </c>
      <c r="C350" t="s">
        <v>113</v>
      </c>
      <c r="D350" t="s">
        <v>6</v>
      </c>
      <c r="E350" t="s">
        <v>126</v>
      </c>
      <c r="F350" t="s">
        <v>133</v>
      </c>
      <c r="G350">
        <v>2208</v>
      </c>
      <c r="H350">
        <v>2140110604</v>
      </c>
      <c r="I350" t="s">
        <v>139</v>
      </c>
      <c r="J350" s="37">
        <v>4175</v>
      </c>
      <c r="K350" s="37">
        <v>30</v>
      </c>
      <c r="M350">
        <v>1612</v>
      </c>
      <c r="O350">
        <v>90</v>
      </c>
      <c r="T350">
        <v>2</v>
      </c>
      <c r="V350" t="s">
        <v>116</v>
      </c>
      <c r="Y350" s="38">
        <v>0.36458333333333331</v>
      </c>
      <c r="Z350" s="38">
        <v>0.79166666666666663</v>
      </c>
      <c r="AA350" t="s">
        <v>117</v>
      </c>
      <c r="AC350" t="s">
        <v>121</v>
      </c>
      <c r="AQ350">
        <v>0.2135</v>
      </c>
      <c r="AV350">
        <v>4.6963999999999997</v>
      </c>
      <c r="BJ350">
        <v>1.7078</v>
      </c>
      <c r="BK350">
        <f>0</f>
        <v>0</v>
      </c>
      <c r="BL350">
        <f t="shared" si="75"/>
        <v>1.9213</v>
      </c>
      <c r="BM350">
        <f t="shared" si="76"/>
        <v>0</v>
      </c>
      <c r="BN350">
        <f t="shared" si="77"/>
        <v>4.6963999999999997</v>
      </c>
      <c r="BO350">
        <f t="shared" si="78"/>
        <v>1</v>
      </c>
      <c r="BP350" s="37">
        <f>IF($F350="","",IFERROR(INDEX(Familias!$C$5:$C$300,MATCH($F350,Familias!$A$5:$A$300,0)),""))</f>
        <v>2320</v>
      </c>
      <c r="BQ350" s="37">
        <f t="shared" si="79"/>
        <v>4205</v>
      </c>
      <c r="BR350" s="36">
        <f t="shared" si="80"/>
        <v>10.246700000000001</v>
      </c>
      <c r="BS350" s="36">
        <f t="shared" si="81"/>
        <v>6.6177000000000001</v>
      </c>
      <c r="BT350" s="36">
        <f t="shared" si="82"/>
        <v>3.629</v>
      </c>
      <c r="BU350" s="36">
        <f t="shared" si="83"/>
        <v>1.8125</v>
      </c>
      <c r="BV350" s="39">
        <f t="shared" si="84"/>
        <v>0.49944888399007992</v>
      </c>
      <c r="BW350" s="39">
        <f t="shared" si="85"/>
        <v>0.9928656361474435</v>
      </c>
      <c r="BX350" s="40">
        <f t="shared" si="86"/>
        <v>5.5831265508684863E-2</v>
      </c>
      <c r="BY350" s="40">
        <f t="shared" si="87"/>
        <v>0</v>
      </c>
      <c r="BZ350" t="str">
        <f t="shared" si="88"/>
        <v>OK</v>
      </c>
      <c r="CA350">
        <f t="shared" si="89"/>
        <v>1</v>
      </c>
    </row>
    <row r="351" spans="1:80" x14ac:dyDescent="0.25">
      <c r="A351" s="35">
        <v>45974</v>
      </c>
      <c r="B351" s="36">
        <v>12</v>
      </c>
      <c r="C351" t="s">
        <v>119</v>
      </c>
      <c r="D351" t="s">
        <v>6</v>
      </c>
      <c r="E351" t="s">
        <v>126</v>
      </c>
      <c r="F351" t="s">
        <v>133</v>
      </c>
      <c r="G351">
        <v>2208</v>
      </c>
      <c r="H351">
        <v>2140110604</v>
      </c>
      <c r="I351" t="s">
        <v>139</v>
      </c>
      <c r="J351" s="37">
        <v>20625</v>
      </c>
      <c r="K351" s="37">
        <v>16</v>
      </c>
      <c r="M351">
        <v>7237</v>
      </c>
      <c r="O351">
        <v>158</v>
      </c>
      <c r="P351">
        <v>72</v>
      </c>
      <c r="Q351">
        <v>66</v>
      </c>
      <c r="T351">
        <v>9</v>
      </c>
      <c r="V351" t="s">
        <v>120</v>
      </c>
      <c r="Y351" s="38">
        <v>0.79166666666666663</v>
      </c>
      <c r="Z351" s="38">
        <v>0.29166666666666669</v>
      </c>
      <c r="AA351" t="s">
        <v>117</v>
      </c>
      <c r="AC351" t="s">
        <v>118</v>
      </c>
      <c r="AQ351">
        <v>0.25</v>
      </c>
      <c r="AR351">
        <v>0.75</v>
      </c>
      <c r="BI351">
        <v>0.33329999999999999</v>
      </c>
      <c r="BK351">
        <f>0</f>
        <v>0</v>
      </c>
      <c r="BL351">
        <f t="shared" si="75"/>
        <v>1.3332999999999999</v>
      </c>
      <c r="BM351">
        <f t="shared" si="76"/>
        <v>0</v>
      </c>
      <c r="BN351">
        <f t="shared" si="77"/>
        <v>0</v>
      </c>
      <c r="BO351">
        <f t="shared" si="78"/>
        <v>1</v>
      </c>
      <c r="BP351" s="37">
        <f>IF($F351="","",IFERROR(INDEX(Familias!$C$5:$C$300,MATCH($F351,Familias!$A$5:$A$300,0)),""))</f>
        <v>2320</v>
      </c>
      <c r="BQ351" s="37">
        <f t="shared" si="79"/>
        <v>20641</v>
      </c>
      <c r="BR351" s="36">
        <f t="shared" si="80"/>
        <v>12</v>
      </c>
      <c r="BS351" s="36">
        <f t="shared" si="81"/>
        <v>1.3332999999999999</v>
      </c>
      <c r="BT351" s="36">
        <f t="shared" si="82"/>
        <v>10.666700000000001</v>
      </c>
      <c r="BU351" s="36">
        <f t="shared" si="83"/>
        <v>8.8970000000000002</v>
      </c>
      <c r="BV351" s="39">
        <f t="shared" si="84"/>
        <v>0.83409114346517665</v>
      </c>
      <c r="BW351" s="39">
        <f t="shared" si="85"/>
        <v>0.99922484375756992</v>
      </c>
      <c r="BX351" s="40">
        <f t="shared" si="86"/>
        <v>3.1781124775459448E-2</v>
      </c>
      <c r="BY351" s="40">
        <f t="shared" si="87"/>
        <v>9.1198010225231451E-3</v>
      </c>
      <c r="BZ351" t="str">
        <f t="shared" si="88"/>
        <v>OK</v>
      </c>
      <c r="CA351">
        <f t="shared" si="89"/>
        <v>1</v>
      </c>
    </row>
    <row r="352" spans="1:80" x14ac:dyDescent="0.25">
      <c r="A352" s="35">
        <v>45975</v>
      </c>
      <c r="B352" s="36">
        <v>8.77</v>
      </c>
      <c r="C352" t="s">
        <v>113</v>
      </c>
      <c r="D352" t="s">
        <v>6</v>
      </c>
      <c r="E352" t="s">
        <v>126</v>
      </c>
      <c r="F352" t="s">
        <v>133</v>
      </c>
      <c r="G352">
        <v>2208</v>
      </c>
      <c r="H352">
        <v>2140110604</v>
      </c>
      <c r="I352" t="s">
        <v>139</v>
      </c>
      <c r="J352" s="37">
        <v>10325</v>
      </c>
      <c r="K352" s="37">
        <v>20</v>
      </c>
      <c r="M352">
        <v>3775</v>
      </c>
      <c r="O352">
        <v>60</v>
      </c>
      <c r="P352">
        <v>27</v>
      </c>
      <c r="Q352">
        <v>110</v>
      </c>
      <c r="T352">
        <v>5</v>
      </c>
      <c r="V352" t="s">
        <v>116</v>
      </c>
      <c r="Y352" s="38">
        <v>0.29166666666666669</v>
      </c>
      <c r="Z352" s="38">
        <v>0.65694444444444444</v>
      </c>
      <c r="AA352" t="s">
        <v>117</v>
      </c>
      <c r="AC352" t="s">
        <v>121</v>
      </c>
      <c r="AE352">
        <v>0.3654</v>
      </c>
      <c r="AQ352">
        <v>0.1827</v>
      </c>
      <c r="AR352">
        <v>0.54810000000000003</v>
      </c>
      <c r="AW352">
        <v>1.6444000000000001</v>
      </c>
      <c r="BI352">
        <v>0.3654</v>
      </c>
      <c r="BK352">
        <f>0</f>
        <v>0</v>
      </c>
      <c r="BL352">
        <f t="shared" si="75"/>
        <v>3.1060000000000003</v>
      </c>
      <c r="BM352">
        <f t="shared" si="76"/>
        <v>0</v>
      </c>
      <c r="BN352">
        <f t="shared" si="77"/>
        <v>0</v>
      </c>
      <c r="BO352">
        <f t="shared" si="78"/>
        <v>1</v>
      </c>
      <c r="BP352" s="37">
        <f>IF($F352="","",IFERROR(INDEX(Familias!$C$5:$C$300,MATCH($F352,Familias!$A$5:$A$300,0)),""))</f>
        <v>2320</v>
      </c>
      <c r="BQ352" s="37">
        <f t="shared" si="79"/>
        <v>10345</v>
      </c>
      <c r="BR352" s="36">
        <f t="shared" si="80"/>
        <v>8.77</v>
      </c>
      <c r="BS352" s="36">
        <f t="shared" si="81"/>
        <v>3.1059999999999999</v>
      </c>
      <c r="BT352" s="36">
        <f t="shared" si="82"/>
        <v>5.6639999999999997</v>
      </c>
      <c r="BU352" s="36">
        <f t="shared" si="83"/>
        <v>4.4591000000000003</v>
      </c>
      <c r="BV352" s="39">
        <f t="shared" si="84"/>
        <v>0.78727048022598878</v>
      </c>
      <c r="BW352" s="39">
        <f t="shared" si="85"/>
        <v>0.99806669888835187</v>
      </c>
      <c r="BX352" s="40">
        <f t="shared" si="86"/>
        <v>2.3046357615894041E-2</v>
      </c>
      <c r="BY352" s="40">
        <f t="shared" si="87"/>
        <v>2.9139072847682121E-2</v>
      </c>
      <c r="BZ352" t="str">
        <f t="shared" si="88"/>
        <v>OK</v>
      </c>
      <c r="CA352">
        <f t="shared" si="89"/>
        <v>1</v>
      </c>
    </row>
    <row r="353" spans="1:80" x14ac:dyDescent="0.25">
      <c r="A353" s="35">
        <v>45975</v>
      </c>
      <c r="B353" s="36">
        <v>3.23</v>
      </c>
      <c r="C353" t="s">
        <v>113</v>
      </c>
      <c r="D353" t="s">
        <v>6</v>
      </c>
      <c r="E353" t="s">
        <v>126</v>
      </c>
      <c r="F353" t="s">
        <v>133</v>
      </c>
      <c r="G353">
        <v>2231</v>
      </c>
      <c r="H353">
        <v>2140110606</v>
      </c>
      <c r="I353" t="s">
        <v>141</v>
      </c>
      <c r="J353" s="37">
        <v>3800</v>
      </c>
      <c r="K353" s="37">
        <v>10</v>
      </c>
      <c r="M353">
        <v>1540</v>
      </c>
      <c r="O353">
        <v>20</v>
      </c>
      <c r="P353">
        <v>100</v>
      </c>
      <c r="R353">
        <v>45</v>
      </c>
      <c r="T353">
        <v>2</v>
      </c>
      <c r="V353" t="s">
        <v>116</v>
      </c>
      <c r="Y353" s="38">
        <v>0.65694444444444444</v>
      </c>
      <c r="Z353" s="38">
        <v>0.79166666666666663</v>
      </c>
      <c r="AA353" t="s">
        <v>117</v>
      </c>
      <c r="AC353" t="s">
        <v>121</v>
      </c>
      <c r="AE353">
        <v>0.1346</v>
      </c>
      <c r="AQ353">
        <v>6.7299999999999999E-2</v>
      </c>
      <c r="AR353">
        <v>0.2019</v>
      </c>
      <c r="AW353">
        <v>0.60560000000000003</v>
      </c>
      <c r="BI353">
        <v>0.1346</v>
      </c>
      <c r="BK353">
        <f>0</f>
        <v>0</v>
      </c>
      <c r="BL353">
        <f t="shared" si="75"/>
        <v>1.1440000000000001</v>
      </c>
      <c r="BM353">
        <f t="shared" si="76"/>
        <v>0</v>
      </c>
      <c r="BN353">
        <f t="shared" si="77"/>
        <v>0</v>
      </c>
      <c r="BO353">
        <f t="shared" si="78"/>
        <v>1</v>
      </c>
      <c r="BP353" s="37">
        <f>IF($F353="","",IFERROR(INDEX(Familias!$C$5:$C$300,MATCH($F353,Familias!$A$5:$A$300,0)),""))</f>
        <v>2320</v>
      </c>
      <c r="BQ353" s="37">
        <f t="shared" si="79"/>
        <v>3810</v>
      </c>
      <c r="BR353" s="36">
        <f t="shared" si="80"/>
        <v>3.23</v>
      </c>
      <c r="BS353" s="36">
        <f t="shared" si="81"/>
        <v>1.1439999999999999</v>
      </c>
      <c r="BT353" s="36">
        <f t="shared" si="82"/>
        <v>2.0859999999999999</v>
      </c>
      <c r="BU353" s="36">
        <f t="shared" si="83"/>
        <v>1.6422000000000001</v>
      </c>
      <c r="BV353" s="39">
        <f t="shared" si="84"/>
        <v>0.78724832214765106</v>
      </c>
      <c r="BW353" s="39">
        <f t="shared" si="85"/>
        <v>0.99737532808398954</v>
      </c>
      <c r="BX353" s="40">
        <f t="shared" si="86"/>
        <v>0.10714285714285714</v>
      </c>
      <c r="BY353" s="40">
        <f t="shared" si="87"/>
        <v>0</v>
      </c>
      <c r="BZ353" t="str">
        <f t="shared" si="88"/>
        <v>OK</v>
      </c>
      <c r="CA353">
        <f t="shared" si="89"/>
        <v>1</v>
      </c>
    </row>
    <row r="354" spans="1:80" x14ac:dyDescent="0.25">
      <c r="A354" s="35">
        <v>45975</v>
      </c>
      <c r="B354" s="36">
        <v>12</v>
      </c>
      <c r="C354" t="s">
        <v>119</v>
      </c>
      <c r="D354" t="s">
        <v>6</v>
      </c>
      <c r="E354" t="s">
        <v>126</v>
      </c>
      <c r="F354" t="s">
        <v>133</v>
      </c>
      <c r="G354">
        <v>2231</v>
      </c>
      <c r="H354">
        <v>2140110606</v>
      </c>
      <c r="I354" t="s">
        <v>141</v>
      </c>
      <c r="J354" s="37">
        <v>16000</v>
      </c>
      <c r="K354" s="37">
        <v>15</v>
      </c>
      <c r="M354">
        <v>5668</v>
      </c>
      <c r="O354">
        <v>106</v>
      </c>
      <c r="P354">
        <v>56</v>
      </c>
      <c r="Q354">
        <v>101</v>
      </c>
      <c r="T354">
        <v>7</v>
      </c>
      <c r="V354" t="s">
        <v>120</v>
      </c>
      <c r="Y354" s="38">
        <v>0.79166666666666663</v>
      </c>
      <c r="Z354" s="38">
        <v>0.29166666666666669</v>
      </c>
      <c r="AA354" t="s">
        <v>117</v>
      </c>
      <c r="AC354" t="s">
        <v>118</v>
      </c>
      <c r="AR354">
        <v>0.75</v>
      </c>
      <c r="BC354">
        <v>1.6667000000000001</v>
      </c>
      <c r="BI354">
        <v>0.33329999999999999</v>
      </c>
      <c r="BK354">
        <f>0</f>
        <v>0</v>
      </c>
      <c r="BL354">
        <f t="shared" si="75"/>
        <v>2.75</v>
      </c>
      <c r="BM354">
        <f t="shared" si="76"/>
        <v>0</v>
      </c>
      <c r="BN354">
        <f t="shared" si="77"/>
        <v>0</v>
      </c>
      <c r="BO354">
        <f t="shared" si="78"/>
        <v>1</v>
      </c>
      <c r="BP354" s="37">
        <f>IF($F354="","",IFERROR(INDEX(Familias!$C$5:$C$300,MATCH($F354,Familias!$A$5:$A$300,0)),""))</f>
        <v>2320</v>
      </c>
      <c r="BQ354" s="37">
        <f t="shared" si="79"/>
        <v>16015</v>
      </c>
      <c r="BR354" s="36">
        <f t="shared" si="80"/>
        <v>12</v>
      </c>
      <c r="BS354" s="36">
        <f t="shared" si="81"/>
        <v>2.75</v>
      </c>
      <c r="BT354" s="36">
        <f t="shared" si="82"/>
        <v>9.25</v>
      </c>
      <c r="BU354" s="36">
        <f t="shared" si="83"/>
        <v>6.9029999999999996</v>
      </c>
      <c r="BV354" s="39">
        <f t="shared" si="84"/>
        <v>0.74627027027027026</v>
      </c>
      <c r="BW354" s="39">
        <f t="shared" si="85"/>
        <v>0.99906337808304713</v>
      </c>
      <c r="BX354" s="40">
        <f t="shared" si="86"/>
        <v>2.8581510232886381E-2</v>
      </c>
      <c r="BY354" s="40">
        <f t="shared" si="87"/>
        <v>1.7819336626676077E-2</v>
      </c>
      <c r="BZ354" t="str">
        <f t="shared" si="88"/>
        <v>OK</v>
      </c>
      <c r="CA354">
        <f t="shared" si="89"/>
        <v>1</v>
      </c>
    </row>
    <row r="355" spans="1:80" x14ac:dyDescent="0.25">
      <c r="A355" s="35">
        <v>45978</v>
      </c>
      <c r="B355" s="36">
        <v>12</v>
      </c>
      <c r="C355" t="s">
        <v>113</v>
      </c>
      <c r="D355" t="s">
        <v>6</v>
      </c>
      <c r="E355" t="s">
        <v>126</v>
      </c>
      <c r="F355" t="s">
        <v>133</v>
      </c>
      <c r="G355">
        <v>2231</v>
      </c>
      <c r="H355">
        <v>2140110606</v>
      </c>
      <c r="I355" t="s">
        <v>141</v>
      </c>
      <c r="J355" s="37">
        <v>13425</v>
      </c>
      <c r="K355" s="37">
        <v>10</v>
      </c>
      <c r="M355">
        <v>4598</v>
      </c>
      <c r="O355">
        <v>58</v>
      </c>
      <c r="T355">
        <v>6</v>
      </c>
      <c r="V355" t="s">
        <v>120</v>
      </c>
      <c r="Y355" s="38">
        <v>0.29166666666666669</v>
      </c>
      <c r="Z355" s="38">
        <v>0.79166666666666663</v>
      </c>
      <c r="AA355" t="s">
        <v>117</v>
      </c>
      <c r="AC355" t="s">
        <v>118</v>
      </c>
      <c r="AD355">
        <v>1</v>
      </c>
      <c r="AN355">
        <v>1.25</v>
      </c>
      <c r="AQ355">
        <v>0.25</v>
      </c>
      <c r="AR355">
        <v>0.75</v>
      </c>
      <c r="BA355">
        <v>1.3332999999999999</v>
      </c>
      <c r="BH355">
        <v>0.5</v>
      </c>
      <c r="BK355">
        <f>0</f>
        <v>0</v>
      </c>
      <c r="BL355">
        <f t="shared" si="75"/>
        <v>3.75</v>
      </c>
      <c r="BM355">
        <f t="shared" si="76"/>
        <v>1.3332999999999999</v>
      </c>
      <c r="BN355">
        <f t="shared" si="77"/>
        <v>0</v>
      </c>
      <c r="BO355">
        <f t="shared" si="78"/>
        <v>1</v>
      </c>
      <c r="BP355" s="37">
        <f>IF($F355="","",IFERROR(INDEX(Familias!$C$5:$C$300,MATCH($F355,Familias!$A$5:$A$300,0)),""))</f>
        <v>2320</v>
      </c>
      <c r="BQ355" s="37">
        <f t="shared" si="79"/>
        <v>13435</v>
      </c>
      <c r="BR355" s="36">
        <f t="shared" si="80"/>
        <v>12</v>
      </c>
      <c r="BS355" s="36">
        <f t="shared" si="81"/>
        <v>5.0833000000000004</v>
      </c>
      <c r="BT355" s="36">
        <f t="shared" si="82"/>
        <v>6.9166999999999996</v>
      </c>
      <c r="BU355" s="36">
        <f t="shared" si="83"/>
        <v>5.7908999999999997</v>
      </c>
      <c r="BV355" s="39">
        <f t="shared" si="84"/>
        <v>0.837234519351714</v>
      </c>
      <c r="BW355" s="39">
        <f t="shared" si="85"/>
        <v>0.99925567547450689</v>
      </c>
      <c r="BX355" s="40">
        <f t="shared" si="86"/>
        <v>1.2614180078294911E-2</v>
      </c>
      <c r="BY355" s="40">
        <f t="shared" si="87"/>
        <v>0</v>
      </c>
      <c r="BZ355" t="str">
        <f t="shared" si="88"/>
        <v>OK</v>
      </c>
      <c r="CA355">
        <f t="shared" si="89"/>
        <v>1</v>
      </c>
    </row>
    <row r="356" spans="1:80" x14ac:dyDescent="0.25">
      <c r="A356" s="35">
        <v>45978</v>
      </c>
      <c r="B356" s="36">
        <v>3.8403</v>
      </c>
      <c r="C356" t="s">
        <v>119</v>
      </c>
      <c r="D356" t="s">
        <v>6</v>
      </c>
      <c r="E356" t="s">
        <v>126</v>
      </c>
      <c r="F356" t="s">
        <v>133</v>
      </c>
      <c r="G356">
        <v>2231</v>
      </c>
      <c r="H356">
        <v>2140110606</v>
      </c>
      <c r="I356" t="s">
        <v>141</v>
      </c>
      <c r="J356" s="37">
        <v>6850</v>
      </c>
      <c r="K356" s="37">
        <v>15</v>
      </c>
      <c r="M356">
        <v>2483</v>
      </c>
      <c r="Q356">
        <v>210</v>
      </c>
      <c r="T356">
        <v>3</v>
      </c>
      <c r="V356" t="s">
        <v>116</v>
      </c>
      <c r="Y356" s="38">
        <v>0.79166666666666663</v>
      </c>
      <c r="Z356" s="38">
        <v>0.95138888888888884</v>
      </c>
      <c r="AA356" t="s">
        <v>117</v>
      </c>
      <c r="AC356" t="s">
        <v>121</v>
      </c>
      <c r="AE356">
        <v>0.26669999999999999</v>
      </c>
      <c r="AQ356">
        <v>0.08</v>
      </c>
      <c r="AR356">
        <v>0.24</v>
      </c>
      <c r="BI356">
        <v>0.16</v>
      </c>
      <c r="BK356">
        <f>0</f>
        <v>0</v>
      </c>
      <c r="BL356">
        <f t="shared" si="75"/>
        <v>0.74670000000000003</v>
      </c>
      <c r="BM356">
        <f t="shared" si="76"/>
        <v>0</v>
      </c>
      <c r="BN356">
        <f t="shared" si="77"/>
        <v>0</v>
      </c>
      <c r="BO356">
        <f t="shared" si="78"/>
        <v>1</v>
      </c>
      <c r="BP356" s="37">
        <f>IF($F356="","",IFERROR(INDEX(Familias!$C$5:$C$300,MATCH($F356,Familias!$A$5:$A$300,0)),""))</f>
        <v>2320</v>
      </c>
      <c r="BQ356" s="37">
        <f t="shared" si="79"/>
        <v>6865</v>
      </c>
      <c r="BR356" s="36">
        <f t="shared" si="80"/>
        <v>3.8403</v>
      </c>
      <c r="BS356" s="36">
        <f t="shared" si="81"/>
        <v>0.74670000000000003</v>
      </c>
      <c r="BT356" s="36">
        <f t="shared" si="82"/>
        <v>3.0935999999999999</v>
      </c>
      <c r="BU356" s="36">
        <f t="shared" si="83"/>
        <v>2.9590999999999998</v>
      </c>
      <c r="BV356" s="39">
        <f t="shared" si="84"/>
        <v>0.95652314455650378</v>
      </c>
      <c r="BW356" s="39">
        <f t="shared" si="85"/>
        <v>0.99781500364166065</v>
      </c>
      <c r="BX356" s="40">
        <f t="shared" si="86"/>
        <v>0</v>
      </c>
      <c r="BY356" s="40">
        <f t="shared" si="87"/>
        <v>8.4575110753121227E-2</v>
      </c>
      <c r="BZ356" t="str">
        <f t="shared" si="88"/>
        <v>OK</v>
      </c>
      <c r="CA356">
        <f t="shared" si="89"/>
        <v>1</v>
      </c>
    </row>
    <row r="357" spans="1:80" x14ac:dyDescent="0.25">
      <c r="A357" s="35">
        <v>45978</v>
      </c>
      <c r="B357" s="36">
        <v>8.1597000000000008</v>
      </c>
      <c r="C357" t="s">
        <v>119</v>
      </c>
      <c r="D357" t="s">
        <v>6</v>
      </c>
      <c r="E357" t="s">
        <v>147</v>
      </c>
      <c r="F357" t="s">
        <v>147</v>
      </c>
      <c r="G357">
        <v>2244</v>
      </c>
      <c r="H357">
        <v>2140110663</v>
      </c>
      <c r="I357" t="s">
        <v>148</v>
      </c>
      <c r="J357" s="37">
        <v>14325</v>
      </c>
      <c r="K357" s="37">
        <v>10</v>
      </c>
      <c r="M357">
        <v>4444</v>
      </c>
      <c r="O357">
        <v>70</v>
      </c>
      <c r="P357">
        <v>28</v>
      </c>
      <c r="Q357">
        <v>185</v>
      </c>
      <c r="R357">
        <v>45</v>
      </c>
      <c r="T357">
        <v>8</v>
      </c>
      <c r="V357" t="s">
        <v>116</v>
      </c>
      <c r="Y357" s="38">
        <v>0.95138888888888884</v>
      </c>
      <c r="Z357" s="38">
        <v>0.29166666666666669</v>
      </c>
      <c r="AA357" t="s">
        <v>117</v>
      </c>
      <c r="AC357" t="s">
        <v>121</v>
      </c>
      <c r="AE357">
        <v>0.56659999999999999</v>
      </c>
      <c r="AQ357">
        <v>0.17</v>
      </c>
      <c r="AR357">
        <v>0.51</v>
      </c>
      <c r="BI357">
        <v>0.34</v>
      </c>
      <c r="BK357">
        <f>0</f>
        <v>0</v>
      </c>
      <c r="BL357">
        <f t="shared" si="75"/>
        <v>1.5866</v>
      </c>
      <c r="BM357">
        <f t="shared" si="76"/>
        <v>0</v>
      </c>
      <c r="BN357">
        <f t="shared" si="77"/>
        <v>0</v>
      </c>
      <c r="BO357">
        <f t="shared" si="78"/>
        <v>1</v>
      </c>
      <c r="BP357" s="37">
        <f>IF($F357="","",IFERROR(INDEX(Familias!$C$5:$C$300,MATCH($F357,Familias!$A$5:$A$300,0)),""))</f>
        <v>2280</v>
      </c>
      <c r="BQ357" s="37">
        <f t="shared" si="79"/>
        <v>14335</v>
      </c>
      <c r="BR357" s="36">
        <f t="shared" si="80"/>
        <v>8.1597000000000008</v>
      </c>
      <c r="BS357" s="36">
        <f t="shared" si="81"/>
        <v>1.5866</v>
      </c>
      <c r="BT357" s="36">
        <f t="shared" si="82"/>
        <v>6.5731000000000002</v>
      </c>
      <c r="BU357" s="36">
        <f t="shared" si="83"/>
        <v>6.2873000000000001</v>
      </c>
      <c r="BV357" s="39">
        <f t="shared" si="84"/>
        <v>0.95651975475802897</v>
      </c>
      <c r="BW357" s="39">
        <f t="shared" si="85"/>
        <v>0.99930240669689574</v>
      </c>
      <c r="BX357" s="40">
        <f t="shared" si="86"/>
        <v>3.2178217821782179E-2</v>
      </c>
      <c r="BY357" s="40">
        <f t="shared" si="87"/>
        <v>4.162916291629163E-2</v>
      </c>
      <c r="BZ357" t="str">
        <f t="shared" si="88"/>
        <v>OK</v>
      </c>
      <c r="CA357">
        <f t="shared" si="89"/>
        <v>1</v>
      </c>
    </row>
    <row r="358" spans="1:80" x14ac:dyDescent="0.25">
      <c r="A358" s="35">
        <v>45979</v>
      </c>
      <c r="B358" s="36">
        <v>10.094099999999999</v>
      </c>
      <c r="C358" t="s">
        <v>113</v>
      </c>
      <c r="D358" t="s">
        <v>6</v>
      </c>
      <c r="E358" t="s">
        <v>147</v>
      </c>
      <c r="F358" t="s">
        <v>147</v>
      </c>
      <c r="G358">
        <v>2244</v>
      </c>
      <c r="H358">
        <v>2140110663</v>
      </c>
      <c r="I358" t="s">
        <v>148</v>
      </c>
      <c r="J358" s="37">
        <v>16975</v>
      </c>
      <c r="K358" s="37">
        <v>5</v>
      </c>
      <c r="M358">
        <v>5031</v>
      </c>
      <c r="O358">
        <v>50</v>
      </c>
      <c r="P358">
        <v>63</v>
      </c>
      <c r="Q358">
        <v>70</v>
      </c>
      <c r="T358">
        <v>9</v>
      </c>
      <c r="V358" t="s">
        <v>120</v>
      </c>
      <c r="Y358" s="38">
        <v>0.29166666666666669</v>
      </c>
      <c r="Z358" s="38">
        <v>0.71250000000000002</v>
      </c>
      <c r="AA358" t="s">
        <v>117</v>
      </c>
      <c r="AC358" t="s">
        <v>121</v>
      </c>
      <c r="AF358">
        <v>1.0515000000000001</v>
      </c>
      <c r="AG358">
        <v>0.84119999999999995</v>
      </c>
      <c r="AQ358">
        <v>0.21029999999999999</v>
      </c>
      <c r="AR358">
        <v>0.63090000000000002</v>
      </c>
      <c r="BI358">
        <v>0.28039999999999998</v>
      </c>
      <c r="BK358">
        <f>0</f>
        <v>0</v>
      </c>
      <c r="BL358">
        <f t="shared" si="75"/>
        <v>3.0143000000000004</v>
      </c>
      <c r="BM358">
        <f t="shared" si="76"/>
        <v>0</v>
      </c>
      <c r="BN358">
        <f t="shared" si="77"/>
        <v>0</v>
      </c>
      <c r="BO358">
        <f t="shared" si="78"/>
        <v>1</v>
      </c>
      <c r="BP358" s="37">
        <f>IF($F358="","",IFERROR(INDEX(Familias!$C$5:$C$300,MATCH($F358,Familias!$A$5:$A$300,0)),""))</f>
        <v>2280</v>
      </c>
      <c r="BQ358" s="37">
        <f t="shared" si="79"/>
        <v>16980</v>
      </c>
      <c r="BR358" s="36">
        <f t="shared" si="80"/>
        <v>10.094099999999999</v>
      </c>
      <c r="BS358" s="36">
        <f t="shared" si="81"/>
        <v>3.0143</v>
      </c>
      <c r="BT358" s="36">
        <f t="shared" si="82"/>
        <v>7.0797999999999996</v>
      </c>
      <c r="BU358" s="36">
        <f t="shared" si="83"/>
        <v>7.4474</v>
      </c>
      <c r="BV358" s="39">
        <f t="shared" si="84"/>
        <v>1.0519223706884375</v>
      </c>
      <c r="BW358" s="39">
        <f t="shared" si="85"/>
        <v>0.99970553592461719</v>
      </c>
      <c r="BX358" s="40">
        <f t="shared" si="86"/>
        <v>2.2460743390975948E-2</v>
      </c>
      <c r="BY358" s="40">
        <f t="shared" si="87"/>
        <v>1.3913734843967402E-2</v>
      </c>
      <c r="BZ358" t="str">
        <f t="shared" si="88"/>
        <v>OK</v>
      </c>
      <c r="CA358">
        <f t="shared" si="89"/>
        <v>1</v>
      </c>
    </row>
    <row r="359" spans="1:80" x14ac:dyDescent="0.25">
      <c r="A359" s="35">
        <v>45979</v>
      </c>
      <c r="B359" s="36">
        <v>1.9058999999999999</v>
      </c>
      <c r="C359" t="s">
        <v>113</v>
      </c>
      <c r="D359" t="s">
        <v>6</v>
      </c>
      <c r="E359" t="s">
        <v>147</v>
      </c>
      <c r="F359" t="s">
        <v>147</v>
      </c>
      <c r="G359">
        <v>2285</v>
      </c>
      <c r="H359">
        <v>2140110665</v>
      </c>
      <c r="I359" t="s">
        <v>185</v>
      </c>
      <c r="J359" s="37">
        <v>3200</v>
      </c>
      <c r="K359" s="37">
        <v>6</v>
      </c>
      <c r="M359">
        <v>1158</v>
      </c>
      <c r="O359">
        <v>116</v>
      </c>
      <c r="P359">
        <v>14</v>
      </c>
      <c r="Q359">
        <v>21</v>
      </c>
      <c r="R359">
        <v>20</v>
      </c>
      <c r="T359">
        <v>2</v>
      </c>
      <c r="V359" t="s">
        <v>120</v>
      </c>
      <c r="Y359" s="38">
        <v>0.71250000000000002</v>
      </c>
      <c r="Z359" s="38">
        <v>0.79166666666666663</v>
      </c>
      <c r="AA359" t="s">
        <v>117</v>
      </c>
      <c r="AC359" t="s">
        <v>121</v>
      </c>
      <c r="AF359">
        <v>0.19850000000000001</v>
      </c>
      <c r="AG359">
        <v>0.1588</v>
      </c>
      <c r="AQ359">
        <v>3.9699999999999999E-2</v>
      </c>
      <c r="AR359">
        <v>0.1191</v>
      </c>
      <c r="BI359">
        <v>5.2900000000000003E-2</v>
      </c>
      <c r="BK359">
        <f>0</f>
        <v>0</v>
      </c>
      <c r="BL359">
        <f t="shared" si="75"/>
        <v>0.56899999999999995</v>
      </c>
      <c r="BM359">
        <f t="shared" si="76"/>
        <v>0</v>
      </c>
      <c r="BN359">
        <f t="shared" si="77"/>
        <v>0</v>
      </c>
      <c r="BO359">
        <f t="shared" si="78"/>
        <v>1</v>
      </c>
      <c r="BP359" s="37">
        <f>IF($F359="","",IFERROR(INDEX(Familias!$C$5:$C$300,MATCH($F359,Familias!$A$5:$A$300,0)),""))</f>
        <v>2280</v>
      </c>
      <c r="BQ359" s="37">
        <f t="shared" si="79"/>
        <v>3206</v>
      </c>
      <c r="BR359" s="36">
        <f t="shared" si="80"/>
        <v>1.9058999999999999</v>
      </c>
      <c r="BS359" s="36">
        <f t="shared" si="81"/>
        <v>0.56899999999999995</v>
      </c>
      <c r="BT359" s="36">
        <f t="shared" si="82"/>
        <v>1.3369</v>
      </c>
      <c r="BU359" s="36">
        <f t="shared" si="83"/>
        <v>1.4060999999999999</v>
      </c>
      <c r="BV359" s="39">
        <f t="shared" si="84"/>
        <v>1.0517615378861545</v>
      </c>
      <c r="BW359" s="39">
        <f t="shared" si="85"/>
        <v>0.99812850904553962</v>
      </c>
      <c r="BX359" s="40">
        <f t="shared" si="86"/>
        <v>0.12953367875647667</v>
      </c>
      <c r="BY359" s="40">
        <f t="shared" si="87"/>
        <v>1.8134715025906734E-2</v>
      </c>
      <c r="BZ359" t="str">
        <f t="shared" si="88"/>
        <v>OK</v>
      </c>
      <c r="CA359">
        <f t="shared" si="89"/>
        <v>1</v>
      </c>
    </row>
    <row r="360" spans="1:80" x14ac:dyDescent="0.25">
      <c r="A360" s="35">
        <v>45979</v>
      </c>
      <c r="B360" s="36">
        <v>12</v>
      </c>
      <c r="C360" t="s">
        <v>119</v>
      </c>
      <c r="D360" t="s">
        <v>6</v>
      </c>
      <c r="E360" t="s">
        <v>147</v>
      </c>
      <c r="F360" t="s">
        <v>147</v>
      </c>
      <c r="G360">
        <v>2285</v>
      </c>
      <c r="H360">
        <v>2140110665</v>
      </c>
      <c r="I360" t="s">
        <v>185</v>
      </c>
      <c r="J360" s="37">
        <v>22125</v>
      </c>
      <c r="K360" s="37">
        <v>5</v>
      </c>
      <c r="M360">
        <v>6657</v>
      </c>
      <c r="O360">
        <v>50</v>
      </c>
      <c r="P360">
        <v>60</v>
      </c>
      <c r="Q360">
        <v>195</v>
      </c>
      <c r="T360">
        <v>12</v>
      </c>
      <c r="V360" t="s">
        <v>116</v>
      </c>
      <c r="Y360" s="38">
        <v>0.79166666666666663</v>
      </c>
      <c r="Z360" s="38">
        <v>0.29166666666666669</v>
      </c>
      <c r="AA360" t="s">
        <v>117</v>
      </c>
      <c r="AC360" t="s">
        <v>118</v>
      </c>
      <c r="AQ360">
        <v>0.25</v>
      </c>
      <c r="AR360">
        <v>0.75</v>
      </c>
      <c r="BI360">
        <v>0.33329999999999999</v>
      </c>
      <c r="BK360">
        <f>0</f>
        <v>0</v>
      </c>
      <c r="BL360">
        <f t="shared" si="75"/>
        <v>1.3332999999999999</v>
      </c>
      <c r="BM360">
        <f t="shared" si="76"/>
        <v>0</v>
      </c>
      <c r="BN360">
        <f t="shared" si="77"/>
        <v>0</v>
      </c>
      <c r="BO360">
        <f t="shared" si="78"/>
        <v>1</v>
      </c>
      <c r="BP360" s="37">
        <f>IF($F360="","",IFERROR(INDEX(Familias!$C$5:$C$300,MATCH($F360,Familias!$A$5:$A$300,0)),""))</f>
        <v>2280</v>
      </c>
      <c r="BQ360" s="37">
        <f t="shared" si="79"/>
        <v>22130</v>
      </c>
      <c r="BR360" s="36">
        <f t="shared" si="80"/>
        <v>12</v>
      </c>
      <c r="BS360" s="36">
        <f t="shared" si="81"/>
        <v>1.3332999999999999</v>
      </c>
      <c r="BT360" s="36">
        <f t="shared" si="82"/>
        <v>10.666700000000001</v>
      </c>
      <c r="BU360" s="36">
        <f t="shared" si="83"/>
        <v>9.7060999999999993</v>
      </c>
      <c r="BV360" s="39">
        <f t="shared" si="84"/>
        <v>0.90994403142490166</v>
      </c>
      <c r="BW360" s="39">
        <f t="shared" si="85"/>
        <v>0.99977406235878896</v>
      </c>
      <c r="BX360" s="40">
        <f t="shared" si="86"/>
        <v>1.6523959741625356E-2</v>
      </c>
      <c r="BY360" s="40">
        <f t="shared" si="87"/>
        <v>2.929247408742677E-2</v>
      </c>
      <c r="BZ360" t="str">
        <f t="shared" si="88"/>
        <v>OK</v>
      </c>
      <c r="CA360">
        <f t="shared" si="89"/>
        <v>1</v>
      </c>
    </row>
    <row r="361" spans="1:80" x14ac:dyDescent="0.25">
      <c r="A361" s="35">
        <v>45980</v>
      </c>
      <c r="B361" s="36">
        <v>3.0724999999999998</v>
      </c>
      <c r="C361" t="s">
        <v>113</v>
      </c>
      <c r="D361" t="s">
        <v>6</v>
      </c>
      <c r="E361" t="s">
        <v>147</v>
      </c>
      <c r="F361" t="s">
        <v>147</v>
      </c>
      <c r="G361">
        <v>2285</v>
      </c>
      <c r="H361">
        <v>2140110665</v>
      </c>
      <c r="I361" t="s">
        <v>185</v>
      </c>
      <c r="J361" s="37">
        <v>4825</v>
      </c>
      <c r="K361" s="37"/>
      <c r="M361">
        <v>1297</v>
      </c>
      <c r="O361">
        <v>15</v>
      </c>
      <c r="P361">
        <v>14</v>
      </c>
      <c r="Q361">
        <v>20</v>
      </c>
      <c r="T361">
        <v>2</v>
      </c>
      <c r="V361" t="s">
        <v>120</v>
      </c>
      <c r="Y361" s="38">
        <v>0.29166666666666669</v>
      </c>
      <c r="Z361" s="38">
        <v>0.41944444444444451</v>
      </c>
      <c r="AA361" t="s">
        <v>117</v>
      </c>
      <c r="AC361" t="s">
        <v>121</v>
      </c>
      <c r="AI361">
        <v>0.128</v>
      </c>
      <c r="AQ361">
        <v>6.4000000000000001E-2</v>
      </c>
      <c r="AR361">
        <v>0.192</v>
      </c>
      <c r="AW361">
        <v>0.17069999999999999</v>
      </c>
      <c r="BI361">
        <v>6.4000000000000001E-2</v>
      </c>
      <c r="BK361">
        <f>0</f>
        <v>0</v>
      </c>
      <c r="BL361">
        <f t="shared" si="75"/>
        <v>0.61870000000000003</v>
      </c>
      <c r="BM361">
        <f t="shared" si="76"/>
        <v>0</v>
      </c>
      <c r="BN361">
        <f t="shared" si="77"/>
        <v>0</v>
      </c>
      <c r="BO361">
        <f t="shared" si="78"/>
        <v>1</v>
      </c>
      <c r="BP361" s="37">
        <f>IF($F361="","",IFERROR(INDEX(Familias!$C$5:$C$300,MATCH($F361,Familias!$A$5:$A$300,0)),""))</f>
        <v>2280</v>
      </c>
      <c r="BQ361" s="37">
        <f t="shared" si="79"/>
        <v>4825</v>
      </c>
      <c r="BR361" s="36">
        <f t="shared" si="80"/>
        <v>3.0724999999999998</v>
      </c>
      <c r="BS361" s="36">
        <f t="shared" si="81"/>
        <v>0.61870000000000003</v>
      </c>
      <c r="BT361" s="36">
        <f t="shared" si="82"/>
        <v>2.4538000000000002</v>
      </c>
      <c r="BU361" s="36">
        <f t="shared" si="83"/>
        <v>2.1162000000000001</v>
      </c>
      <c r="BV361" s="39">
        <f t="shared" si="84"/>
        <v>0.86241747493683263</v>
      </c>
      <c r="BW361" s="39">
        <f t="shared" si="85"/>
        <v>1</v>
      </c>
      <c r="BX361" s="40">
        <f t="shared" si="86"/>
        <v>2.2359290670778721E-2</v>
      </c>
      <c r="BY361" s="40">
        <f t="shared" si="87"/>
        <v>1.5420200462606014E-2</v>
      </c>
      <c r="BZ361" t="str">
        <f t="shared" si="88"/>
        <v>OK</v>
      </c>
      <c r="CA361">
        <f t="shared" si="89"/>
        <v>1</v>
      </c>
    </row>
    <row r="362" spans="1:80" x14ac:dyDescent="0.25">
      <c r="A362" s="35">
        <v>45980</v>
      </c>
      <c r="B362" s="36">
        <v>8.9275000000000002</v>
      </c>
      <c r="C362" t="s">
        <v>113</v>
      </c>
      <c r="D362" t="s">
        <v>6</v>
      </c>
      <c r="E362" t="s">
        <v>147</v>
      </c>
      <c r="F362" t="s">
        <v>193</v>
      </c>
      <c r="G362">
        <v>2286</v>
      </c>
      <c r="H362">
        <v>2140110689</v>
      </c>
      <c r="I362" t="s">
        <v>194</v>
      </c>
      <c r="J362" s="37">
        <v>11550</v>
      </c>
      <c r="K362" s="37">
        <v>10</v>
      </c>
      <c r="M362">
        <v>4500</v>
      </c>
      <c r="O362">
        <v>145</v>
      </c>
      <c r="P362">
        <v>56</v>
      </c>
      <c r="Q362">
        <v>107</v>
      </c>
      <c r="T362">
        <v>8</v>
      </c>
      <c r="V362" t="s">
        <v>120</v>
      </c>
      <c r="Y362" s="38">
        <v>0.41944444444444451</v>
      </c>
      <c r="Z362" s="38">
        <v>0.79166666666666663</v>
      </c>
      <c r="AA362" t="s">
        <v>117</v>
      </c>
      <c r="AC362" t="s">
        <v>121</v>
      </c>
      <c r="AI362">
        <v>0.372</v>
      </c>
      <c r="AQ362">
        <v>0.186</v>
      </c>
      <c r="AR362">
        <v>0.55800000000000005</v>
      </c>
      <c r="AW362">
        <v>0.496</v>
      </c>
      <c r="BI362">
        <v>0.186</v>
      </c>
      <c r="BK362">
        <f>0</f>
        <v>0</v>
      </c>
      <c r="BL362">
        <f t="shared" si="75"/>
        <v>1.798</v>
      </c>
      <c r="BM362">
        <f t="shared" si="76"/>
        <v>0</v>
      </c>
      <c r="BN362">
        <f t="shared" si="77"/>
        <v>0</v>
      </c>
      <c r="BO362">
        <f t="shared" si="78"/>
        <v>1</v>
      </c>
      <c r="BP362" s="37">
        <f>IF($F362="","",IFERROR(INDEX(Familias!$C$5:$C$300,MATCH($F362,Familias!$A$5:$A$300,0)),""))</f>
        <v>1880</v>
      </c>
      <c r="BQ362" s="37">
        <f t="shared" si="79"/>
        <v>11560</v>
      </c>
      <c r="BR362" s="36">
        <f t="shared" si="80"/>
        <v>8.9275000000000002</v>
      </c>
      <c r="BS362" s="36">
        <f t="shared" si="81"/>
        <v>1.798</v>
      </c>
      <c r="BT362" s="36">
        <f t="shared" si="82"/>
        <v>7.1295000000000002</v>
      </c>
      <c r="BU362" s="36">
        <f t="shared" si="83"/>
        <v>6.1489000000000003</v>
      </c>
      <c r="BV362" s="39">
        <f t="shared" si="84"/>
        <v>0.86245879795217062</v>
      </c>
      <c r="BW362" s="39">
        <f t="shared" si="85"/>
        <v>0.99913494809688586</v>
      </c>
      <c r="BX362" s="40">
        <f t="shared" si="86"/>
        <v>4.4666666666666667E-2</v>
      </c>
      <c r="BY362" s="40">
        <f t="shared" si="87"/>
        <v>2.3777777777777776E-2</v>
      </c>
      <c r="BZ362" t="str">
        <f t="shared" si="88"/>
        <v>OK</v>
      </c>
      <c r="CA362">
        <f t="shared" si="89"/>
        <v>1</v>
      </c>
    </row>
    <row r="363" spans="1:80" x14ac:dyDescent="0.25">
      <c r="A363" s="35">
        <v>45980</v>
      </c>
      <c r="B363" s="36">
        <v>12</v>
      </c>
      <c r="C363" t="s">
        <v>119</v>
      </c>
      <c r="D363" t="s">
        <v>6</v>
      </c>
      <c r="E363" t="s">
        <v>147</v>
      </c>
      <c r="F363" t="s">
        <v>193</v>
      </c>
      <c r="G363">
        <v>2286</v>
      </c>
      <c r="H363">
        <v>2140110689</v>
      </c>
      <c r="I363" t="s">
        <v>194</v>
      </c>
      <c r="J363" s="37">
        <v>18150</v>
      </c>
      <c r="K363" s="37">
        <v>15</v>
      </c>
      <c r="M363">
        <v>6588</v>
      </c>
      <c r="O363">
        <v>14</v>
      </c>
      <c r="P363">
        <v>74</v>
      </c>
      <c r="Q363">
        <v>20</v>
      </c>
      <c r="T363">
        <v>12</v>
      </c>
      <c r="V363" t="s">
        <v>116</v>
      </c>
      <c r="Y363" s="38">
        <v>0.79166666666666663</v>
      </c>
      <c r="Z363" s="38">
        <v>0.29166666666666669</v>
      </c>
      <c r="AA363" t="s">
        <v>117</v>
      </c>
      <c r="AC363" t="s">
        <v>118</v>
      </c>
      <c r="AQ363">
        <v>0.25</v>
      </c>
      <c r="AR363">
        <v>0.75</v>
      </c>
      <c r="BI363">
        <v>0.33329999999999999</v>
      </c>
      <c r="BK363">
        <f>0</f>
        <v>0</v>
      </c>
      <c r="BL363">
        <f t="shared" si="75"/>
        <v>1.3332999999999999</v>
      </c>
      <c r="BM363">
        <f t="shared" si="76"/>
        <v>0</v>
      </c>
      <c r="BN363">
        <f t="shared" si="77"/>
        <v>0</v>
      </c>
      <c r="BO363">
        <f t="shared" si="78"/>
        <v>1</v>
      </c>
      <c r="BP363" s="37">
        <f>IF($F363="","",IFERROR(INDEX(Familias!$C$5:$C$300,MATCH($F363,Familias!$A$5:$A$300,0)),""))</f>
        <v>1880</v>
      </c>
      <c r="BQ363" s="37">
        <f t="shared" si="79"/>
        <v>18165</v>
      </c>
      <c r="BR363" s="36">
        <f t="shared" si="80"/>
        <v>12</v>
      </c>
      <c r="BS363" s="36">
        <f t="shared" si="81"/>
        <v>1.3332999999999999</v>
      </c>
      <c r="BT363" s="36">
        <f t="shared" si="82"/>
        <v>10.666700000000001</v>
      </c>
      <c r="BU363" s="36">
        <f t="shared" si="83"/>
        <v>9.6622000000000003</v>
      </c>
      <c r="BV363" s="39">
        <f t="shared" si="84"/>
        <v>0.90582841928618973</v>
      </c>
      <c r="BW363" s="39">
        <f t="shared" si="85"/>
        <v>0.9991742361684558</v>
      </c>
      <c r="BX363" s="40">
        <f t="shared" si="86"/>
        <v>1.3357619914996965E-2</v>
      </c>
      <c r="BY363" s="40">
        <f t="shared" si="87"/>
        <v>3.0358227079538553E-3</v>
      </c>
      <c r="BZ363" t="str">
        <f t="shared" si="88"/>
        <v>OK</v>
      </c>
      <c r="CA363">
        <f t="shared" si="89"/>
        <v>1</v>
      </c>
    </row>
    <row r="364" spans="1:80" x14ac:dyDescent="0.25">
      <c r="A364" s="35">
        <v>45981</v>
      </c>
      <c r="B364" s="36">
        <v>0.31290000000000001</v>
      </c>
      <c r="C364" t="s">
        <v>113</v>
      </c>
      <c r="D364" t="s">
        <v>6</v>
      </c>
      <c r="E364" t="s">
        <v>147</v>
      </c>
      <c r="F364" t="s">
        <v>193</v>
      </c>
      <c r="G364">
        <v>2286</v>
      </c>
      <c r="H364">
        <v>2140110689</v>
      </c>
      <c r="I364" t="s">
        <v>194</v>
      </c>
      <c r="J364" s="37">
        <v>300</v>
      </c>
      <c r="K364" s="37"/>
      <c r="M364">
        <v>70</v>
      </c>
      <c r="T364">
        <v>0</v>
      </c>
      <c r="V364" t="s">
        <v>120</v>
      </c>
      <c r="Y364" s="38">
        <v>0.29166666666666669</v>
      </c>
      <c r="Z364" s="38">
        <v>0.30486111111111108</v>
      </c>
      <c r="AA364" t="s">
        <v>117</v>
      </c>
      <c r="AC364" t="s">
        <v>136</v>
      </c>
      <c r="AG364">
        <v>1.2999999999999999E-2</v>
      </c>
      <c r="AN364">
        <v>2.6100000000000002E-2</v>
      </c>
      <c r="AQ364">
        <v>6.4999999999999997E-3</v>
      </c>
      <c r="AR364">
        <v>1.9599999999999999E-2</v>
      </c>
      <c r="BC364">
        <v>1.7399999999999999E-2</v>
      </c>
      <c r="BI364">
        <v>4.3E-3</v>
      </c>
      <c r="BJ364">
        <v>2.6100000000000002E-2</v>
      </c>
      <c r="BK364">
        <f>0</f>
        <v>0</v>
      </c>
      <c r="BL364">
        <f t="shared" si="75"/>
        <v>0.113</v>
      </c>
      <c r="BM364">
        <f t="shared" si="76"/>
        <v>0</v>
      </c>
      <c r="BN364">
        <f t="shared" si="77"/>
        <v>0</v>
      </c>
      <c r="BO364">
        <f t="shared" si="78"/>
        <v>1</v>
      </c>
      <c r="BP364" s="37">
        <f>IF($F364="","",IFERROR(INDEX(Familias!$C$5:$C$300,MATCH($F364,Familias!$A$5:$A$300,0)),""))</f>
        <v>1880</v>
      </c>
      <c r="BQ364" s="37">
        <f t="shared" si="79"/>
        <v>300</v>
      </c>
      <c r="BR364" s="36">
        <f t="shared" si="80"/>
        <v>0.31290000000000001</v>
      </c>
      <c r="BS364" s="36">
        <f t="shared" si="81"/>
        <v>0.113</v>
      </c>
      <c r="BT364" s="36">
        <f t="shared" si="82"/>
        <v>0.19989999999999999</v>
      </c>
      <c r="BU364" s="36">
        <f t="shared" si="83"/>
        <v>0.15959999999999999</v>
      </c>
      <c r="BV364" s="39">
        <f t="shared" si="84"/>
        <v>0.79839919959979988</v>
      </c>
      <c r="BW364" s="39">
        <f t="shared" si="85"/>
        <v>1</v>
      </c>
      <c r="BX364" s="40">
        <f t="shared" si="86"/>
        <v>0</v>
      </c>
      <c r="BY364" s="40">
        <f t="shared" si="87"/>
        <v>0</v>
      </c>
      <c r="BZ364" t="str">
        <f t="shared" si="88"/>
        <v>OK</v>
      </c>
      <c r="CA364">
        <f t="shared" si="89"/>
        <v>1</v>
      </c>
    </row>
    <row r="365" spans="1:80" x14ac:dyDescent="0.25">
      <c r="A365" s="35">
        <v>45981</v>
      </c>
      <c r="B365" s="36">
        <v>5.7419000000000002</v>
      </c>
      <c r="C365" t="s">
        <v>113</v>
      </c>
      <c r="D365" t="s">
        <v>6</v>
      </c>
      <c r="E365" t="s">
        <v>147</v>
      </c>
      <c r="F365" t="s">
        <v>193</v>
      </c>
      <c r="G365">
        <v>2301</v>
      </c>
      <c r="H365">
        <v>2140110687</v>
      </c>
      <c r="I365" t="s">
        <v>196</v>
      </c>
      <c r="J365" s="37">
        <v>5500</v>
      </c>
      <c r="K365" s="37">
        <v>5</v>
      </c>
      <c r="M365">
        <v>2089</v>
      </c>
      <c r="O365">
        <v>25</v>
      </c>
      <c r="P365">
        <v>28</v>
      </c>
      <c r="Q365">
        <v>29</v>
      </c>
      <c r="R365">
        <v>10</v>
      </c>
      <c r="T365">
        <v>4</v>
      </c>
      <c r="V365" t="s">
        <v>120</v>
      </c>
      <c r="Y365" s="38">
        <v>0.30486111111111108</v>
      </c>
      <c r="Z365" s="38">
        <v>0.54374999999999996</v>
      </c>
      <c r="AA365" t="s">
        <v>117</v>
      </c>
      <c r="AC365" t="s">
        <v>136</v>
      </c>
      <c r="AG365">
        <v>0.2392</v>
      </c>
      <c r="AN365">
        <v>0.47849999999999998</v>
      </c>
      <c r="AQ365">
        <v>0.1196</v>
      </c>
      <c r="AR365">
        <v>0.3589</v>
      </c>
      <c r="BC365">
        <v>0.31900000000000001</v>
      </c>
      <c r="BI365">
        <v>7.9699999999999993E-2</v>
      </c>
      <c r="BJ365">
        <v>0.47849999999999998</v>
      </c>
      <c r="BK365">
        <f>0</f>
        <v>0</v>
      </c>
      <c r="BL365">
        <f t="shared" si="75"/>
        <v>2.0733999999999999</v>
      </c>
      <c r="BM365">
        <f t="shared" si="76"/>
        <v>0</v>
      </c>
      <c r="BN365">
        <f t="shared" si="77"/>
        <v>0</v>
      </c>
      <c r="BO365">
        <f t="shared" si="78"/>
        <v>1</v>
      </c>
      <c r="BP365" s="37">
        <f>IF($F365="","",IFERROR(INDEX(Familias!$C$5:$C$300,MATCH($F365,Familias!$A$5:$A$300,0)),""))</f>
        <v>1880</v>
      </c>
      <c r="BQ365" s="37">
        <f t="shared" si="79"/>
        <v>5505</v>
      </c>
      <c r="BR365" s="36">
        <f t="shared" si="80"/>
        <v>5.7419000000000002</v>
      </c>
      <c r="BS365" s="36">
        <f t="shared" si="81"/>
        <v>2.0733999999999999</v>
      </c>
      <c r="BT365" s="36">
        <f t="shared" si="82"/>
        <v>3.6684999999999999</v>
      </c>
      <c r="BU365" s="36">
        <f t="shared" si="83"/>
        <v>2.9281999999999999</v>
      </c>
      <c r="BV365" s="39">
        <f t="shared" si="84"/>
        <v>0.79820089955022488</v>
      </c>
      <c r="BW365" s="39">
        <f t="shared" si="85"/>
        <v>0.99909173478655766</v>
      </c>
      <c r="BX365" s="40">
        <f t="shared" si="86"/>
        <v>3.0157970320727621E-2</v>
      </c>
      <c r="BY365" s="40">
        <f t="shared" si="87"/>
        <v>1.3882240306366683E-2</v>
      </c>
      <c r="BZ365" t="str">
        <f t="shared" si="88"/>
        <v>OK</v>
      </c>
      <c r="CA365">
        <f t="shared" si="89"/>
        <v>1</v>
      </c>
    </row>
    <row r="366" spans="1:80" x14ac:dyDescent="0.25">
      <c r="A366" s="35">
        <v>45981</v>
      </c>
      <c r="B366" s="36">
        <v>5.9451999999999998</v>
      </c>
      <c r="C366" t="s">
        <v>113</v>
      </c>
      <c r="D366" t="s">
        <v>6</v>
      </c>
      <c r="E366" t="s">
        <v>147</v>
      </c>
      <c r="F366" t="s">
        <v>193</v>
      </c>
      <c r="G366">
        <v>2327</v>
      </c>
      <c r="H366">
        <v>2140110728</v>
      </c>
      <c r="I366" t="s">
        <v>214</v>
      </c>
      <c r="J366" s="37">
        <v>5700</v>
      </c>
      <c r="K366" s="37"/>
      <c r="M366">
        <v>2222</v>
      </c>
      <c r="O366">
        <v>100</v>
      </c>
      <c r="P366">
        <v>32</v>
      </c>
      <c r="T366">
        <v>4</v>
      </c>
      <c r="V366" t="s">
        <v>120</v>
      </c>
      <c r="Y366" s="38">
        <v>0.54374999999999996</v>
      </c>
      <c r="Z366" s="38">
        <v>0.79166666666666663</v>
      </c>
      <c r="AA366" t="s">
        <v>117</v>
      </c>
      <c r="AC366" t="s">
        <v>136</v>
      </c>
      <c r="AG366">
        <v>0.2477</v>
      </c>
      <c r="AN366">
        <v>0.49540000000000001</v>
      </c>
      <c r="AQ366">
        <v>0.1239</v>
      </c>
      <c r="AR366">
        <v>0.37159999999999999</v>
      </c>
      <c r="BC366">
        <v>0.33029999999999998</v>
      </c>
      <c r="BI366">
        <v>8.2600000000000007E-2</v>
      </c>
      <c r="BJ366">
        <v>0.49540000000000001</v>
      </c>
      <c r="BK366">
        <f>0</f>
        <v>0</v>
      </c>
      <c r="BL366">
        <f t="shared" si="75"/>
        <v>2.1469</v>
      </c>
      <c r="BM366">
        <f t="shared" si="76"/>
        <v>0</v>
      </c>
      <c r="BN366">
        <f t="shared" si="77"/>
        <v>0</v>
      </c>
      <c r="BO366">
        <f t="shared" si="78"/>
        <v>1</v>
      </c>
      <c r="BP366" s="37">
        <f>IF($F366="","",IFERROR(INDEX(Familias!$C$5:$C$300,MATCH($F366,Familias!$A$5:$A$300,0)),""))</f>
        <v>1880</v>
      </c>
      <c r="BQ366" s="37">
        <f t="shared" si="79"/>
        <v>5700</v>
      </c>
      <c r="BR366" s="36">
        <f t="shared" si="80"/>
        <v>5.9451999999999998</v>
      </c>
      <c r="BS366" s="36">
        <f t="shared" si="81"/>
        <v>2.1469</v>
      </c>
      <c r="BT366" s="36">
        <f t="shared" si="82"/>
        <v>3.7982999999999998</v>
      </c>
      <c r="BU366" s="36">
        <f t="shared" si="83"/>
        <v>3.0318999999999998</v>
      </c>
      <c r="BV366" s="39">
        <f t="shared" si="84"/>
        <v>0.79822552194402763</v>
      </c>
      <c r="BW366" s="39">
        <f t="shared" si="85"/>
        <v>1</v>
      </c>
      <c r="BX366" s="40">
        <f t="shared" si="86"/>
        <v>5.9405940594059403E-2</v>
      </c>
      <c r="BY366" s="40">
        <f t="shared" si="87"/>
        <v>0</v>
      </c>
      <c r="BZ366" t="str">
        <f t="shared" si="88"/>
        <v>OK</v>
      </c>
      <c r="CA366">
        <f t="shared" si="89"/>
        <v>1</v>
      </c>
    </row>
    <row r="367" spans="1:80" x14ac:dyDescent="0.25">
      <c r="A367" s="35">
        <v>45981</v>
      </c>
      <c r="B367" s="36">
        <v>12</v>
      </c>
      <c r="C367" t="s">
        <v>119</v>
      </c>
      <c r="D367" t="s">
        <v>6</v>
      </c>
      <c r="E367" t="s">
        <v>147</v>
      </c>
      <c r="F367" t="s">
        <v>193</v>
      </c>
      <c r="G367">
        <v>2327</v>
      </c>
      <c r="H367">
        <v>2140110728</v>
      </c>
      <c r="I367" t="s">
        <v>214</v>
      </c>
      <c r="J367" s="37">
        <v>17550</v>
      </c>
      <c r="K367" s="37">
        <v>7</v>
      </c>
      <c r="M367">
        <v>6458</v>
      </c>
      <c r="O367">
        <v>70</v>
      </c>
      <c r="P367">
        <v>68</v>
      </c>
      <c r="Q367">
        <v>136</v>
      </c>
      <c r="T367">
        <v>11</v>
      </c>
      <c r="V367" t="s">
        <v>116</v>
      </c>
      <c r="Y367" s="38">
        <v>0.79166666666666663</v>
      </c>
      <c r="Z367" s="38">
        <v>0.29166666666666669</v>
      </c>
      <c r="AA367" t="s">
        <v>117</v>
      </c>
      <c r="AC367" t="s">
        <v>118</v>
      </c>
      <c r="AQ367">
        <v>0.25</v>
      </c>
      <c r="AR367">
        <v>0.75</v>
      </c>
      <c r="BI367">
        <v>0.33329999999999999</v>
      </c>
      <c r="BK367">
        <f>0</f>
        <v>0</v>
      </c>
      <c r="BL367">
        <f t="shared" si="75"/>
        <v>1.3332999999999999</v>
      </c>
      <c r="BM367">
        <f t="shared" si="76"/>
        <v>0</v>
      </c>
      <c r="BN367">
        <f t="shared" si="77"/>
        <v>0</v>
      </c>
      <c r="BO367">
        <f t="shared" si="78"/>
        <v>1</v>
      </c>
      <c r="BP367" s="37">
        <f>IF($F367="","",IFERROR(INDEX(Familias!$C$5:$C$300,MATCH($F367,Familias!$A$5:$A$300,0)),""))</f>
        <v>1880</v>
      </c>
      <c r="BQ367" s="37">
        <f t="shared" si="79"/>
        <v>17557</v>
      </c>
      <c r="BR367" s="36">
        <f t="shared" si="80"/>
        <v>12</v>
      </c>
      <c r="BS367" s="36">
        <f t="shared" si="81"/>
        <v>1.3332999999999999</v>
      </c>
      <c r="BT367" s="36">
        <f t="shared" si="82"/>
        <v>10.666700000000001</v>
      </c>
      <c r="BU367" s="36">
        <f t="shared" si="83"/>
        <v>9.3388000000000009</v>
      </c>
      <c r="BV367" s="39">
        <f t="shared" si="84"/>
        <v>0.87550976403198744</v>
      </c>
      <c r="BW367" s="39">
        <f t="shared" si="85"/>
        <v>0.99960129862732816</v>
      </c>
      <c r="BX367" s="40">
        <f t="shared" si="86"/>
        <v>2.136884484360483E-2</v>
      </c>
      <c r="BY367" s="40">
        <f t="shared" si="87"/>
        <v>2.1059151440074326E-2</v>
      </c>
      <c r="BZ367" t="str">
        <f t="shared" si="88"/>
        <v>OK</v>
      </c>
      <c r="CA367">
        <f t="shared" si="89"/>
        <v>1</v>
      </c>
    </row>
    <row r="368" spans="1:80" x14ac:dyDescent="0.25">
      <c r="A368" s="35">
        <v>45982</v>
      </c>
      <c r="B368" s="36">
        <v>12</v>
      </c>
      <c r="C368" t="s">
        <v>113</v>
      </c>
      <c r="D368" t="s">
        <v>6</v>
      </c>
      <c r="E368" t="s">
        <v>147</v>
      </c>
      <c r="F368" t="s">
        <v>193</v>
      </c>
      <c r="G368">
        <v>2327</v>
      </c>
      <c r="H368">
        <v>2140110728</v>
      </c>
      <c r="I368" t="s">
        <v>214</v>
      </c>
      <c r="J368" s="37">
        <v>15300</v>
      </c>
      <c r="K368" s="37">
        <v>11</v>
      </c>
      <c r="M368">
        <v>5631</v>
      </c>
      <c r="O368">
        <v>50</v>
      </c>
      <c r="P368">
        <v>70</v>
      </c>
      <c r="Q368">
        <v>46</v>
      </c>
      <c r="T368">
        <v>10</v>
      </c>
      <c r="V368" t="s">
        <v>120</v>
      </c>
      <c r="Y368" s="38">
        <v>0.29166666666666669</v>
      </c>
      <c r="Z368" s="38">
        <v>0.79166666666666663</v>
      </c>
      <c r="AA368" t="s">
        <v>117</v>
      </c>
      <c r="AC368" t="s">
        <v>118</v>
      </c>
      <c r="AO368">
        <v>1</v>
      </c>
      <c r="AQ368">
        <v>0.25</v>
      </c>
      <c r="AR368">
        <v>0.75</v>
      </c>
      <c r="BI368">
        <v>0.33329999999999999</v>
      </c>
      <c r="BK368">
        <f>0</f>
        <v>0</v>
      </c>
      <c r="BL368">
        <f t="shared" si="75"/>
        <v>2.3332999999999999</v>
      </c>
      <c r="BM368">
        <f t="shared" si="76"/>
        <v>0</v>
      </c>
      <c r="BN368">
        <f t="shared" si="77"/>
        <v>0</v>
      </c>
      <c r="BO368">
        <f t="shared" si="78"/>
        <v>1</v>
      </c>
      <c r="BP368" s="37">
        <f>IF($F368="","",IFERROR(INDEX(Familias!$C$5:$C$300,MATCH($F368,Familias!$A$5:$A$300,0)),""))</f>
        <v>1880</v>
      </c>
      <c r="BQ368" s="37">
        <f t="shared" si="79"/>
        <v>15311</v>
      </c>
      <c r="BR368" s="36">
        <f t="shared" si="80"/>
        <v>12</v>
      </c>
      <c r="BS368" s="36">
        <f t="shared" si="81"/>
        <v>2.3332999999999999</v>
      </c>
      <c r="BT368" s="36">
        <f t="shared" si="82"/>
        <v>9.6667000000000005</v>
      </c>
      <c r="BU368" s="36">
        <f t="shared" si="83"/>
        <v>8.1440999999999999</v>
      </c>
      <c r="BV368" s="39">
        <f t="shared" si="84"/>
        <v>0.84249019830966099</v>
      </c>
      <c r="BW368" s="39">
        <f t="shared" si="85"/>
        <v>0.99928156227548826</v>
      </c>
      <c r="BX368" s="40">
        <f t="shared" si="86"/>
        <v>2.1310602024507193E-2</v>
      </c>
      <c r="BY368" s="40">
        <f t="shared" si="87"/>
        <v>8.1690641093944243E-3</v>
      </c>
      <c r="BZ368" t="str">
        <f t="shared" si="88"/>
        <v>OK</v>
      </c>
      <c r="CA368">
        <f t="shared" si="89"/>
        <v>1</v>
      </c>
    </row>
    <row r="369" spans="1:80" x14ac:dyDescent="0.25">
      <c r="A369" s="35">
        <v>45982</v>
      </c>
      <c r="B369" s="36">
        <v>12</v>
      </c>
      <c r="C369" t="s">
        <v>119</v>
      </c>
      <c r="D369" t="s">
        <v>6</v>
      </c>
      <c r="E369" t="s">
        <v>147</v>
      </c>
      <c r="F369" t="s">
        <v>193</v>
      </c>
      <c r="G369">
        <v>2327</v>
      </c>
      <c r="H369">
        <v>2140110728</v>
      </c>
      <c r="I369" t="s">
        <v>214</v>
      </c>
      <c r="J369" s="37">
        <v>12650</v>
      </c>
      <c r="K369" s="37">
        <v>20</v>
      </c>
      <c r="M369">
        <v>4870</v>
      </c>
      <c r="O369">
        <v>100</v>
      </c>
      <c r="P369">
        <v>48</v>
      </c>
      <c r="Q369">
        <v>136</v>
      </c>
      <c r="T369">
        <v>9</v>
      </c>
      <c r="V369" t="s">
        <v>116</v>
      </c>
      <c r="Y369" s="38">
        <v>0.79166666666666663</v>
      </c>
      <c r="Z369" s="38">
        <v>0.29166666666666669</v>
      </c>
      <c r="AA369" t="s">
        <v>117</v>
      </c>
      <c r="AC369" t="s">
        <v>118</v>
      </c>
      <c r="AR369">
        <v>0.75</v>
      </c>
      <c r="AS369">
        <v>0.66669999999999996</v>
      </c>
      <c r="BC369">
        <v>2</v>
      </c>
      <c r="BI369">
        <v>0.5</v>
      </c>
      <c r="BK369">
        <f>0</f>
        <v>0</v>
      </c>
      <c r="BL369">
        <f t="shared" si="75"/>
        <v>3.9167000000000001</v>
      </c>
      <c r="BM369">
        <f t="shared" si="76"/>
        <v>0</v>
      </c>
      <c r="BN369">
        <f t="shared" si="77"/>
        <v>0</v>
      </c>
      <c r="BO369">
        <f t="shared" si="78"/>
        <v>1</v>
      </c>
      <c r="BP369" s="37">
        <f>IF($F369="","",IFERROR(INDEX(Familias!$C$5:$C$300,MATCH($F369,Familias!$A$5:$A$300,0)),""))</f>
        <v>1880</v>
      </c>
      <c r="BQ369" s="37">
        <f t="shared" si="79"/>
        <v>12670</v>
      </c>
      <c r="BR369" s="36">
        <f t="shared" si="80"/>
        <v>12</v>
      </c>
      <c r="BS369" s="36">
        <f t="shared" si="81"/>
        <v>3.9167000000000001</v>
      </c>
      <c r="BT369" s="36">
        <f t="shared" si="82"/>
        <v>8.0832999999999995</v>
      </c>
      <c r="BU369" s="36">
        <f t="shared" si="83"/>
        <v>6.7393999999999998</v>
      </c>
      <c r="BV369" s="39">
        <f t="shared" si="84"/>
        <v>0.83374364430368786</v>
      </c>
      <c r="BW369" s="39">
        <f t="shared" si="85"/>
        <v>0.99842146803472775</v>
      </c>
      <c r="BX369" s="40">
        <f t="shared" si="86"/>
        <v>3.0390143737166326E-2</v>
      </c>
      <c r="BY369" s="40">
        <f t="shared" si="87"/>
        <v>2.7926078028747435E-2</v>
      </c>
      <c r="BZ369" t="str">
        <f t="shared" si="88"/>
        <v>OK</v>
      </c>
      <c r="CA369">
        <f t="shared" si="89"/>
        <v>1</v>
      </c>
    </row>
    <row r="370" spans="1:80" x14ac:dyDescent="0.25">
      <c r="A370" s="35">
        <v>45985</v>
      </c>
      <c r="B370" s="36">
        <v>12</v>
      </c>
      <c r="C370" t="s">
        <v>113</v>
      </c>
      <c r="D370" t="s">
        <v>6</v>
      </c>
      <c r="E370" t="s">
        <v>147</v>
      </c>
      <c r="F370" t="s">
        <v>193</v>
      </c>
      <c r="G370">
        <v>2327</v>
      </c>
      <c r="H370">
        <v>2140110728</v>
      </c>
      <c r="I370" t="s">
        <v>214</v>
      </c>
      <c r="J370" s="37">
        <v>16600</v>
      </c>
      <c r="K370" s="37">
        <v>25</v>
      </c>
      <c r="M370">
        <v>6300</v>
      </c>
      <c r="O370">
        <v>100</v>
      </c>
      <c r="P370">
        <v>45</v>
      </c>
      <c r="Q370">
        <v>139</v>
      </c>
      <c r="T370">
        <v>11</v>
      </c>
      <c r="V370" t="s">
        <v>116</v>
      </c>
      <c r="Y370" s="38">
        <v>0.29166666666666669</v>
      </c>
      <c r="Z370" s="38">
        <v>0.79166666666666663</v>
      </c>
      <c r="AA370" t="s">
        <v>117</v>
      </c>
      <c r="AC370" t="s">
        <v>118</v>
      </c>
      <c r="AD370">
        <v>1</v>
      </c>
      <c r="AO370">
        <v>0.5</v>
      </c>
      <c r="AQ370">
        <v>0.25</v>
      </c>
      <c r="AR370">
        <v>0.75</v>
      </c>
      <c r="BK370">
        <f>0</f>
        <v>0</v>
      </c>
      <c r="BL370">
        <f t="shared" si="75"/>
        <v>2.5</v>
      </c>
      <c r="BM370">
        <f t="shared" si="76"/>
        <v>0</v>
      </c>
      <c r="BN370">
        <f t="shared" si="77"/>
        <v>0</v>
      </c>
      <c r="BO370">
        <f t="shared" si="78"/>
        <v>1</v>
      </c>
      <c r="BP370" s="37">
        <f>IF($F370="","",IFERROR(INDEX(Familias!$C$5:$C$300,MATCH($F370,Familias!$A$5:$A$300,0)),""))</f>
        <v>1880</v>
      </c>
      <c r="BQ370" s="37">
        <f t="shared" si="79"/>
        <v>16625</v>
      </c>
      <c r="BR370" s="36">
        <f t="shared" si="80"/>
        <v>12</v>
      </c>
      <c r="BS370" s="36">
        <f t="shared" si="81"/>
        <v>2.5</v>
      </c>
      <c r="BT370" s="36">
        <f t="shared" si="82"/>
        <v>9.5</v>
      </c>
      <c r="BU370" s="36">
        <f t="shared" si="83"/>
        <v>8.8430999999999997</v>
      </c>
      <c r="BV370" s="39">
        <f t="shared" si="84"/>
        <v>0.93085263157894738</v>
      </c>
      <c r="BW370" s="39">
        <f t="shared" si="85"/>
        <v>0.99849624060150377</v>
      </c>
      <c r="BX370" s="40">
        <f t="shared" si="86"/>
        <v>2.3015873015873017E-2</v>
      </c>
      <c r="BY370" s="40">
        <f t="shared" si="87"/>
        <v>2.2063492063492063E-2</v>
      </c>
      <c r="BZ370" t="str">
        <f t="shared" si="88"/>
        <v>OK</v>
      </c>
      <c r="CA370">
        <f t="shared" si="89"/>
        <v>1</v>
      </c>
    </row>
    <row r="371" spans="1:80" x14ac:dyDescent="0.25">
      <c r="A371" s="35">
        <v>45985</v>
      </c>
      <c r="B371" s="36">
        <v>12</v>
      </c>
      <c r="C371" t="s">
        <v>119</v>
      </c>
      <c r="D371" t="s">
        <v>6</v>
      </c>
      <c r="E371" t="s">
        <v>147</v>
      </c>
      <c r="F371" t="s">
        <v>193</v>
      </c>
      <c r="G371">
        <v>2327</v>
      </c>
      <c r="H371">
        <v>2140110728</v>
      </c>
      <c r="I371" t="s">
        <v>214</v>
      </c>
      <c r="J371" s="37">
        <v>14100</v>
      </c>
      <c r="K371" s="37">
        <v>4</v>
      </c>
      <c r="M371">
        <v>5364</v>
      </c>
      <c r="O371">
        <v>95</v>
      </c>
      <c r="P371">
        <v>70</v>
      </c>
      <c r="Q371">
        <v>149</v>
      </c>
      <c r="T371">
        <v>10</v>
      </c>
      <c r="V371" t="s">
        <v>120</v>
      </c>
      <c r="Y371" s="38">
        <v>0.79166666666666663</v>
      </c>
      <c r="Z371" s="38">
        <v>0.29166666666666669</v>
      </c>
      <c r="AA371" t="s">
        <v>117</v>
      </c>
      <c r="AC371" t="s">
        <v>118</v>
      </c>
      <c r="AM371">
        <v>0.33329999999999999</v>
      </c>
      <c r="AQ371">
        <v>0.25</v>
      </c>
      <c r="AR371">
        <v>0.75</v>
      </c>
      <c r="AS371">
        <v>1</v>
      </c>
      <c r="BI371">
        <v>0.33329999999999999</v>
      </c>
      <c r="BK371">
        <f>0</f>
        <v>0</v>
      </c>
      <c r="BL371">
        <f t="shared" si="75"/>
        <v>2.6665999999999999</v>
      </c>
      <c r="BM371">
        <f t="shared" si="76"/>
        <v>0</v>
      </c>
      <c r="BN371">
        <f t="shared" si="77"/>
        <v>0</v>
      </c>
      <c r="BO371">
        <f t="shared" si="78"/>
        <v>1</v>
      </c>
      <c r="BP371" s="37">
        <f>IF($F371="","",IFERROR(INDEX(Familias!$C$5:$C$300,MATCH($F371,Familias!$A$5:$A$300,0)),""))</f>
        <v>1880</v>
      </c>
      <c r="BQ371" s="37">
        <f t="shared" si="79"/>
        <v>14104</v>
      </c>
      <c r="BR371" s="36">
        <f t="shared" si="80"/>
        <v>12</v>
      </c>
      <c r="BS371" s="36">
        <f t="shared" si="81"/>
        <v>2.6665999999999999</v>
      </c>
      <c r="BT371" s="36">
        <f t="shared" si="82"/>
        <v>9.3333999999999993</v>
      </c>
      <c r="BU371" s="36">
        <f t="shared" si="83"/>
        <v>7.5021000000000004</v>
      </c>
      <c r="BV371" s="39">
        <f t="shared" si="84"/>
        <v>0.80379068720937719</v>
      </c>
      <c r="BW371" s="39">
        <f t="shared" si="85"/>
        <v>0.99971639251276234</v>
      </c>
      <c r="BX371" s="40">
        <f t="shared" si="86"/>
        <v>3.076062639821029E-2</v>
      </c>
      <c r="BY371" s="40">
        <f t="shared" si="87"/>
        <v>2.7777777777777776E-2</v>
      </c>
      <c r="BZ371" t="str">
        <f t="shared" si="88"/>
        <v>OK</v>
      </c>
      <c r="CA371">
        <f t="shared" si="89"/>
        <v>1</v>
      </c>
    </row>
    <row r="372" spans="1:80" x14ac:dyDescent="0.25">
      <c r="A372" s="35">
        <v>45986</v>
      </c>
      <c r="B372" s="36">
        <v>12</v>
      </c>
      <c r="C372" t="s">
        <v>113</v>
      </c>
      <c r="D372" t="s">
        <v>6</v>
      </c>
      <c r="E372" t="s">
        <v>147</v>
      </c>
      <c r="F372" t="s">
        <v>193</v>
      </c>
      <c r="G372">
        <v>2327</v>
      </c>
      <c r="H372">
        <v>2140110728</v>
      </c>
      <c r="I372" t="s">
        <v>214</v>
      </c>
      <c r="J372" s="37">
        <v>13200</v>
      </c>
      <c r="K372" s="37">
        <v>30</v>
      </c>
      <c r="M372">
        <v>5229</v>
      </c>
      <c r="O372">
        <v>160</v>
      </c>
      <c r="P372">
        <v>72</v>
      </c>
      <c r="Q372">
        <v>181</v>
      </c>
      <c r="T372">
        <v>9</v>
      </c>
      <c r="V372" t="s">
        <v>116</v>
      </c>
      <c r="Y372" s="38">
        <v>0.29166666666666669</v>
      </c>
      <c r="Z372" s="38">
        <v>0.79166666666666663</v>
      </c>
      <c r="AA372" t="s">
        <v>117</v>
      </c>
      <c r="AC372" t="s">
        <v>118</v>
      </c>
      <c r="AO372">
        <v>0.75</v>
      </c>
      <c r="AQ372">
        <v>0.25</v>
      </c>
      <c r="AR372">
        <v>0.75</v>
      </c>
      <c r="BI372">
        <v>0.5</v>
      </c>
      <c r="BK372">
        <f>0</f>
        <v>0</v>
      </c>
      <c r="BL372">
        <f t="shared" si="75"/>
        <v>2.25</v>
      </c>
      <c r="BM372">
        <f t="shared" si="76"/>
        <v>0</v>
      </c>
      <c r="BN372">
        <f t="shared" si="77"/>
        <v>0</v>
      </c>
      <c r="BO372">
        <f t="shared" si="78"/>
        <v>1</v>
      </c>
      <c r="BP372" s="37">
        <f>IF($F372="","",IFERROR(INDEX(Familias!$C$5:$C$300,MATCH($F372,Familias!$A$5:$A$300,0)),""))</f>
        <v>1880</v>
      </c>
      <c r="BQ372" s="37">
        <f t="shared" si="79"/>
        <v>13230</v>
      </c>
      <c r="BR372" s="36">
        <f t="shared" si="80"/>
        <v>12</v>
      </c>
      <c r="BS372" s="36">
        <f t="shared" si="81"/>
        <v>2.25</v>
      </c>
      <c r="BT372" s="36">
        <f t="shared" si="82"/>
        <v>9.75</v>
      </c>
      <c r="BU372" s="36">
        <f t="shared" si="83"/>
        <v>7.0372000000000003</v>
      </c>
      <c r="BV372" s="39">
        <f t="shared" si="84"/>
        <v>0.72176410256410262</v>
      </c>
      <c r="BW372" s="39">
        <f t="shared" si="85"/>
        <v>0.99773242630385484</v>
      </c>
      <c r="BX372" s="40">
        <f t="shared" si="86"/>
        <v>4.4367947982405814E-2</v>
      </c>
      <c r="BY372" s="40">
        <f t="shared" si="87"/>
        <v>3.4614649072480401E-2</v>
      </c>
      <c r="BZ372" t="str">
        <f t="shared" si="88"/>
        <v>OK</v>
      </c>
      <c r="CA372">
        <f t="shared" si="89"/>
        <v>1</v>
      </c>
    </row>
    <row r="373" spans="1:80" x14ac:dyDescent="0.25">
      <c r="A373" s="35">
        <v>45986</v>
      </c>
      <c r="B373" s="36">
        <v>12</v>
      </c>
      <c r="C373" t="s">
        <v>119</v>
      </c>
      <c r="D373" t="s">
        <v>6</v>
      </c>
      <c r="E373" t="s">
        <v>147</v>
      </c>
      <c r="F373" t="s">
        <v>193</v>
      </c>
      <c r="G373">
        <v>2327</v>
      </c>
      <c r="H373">
        <v>2140110728</v>
      </c>
      <c r="I373" t="s">
        <v>214</v>
      </c>
      <c r="J373" s="37">
        <v>14400</v>
      </c>
      <c r="K373" s="37"/>
      <c r="M373">
        <v>5613</v>
      </c>
      <c r="P373">
        <v>70</v>
      </c>
      <c r="Q373">
        <v>389</v>
      </c>
      <c r="T373">
        <v>10</v>
      </c>
      <c r="V373" t="s">
        <v>120</v>
      </c>
      <c r="Y373" s="38">
        <v>0.79166666666666663</v>
      </c>
      <c r="Z373" s="38">
        <v>0.29166666666666669</v>
      </c>
      <c r="AA373" t="s">
        <v>117</v>
      </c>
      <c r="AC373" t="s">
        <v>118</v>
      </c>
      <c r="AQ373">
        <v>0.25</v>
      </c>
      <c r="AR373">
        <v>0.75</v>
      </c>
      <c r="BI373">
        <v>0.33329999999999999</v>
      </c>
      <c r="BK373">
        <f>0</f>
        <v>0</v>
      </c>
      <c r="BL373">
        <f t="shared" si="75"/>
        <v>1.3332999999999999</v>
      </c>
      <c r="BM373">
        <f t="shared" si="76"/>
        <v>0</v>
      </c>
      <c r="BN373">
        <f t="shared" si="77"/>
        <v>0</v>
      </c>
      <c r="BO373">
        <f t="shared" si="78"/>
        <v>1</v>
      </c>
      <c r="BP373" s="37">
        <f>IF($F373="","",IFERROR(INDEX(Familias!$C$5:$C$300,MATCH($F373,Familias!$A$5:$A$300,0)),""))</f>
        <v>1880</v>
      </c>
      <c r="BQ373" s="37">
        <f t="shared" si="79"/>
        <v>14400</v>
      </c>
      <c r="BR373" s="36">
        <f t="shared" si="80"/>
        <v>12</v>
      </c>
      <c r="BS373" s="36">
        <f t="shared" si="81"/>
        <v>1.3332999999999999</v>
      </c>
      <c r="BT373" s="36">
        <f t="shared" si="82"/>
        <v>10.666700000000001</v>
      </c>
      <c r="BU373" s="36">
        <f t="shared" si="83"/>
        <v>7.6596000000000002</v>
      </c>
      <c r="BV373" s="39">
        <f t="shared" si="84"/>
        <v>0.71808525598357509</v>
      </c>
      <c r="BW373" s="39">
        <f t="shared" si="85"/>
        <v>1</v>
      </c>
      <c r="BX373" s="40">
        <f t="shared" si="86"/>
        <v>1.2471049349723855E-2</v>
      </c>
      <c r="BY373" s="40">
        <f t="shared" si="87"/>
        <v>6.9303402814894E-2</v>
      </c>
      <c r="BZ373" t="str">
        <f t="shared" si="88"/>
        <v>OK</v>
      </c>
      <c r="CA373">
        <f t="shared" si="89"/>
        <v>1</v>
      </c>
    </row>
    <row r="374" spans="1:80" x14ac:dyDescent="0.25">
      <c r="A374" s="35">
        <v>45987</v>
      </c>
      <c r="B374" s="36">
        <v>5.9219999999999997</v>
      </c>
      <c r="C374" t="s">
        <v>113</v>
      </c>
      <c r="D374" t="s">
        <v>6</v>
      </c>
      <c r="E374" t="s">
        <v>147</v>
      </c>
      <c r="F374" t="s">
        <v>193</v>
      </c>
      <c r="G374">
        <v>2327</v>
      </c>
      <c r="H374">
        <v>2140110728</v>
      </c>
      <c r="I374" t="s">
        <v>214</v>
      </c>
      <c r="J374" s="37">
        <v>1350</v>
      </c>
      <c r="K374" s="37">
        <v>8</v>
      </c>
      <c r="M374">
        <v>496</v>
      </c>
      <c r="O374">
        <v>30</v>
      </c>
      <c r="T374">
        <v>1</v>
      </c>
      <c r="V374" t="s">
        <v>116</v>
      </c>
      <c r="Y374" s="38">
        <v>0.29166666666666669</v>
      </c>
      <c r="Z374" s="38">
        <v>0.53819444444444442</v>
      </c>
      <c r="AA374" t="s">
        <v>200</v>
      </c>
      <c r="AB374" t="s">
        <v>201</v>
      </c>
      <c r="AC374" t="s">
        <v>121</v>
      </c>
      <c r="AR374">
        <v>0.37009999999999998</v>
      </c>
      <c r="AW374">
        <v>0.1234</v>
      </c>
      <c r="AZ374">
        <v>2.2700999999999998</v>
      </c>
      <c r="BI374">
        <v>0.2467</v>
      </c>
      <c r="BJ374">
        <v>0.98699999999999999</v>
      </c>
      <c r="BK374">
        <f>0</f>
        <v>0</v>
      </c>
      <c r="BL374">
        <f t="shared" si="75"/>
        <v>1.7271999999999998</v>
      </c>
      <c r="BM374">
        <f t="shared" si="76"/>
        <v>2.2700999999999998</v>
      </c>
      <c r="BN374">
        <f t="shared" si="77"/>
        <v>0</v>
      </c>
      <c r="BO374">
        <f t="shared" si="78"/>
        <v>1</v>
      </c>
      <c r="BP374" s="37">
        <f>IF($F374="","",IFERROR(INDEX(Familias!$C$5:$C$300,MATCH($F374,Familias!$A$5:$A$300,0)),""))</f>
        <v>1880</v>
      </c>
      <c r="BQ374" s="37">
        <f t="shared" si="79"/>
        <v>1358</v>
      </c>
      <c r="BR374" s="36">
        <f t="shared" si="80"/>
        <v>5.9219999999999997</v>
      </c>
      <c r="BS374" s="36">
        <f t="shared" si="81"/>
        <v>3.9973000000000001</v>
      </c>
      <c r="BT374" s="36">
        <f t="shared" si="82"/>
        <v>1.9247000000000001</v>
      </c>
      <c r="BU374" s="36">
        <f t="shared" si="83"/>
        <v>0.72230000000000005</v>
      </c>
      <c r="BV374" s="39">
        <f t="shared" si="84"/>
        <v>0.37527926430093</v>
      </c>
      <c r="BW374" s="39">
        <f t="shared" si="85"/>
        <v>0.99410898379970547</v>
      </c>
      <c r="BX374" s="40">
        <f t="shared" si="86"/>
        <v>6.0483870967741937E-2</v>
      </c>
      <c r="BY374" s="40">
        <f t="shared" si="87"/>
        <v>0</v>
      </c>
      <c r="BZ374" t="str">
        <f t="shared" si="88"/>
        <v>Paradas no digitadas</v>
      </c>
      <c r="CA374">
        <f t="shared" si="89"/>
        <v>0</v>
      </c>
    </row>
    <row r="375" spans="1:80" x14ac:dyDescent="0.25">
      <c r="A375" s="35">
        <v>45987</v>
      </c>
      <c r="B375" s="36">
        <v>6.0780000000000003</v>
      </c>
      <c r="C375" t="s">
        <v>113</v>
      </c>
      <c r="D375" t="s">
        <v>6</v>
      </c>
      <c r="E375" t="s">
        <v>126</v>
      </c>
      <c r="F375" t="s">
        <v>133</v>
      </c>
      <c r="G375">
        <v>3635</v>
      </c>
      <c r="H375">
        <v>2140110690</v>
      </c>
      <c r="I375" t="s">
        <v>215</v>
      </c>
      <c r="J375" s="37">
        <v>1700</v>
      </c>
      <c r="K375" s="37">
        <v>20</v>
      </c>
      <c r="M375">
        <v>641</v>
      </c>
      <c r="O375">
        <v>35</v>
      </c>
      <c r="R375">
        <v>40</v>
      </c>
      <c r="T375">
        <v>1</v>
      </c>
      <c r="V375" t="s">
        <v>116</v>
      </c>
      <c r="Y375" s="38">
        <v>0.53819444444444442</v>
      </c>
      <c r="Z375" s="38">
        <v>0.79166666666666663</v>
      </c>
      <c r="AA375" t="s">
        <v>200</v>
      </c>
      <c r="AC375" t="s">
        <v>121</v>
      </c>
      <c r="AR375">
        <v>0.37990000000000002</v>
      </c>
      <c r="AW375">
        <v>0.12659999999999999</v>
      </c>
      <c r="AZ375">
        <v>2.3298999999999999</v>
      </c>
      <c r="BI375">
        <v>0.25330000000000003</v>
      </c>
      <c r="BJ375">
        <v>1.0129999999999999</v>
      </c>
      <c r="BK375">
        <f>0</f>
        <v>0</v>
      </c>
      <c r="BL375">
        <f t="shared" si="75"/>
        <v>1.7727999999999999</v>
      </c>
      <c r="BM375">
        <f t="shared" si="76"/>
        <v>2.3298999999999999</v>
      </c>
      <c r="BN375">
        <f t="shared" si="77"/>
        <v>0</v>
      </c>
      <c r="BO375">
        <f t="shared" si="78"/>
        <v>1</v>
      </c>
      <c r="BP375" s="37">
        <f>IF($F375="","",IFERROR(INDEX(Familias!$C$5:$C$300,MATCH($F375,Familias!$A$5:$A$300,0)),""))</f>
        <v>2320</v>
      </c>
      <c r="BQ375" s="37">
        <f t="shared" si="79"/>
        <v>1720</v>
      </c>
      <c r="BR375" s="36">
        <f t="shared" si="80"/>
        <v>6.0780000000000003</v>
      </c>
      <c r="BS375" s="36">
        <f t="shared" si="81"/>
        <v>4.1026999999999996</v>
      </c>
      <c r="BT375" s="36">
        <f t="shared" si="82"/>
        <v>1.9753000000000001</v>
      </c>
      <c r="BU375" s="36">
        <f t="shared" si="83"/>
        <v>0.74139999999999995</v>
      </c>
      <c r="BV375" s="39">
        <f t="shared" si="84"/>
        <v>0.37533539209234035</v>
      </c>
      <c r="BW375" s="39">
        <f t="shared" si="85"/>
        <v>0.98837209302325579</v>
      </c>
      <c r="BX375" s="40">
        <f t="shared" si="86"/>
        <v>0.11700468018720749</v>
      </c>
      <c r="BY375" s="40">
        <f t="shared" si="87"/>
        <v>0</v>
      </c>
      <c r="BZ375" t="str">
        <f t="shared" si="88"/>
        <v>Paradas no digitadas</v>
      </c>
      <c r="CA375">
        <f t="shared" si="89"/>
        <v>0</v>
      </c>
    </row>
    <row r="376" spans="1:80" x14ac:dyDescent="0.25">
      <c r="A376" s="35">
        <v>45988</v>
      </c>
      <c r="B376" s="36">
        <v>12</v>
      </c>
      <c r="C376" t="s">
        <v>113</v>
      </c>
      <c r="D376" t="s">
        <v>6</v>
      </c>
      <c r="E376" t="s">
        <v>114</v>
      </c>
      <c r="F376" t="s">
        <v>210</v>
      </c>
      <c r="G376">
        <v>2412</v>
      </c>
      <c r="H376">
        <v>2140110703</v>
      </c>
      <c r="I376" t="s">
        <v>216</v>
      </c>
      <c r="J376" s="37">
        <v>12650</v>
      </c>
      <c r="K376" s="37">
        <v>30</v>
      </c>
      <c r="M376">
        <v>3622</v>
      </c>
      <c r="O376">
        <v>40</v>
      </c>
      <c r="P376">
        <v>24</v>
      </c>
      <c r="Q376">
        <v>293</v>
      </c>
      <c r="R376">
        <v>200</v>
      </c>
      <c r="T376">
        <v>5</v>
      </c>
      <c r="V376" t="s">
        <v>116</v>
      </c>
      <c r="Y376" s="38">
        <v>0.29166666666666669</v>
      </c>
      <c r="Z376" s="38">
        <v>0.79166666666666663</v>
      </c>
      <c r="AA376" t="s">
        <v>117</v>
      </c>
      <c r="AC376" t="s">
        <v>118</v>
      </c>
      <c r="AH376">
        <v>3</v>
      </c>
      <c r="AQ376">
        <v>0.25</v>
      </c>
      <c r="AR376">
        <v>0.75</v>
      </c>
      <c r="AW376">
        <v>2</v>
      </c>
      <c r="BK376">
        <f>0</f>
        <v>0</v>
      </c>
      <c r="BL376">
        <f t="shared" si="75"/>
        <v>6</v>
      </c>
      <c r="BM376">
        <f t="shared" si="76"/>
        <v>0</v>
      </c>
      <c r="BN376">
        <f t="shared" si="77"/>
        <v>0</v>
      </c>
      <c r="BO376">
        <f t="shared" si="78"/>
        <v>1</v>
      </c>
      <c r="BP376" s="37">
        <f>IF($F376="","",IFERROR(INDEX(Familias!$C$5:$C$300,MATCH($F376,Familias!$A$5:$A$300,0)),""))</f>
        <v>2520</v>
      </c>
      <c r="BQ376" s="37">
        <f t="shared" si="79"/>
        <v>12680</v>
      </c>
      <c r="BR376" s="36">
        <f t="shared" si="80"/>
        <v>12</v>
      </c>
      <c r="BS376" s="36">
        <f t="shared" si="81"/>
        <v>6</v>
      </c>
      <c r="BT376" s="36">
        <f t="shared" si="82"/>
        <v>6</v>
      </c>
      <c r="BU376" s="36">
        <f t="shared" si="83"/>
        <v>5.0316999999999998</v>
      </c>
      <c r="BV376" s="39">
        <f t="shared" si="84"/>
        <v>0.83861666666666668</v>
      </c>
      <c r="BW376" s="39">
        <f t="shared" si="85"/>
        <v>0.99763406940063093</v>
      </c>
      <c r="BX376" s="40">
        <f t="shared" si="86"/>
        <v>7.2887907233572607E-2</v>
      </c>
      <c r="BY376" s="40">
        <f t="shared" si="87"/>
        <v>8.0894533406957486E-2</v>
      </c>
      <c r="BZ376" t="str">
        <f t="shared" si="88"/>
        <v>OK</v>
      </c>
      <c r="CA376">
        <f t="shared" si="89"/>
        <v>1</v>
      </c>
    </row>
    <row r="377" spans="1:80" x14ac:dyDescent="0.25">
      <c r="A377" s="35">
        <v>45988</v>
      </c>
      <c r="B377" s="36">
        <v>12</v>
      </c>
      <c r="C377" t="s">
        <v>119</v>
      </c>
      <c r="D377" t="s">
        <v>6</v>
      </c>
      <c r="E377" t="s">
        <v>114</v>
      </c>
      <c r="F377" t="s">
        <v>210</v>
      </c>
      <c r="G377">
        <v>2412</v>
      </c>
      <c r="H377">
        <v>2140110703</v>
      </c>
      <c r="I377" t="s">
        <v>216</v>
      </c>
      <c r="J377" s="37">
        <v>22900</v>
      </c>
      <c r="K377" s="37"/>
      <c r="M377">
        <v>5390</v>
      </c>
      <c r="Q377">
        <v>173</v>
      </c>
      <c r="T377">
        <v>7</v>
      </c>
      <c r="V377" t="s">
        <v>120</v>
      </c>
      <c r="Y377" s="38">
        <v>0.79166666666666663</v>
      </c>
      <c r="Z377" s="38">
        <v>0.29166666666666669</v>
      </c>
      <c r="AA377" t="s">
        <v>117</v>
      </c>
      <c r="AC377" t="s">
        <v>118</v>
      </c>
      <c r="AQ377">
        <v>0.25</v>
      </c>
      <c r="AR377">
        <v>0.75</v>
      </c>
      <c r="BI377">
        <v>0.33329999999999999</v>
      </c>
      <c r="BK377">
        <f>0</f>
        <v>0</v>
      </c>
      <c r="BL377">
        <f t="shared" si="75"/>
        <v>1.3332999999999999</v>
      </c>
      <c r="BM377">
        <f t="shared" si="76"/>
        <v>0</v>
      </c>
      <c r="BN377">
        <f t="shared" si="77"/>
        <v>0</v>
      </c>
      <c r="BO377">
        <f t="shared" si="78"/>
        <v>1</v>
      </c>
      <c r="BP377" s="37">
        <f>IF($F377="","",IFERROR(INDEX(Familias!$C$5:$C$300,MATCH($F377,Familias!$A$5:$A$300,0)),""))</f>
        <v>2520</v>
      </c>
      <c r="BQ377" s="37">
        <f t="shared" si="79"/>
        <v>22900</v>
      </c>
      <c r="BR377" s="36">
        <f t="shared" si="80"/>
        <v>12</v>
      </c>
      <c r="BS377" s="36">
        <f t="shared" si="81"/>
        <v>1.3332999999999999</v>
      </c>
      <c r="BT377" s="36">
        <f t="shared" si="82"/>
        <v>10.666700000000001</v>
      </c>
      <c r="BU377" s="36">
        <f t="shared" si="83"/>
        <v>9.0873000000000008</v>
      </c>
      <c r="BV377" s="39">
        <f t="shared" si="84"/>
        <v>0.85193171271339785</v>
      </c>
      <c r="BW377" s="39">
        <f t="shared" si="85"/>
        <v>1</v>
      </c>
      <c r="BX377" s="40">
        <f t="shared" si="86"/>
        <v>0</v>
      </c>
      <c r="BY377" s="40">
        <f t="shared" si="87"/>
        <v>3.209647495361781E-2</v>
      </c>
      <c r="BZ377" t="str">
        <f t="shared" si="88"/>
        <v>OK</v>
      </c>
      <c r="CA377">
        <f t="shared" si="89"/>
        <v>1</v>
      </c>
    </row>
    <row r="378" spans="1:80" x14ac:dyDescent="0.25">
      <c r="A378" s="35">
        <v>45989</v>
      </c>
      <c r="B378" s="36">
        <v>12</v>
      </c>
      <c r="C378" t="s">
        <v>113</v>
      </c>
      <c r="D378" t="s">
        <v>6</v>
      </c>
      <c r="E378" t="s">
        <v>114</v>
      </c>
      <c r="F378" t="s">
        <v>210</v>
      </c>
      <c r="G378">
        <v>2412</v>
      </c>
      <c r="H378">
        <v>2140110703</v>
      </c>
      <c r="I378" t="s">
        <v>216</v>
      </c>
      <c r="J378" s="37">
        <v>17000</v>
      </c>
      <c r="K378" s="37">
        <v>25</v>
      </c>
      <c r="M378">
        <v>4404</v>
      </c>
      <c r="O378">
        <v>160</v>
      </c>
      <c r="P378">
        <v>33</v>
      </c>
      <c r="Q378">
        <v>274</v>
      </c>
      <c r="T378">
        <v>6</v>
      </c>
      <c r="V378" t="s">
        <v>116</v>
      </c>
      <c r="Y378" s="38">
        <v>0.29166666666666669</v>
      </c>
      <c r="Z378" s="38">
        <v>0.79166666666666663</v>
      </c>
      <c r="AA378" t="s">
        <v>117</v>
      </c>
      <c r="AC378" t="s">
        <v>118</v>
      </c>
      <c r="AN378">
        <v>1</v>
      </c>
      <c r="AQ378">
        <v>0.25</v>
      </c>
      <c r="AR378">
        <v>0.75</v>
      </c>
      <c r="BJ378">
        <v>1.8332999999999999</v>
      </c>
      <c r="BK378">
        <f>0</f>
        <v>0</v>
      </c>
      <c r="BL378">
        <f t="shared" si="75"/>
        <v>3.8332999999999999</v>
      </c>
      <c r="BM378">
        <f t="shared" si="76"/>
        <v>0</v>
      </c>
      <c r="BN378">
        <f t="shared" si="77"/>
        <v>0</v>
      </c>
      <c r="BO378">
        <f t="shared" si="78"/>
        <v>1</v>
      </c>
      <c r="BP378" s="37">
        <f>IF($F378="","",IFERROR(INDEX(Familias!$C$5:$C$300,MATCH($F378,Familias!$A$5:$A$300,0)),""))</f>
        <v>2520</v>
      </c>
      <c r="BQ378" s="37">
        <f t="shared" si="79"/>
        <v>17025</v>
      </c>
      <c r="BR378" s="36">
        <f t="shared" si="80"/>
        <v>12</v>
      </c>
      <c r="BS378" s="36">
        <f t="shared" si="81"/>
        <v>3.8332999999999999</v>
      </c>
      <c r="BT378" s="36">
        <f t="shared" si="82"/>
        <v>8.1667000000000005</v>
      </c>
      <c r="BU378" s="36">
        <f t="shared" si="83"/>
        <v>6.7560000000000002</v>
      </c>
      <c r="BV378" s="39">
        <f t="shared" si="84"/>
        <v>0.8272619295431447</v>
      </c>
      <c r="BW378" s="39">
        <f t="shared" si="85"/>
        <v>0.99853157121879588</v>
      </c>
      <c r="BX378" s="40">
        <f t="shared" si="86"/>
        <v>4.3823796548592191E-2</v>
      </c>
      <c r="BY378" s="40">
        <f t="shared" si="87"/>
        <v>6.2216167120799276E-2</v>
      </c>
      <c r="BZ378" t="str">
        <f t="shared" si="88"/>
        <v>OK</v>
      </c>
      <c r="CA378">
        <f t="shared" si="89"/>
        <v>1</v>
      </c>
    </row>
    <row r="379" spans="1:80" x14ac:dyDescent="0.25">
      <c r="A379" s="35">
        <v>45989</v>
      </c>
      <c r="B379" s="36">
        <v>3.0036</v>
      </c>
      <c r="C379" t="s">
        <v>119</v>
      </c>
      <c r="D379" t="s">
        <v>6</v>
      </c>
      <c r="E379" t="s">
        <v>114</v>
      </c>
      <c r="F379" t="s">
        <v>210</v>
      </c>
      <c r="G379">
        <v>2412</v>
      </c>
      <c r="H379">
        <v>2140110703</v>
      </c>
      <c r="I379" t="s">
        <v>216</v>
      </c>
      <c r="J379" s="37">
        <v>5000</v>
      </c>
      <c r="K379" s="37">
        <v>8</v>
      </c>
      <c r="M379">
        <v>3682</v>
      </c>
      <c r="O379">
        <v>100</v>
      </c>
      <c r="P379">
        <v>35</v>
      </c>
      <c r="Q379">
        <v>40</v>
      </c>
      <c r="R379">
        <v>10</v>
      </c>
      <c r="T379">
        <v>5</v>
      </c>
      <c r="V379" t="s">
        <v>120</v>
      </c>
      <c r="Y379" s="38">
        <v>0.79166666666666663</v>
      </c>
      <c r="Z379" s="38">
        <v>0.91666666666666663</v>
      </c>
      <c r="AA379" t="s">
        <v>117</v>
      </c>
      <c r="AC379" t="s">
        <v>121</v>
      </c>
      <c r="AF379">
        <v>0.25030000000000002</v>
      </c>
      <c r="AQ379">
        <v>0.25030000000000002</v>
      </c>
      <c r="AR379">
        <v>0.18770000000000001</v>
      </c>
      <c r="BI379">
        <v>8.3400000000000002E-2</v>
      </c>
      <c r="BK379">
        <f>0</f>
        <v>0</v>
      </c>
      <c r="BL379">
        <f t="shared" si="75"/>
        <v>0.77170000000000005</v>
      </c>
      <c r="BM379">
        <f t="shared" si="76"/>
        <v>0</v>
      </c>
      <c r="BN379">
        <f t="shared" si="77"/>
        <v>0</v>
      </c>
      <c r="BO379">
        <f t="shared" si="78"/>
        <v>1</v>
      </c>
      <c r="BP379" s="37">
        <f>IF($F379="","",IFERROR(INDEX(Familias!$C$5:$C$300,MATCH($F379,Familias!$A$5:$A$300,0)),""))</f>
        <v>2520</v>
      </c>
      <c r="BQ379" s="37">
        <f t="shared" si="79"/>
        <v>5008</v>
      </c>
      <c r="BR379" s="36">
        <f t="shared" si="80"/>
        <v>3.0036</v>
      </c>
      <c r="BS379" s="36">
        <f t="shared" si="81"/>
        <v>0.77170000000000005</v>
      </c>
      <c r="BT379" s="36">
        <f t="shared" si="82"/>
        <v>2.2319</v>
      </c>
      <c r="BU379" s="36">
        <f t="shared" si="83"/>
        <v>1.9873000000000001</v>
      </c>
      <c r="BV379" s="39">
        <f t="shared" si="84"/>
        <v>0.89040727631166272</v>
      </c>
      <c r="BW379" s="39">
        <f t="shared" si="85"/>
        <v>0.99840255591054317</v>
      </c>
      <c r="BX379" s="40">
        <f t="shared" si="86"/>
        <v>3.9380771319934817E-2</v>
      </c>
      <c r="BY379" s="40">
        <f t="shared" si="87"/>
        <v>1.0863661053775122E-2</v>
      </c>
      <c r="BZ379" t="str">
        <f t="shared" si="88"/>
        <v>OK</v>
      </c>
      <c r="CA379">
        <f t="shared" si="89"/>
        <v>1</v>
      </c>
    </row>
    <row r="380" spans="1:80" x14ac:dyDescent="0.25">
      <c r="A380" s="35">
        <v>45989</v>
      </c>
      <c r="B380" s="36">
        <v>8.9963999999999995</v>
      </c>
      <c r="C380" t="s">
        <v>119</v>
      </c>
      <c r="D380" t="s">
        <v>6</v>
      </c>
      <c r="E380" t="s">
        <v>114</v>
      </c>
      <c r="F380" t="s">
        <v>210</v>
      </c>
      <c r="G380">
        <v>2452</v>
      </c>
      <c r="H380">
        <v>2140110704</v>
      </c>
      <c r="I380" t="s">
        <v>217</v>
      </c>
      <c r="J380" s="37">
        <v>15000</v>
      </c>
      <c r="K380" s="37"/>
      <c r="M380">
        <v>1045</v>
      </c>
      <c r="O380">
        <v>10</v>
      </c>
      <c r="P380">
        <v>7</v>
      </c>
      <c r="Q380">
        <v>23</v>
      </c>
      <c r="T380">
        <v>1</v>
      </c>
      <c r="V380" t="s">
        <v>120</v>
      </c>
      <c r="Y380" s="38">
        <v>0.91666666666666663</v>
      </c>
      <c r="Z380" s="38">
        <v>0.29166666666666669</v>
      </c>
      <c r="AA380" t="s">
        <v>117</v>
      </c>
      <c r="AC380" t="s">
        <v>121</v>
      </c>
      <c r="AF380">
        <v>0.74970000000000003</v>
      </c>
      <c r="AQ380">
        <v>0.74970000000000003</v>
      </c>
      <c r="AR380">
        <v>0.56230000000000002</v>
      </c>
      <c r="BI380">
        <v>0.24990000000000001</v>
      </c>
      <c r="BK380">
        <f>0</f>
        <v>0</v>
      </c>
      <c r="BL380">
        <f t="shared" si="75"/>
        <v>2.3116000000000003</v>
      </c>
      <c r="BM380">
        <f t="shared" si="76"/>
        <v>0</v>
      </c>
      <c r="BN380">
        <f t="shared" si="77"/>
        <v>0</v>
      </c>
      <c r="BO380">
        <f t="shared" si="78"/>
        <v>1</v>
      </c>
      <c r="BP380" s="37">
        <f>IF($F380="","",IFERROR(INDEX(Familias!$C$5:$C$300,MATCH($F380,Familias!$A$5:$A$300,0)),""))</f>
        <v>2520</v>
      </c>
      <c r="BQ380" s="37">
        <f t="shared" si="79"/>
        <v>15000</v>
      </c>
      <c r="BR380" s="36">
        <f t="shared" si="80"/>
        <v>8.9963999999999995</v>
      </c>
      <c r="BS380" s="36">
        <f t="shared" si="81"/>
        <v>2.3115999999999999</v>
      </c>
      <c r="BT380" s="36">
        <f t="shared" si="82"/>
        <v>6.6848000000000001</v>
      </c>
      <c r="BU380" s="36">
        <f t="shared" si="83"/>
        <v>5.9523999999999999</v>
      </c>
      <c r="BV380" s="39">
        <f t="shared" si="84"/>
        <v>0.89043800861656297</v>
      </c>
      <c r="BW380" s="39">
        <f t="shared" si="85"/>
        <v>1</v>
      </c>
      <c r="BX380" s="40">
        <f t="shared" si="86"/>
        <v>1.6267942583732056E-2</v>
      </c>
      <c r="BY380" s="40">
        <f t="shared" si="87"/>
        <v>2.200956937799043E-2</v>
      </c>
      <c r="BZ380" t="str">
        <f t="shared" si="88"/>
        <v>OK</v>
      </c>
      <c r="CA380">
        <f t="shared" si="89"/>
        <v>1</v>
      </c>
    </row>
    <row r="381" spans="1:80" x14ac:dyDescent="0.25">
      <c r="A381" s="35">
        <v>45992</v>
      </c>
      <c r="B381" s="36">
        <v>12</v>
      </c>
      <c r="C381" t="s">
        <v>113</v>
      </c>
      <c r="D381" t="s">
        <v>6</v>
      </c>
      <c r="E381" t="s">
        <v>114</v>
      </c>
      <c r="F381" t="s">
        <v>210</v>
      </c>
      <c r="G381">
        <v>2453</v>
      </c>
      <c r="H381">
        <v>2140110705</v>
      </c>
      <c r="I381" t="s">
        <v>218</v>
      </c>
      <c r="J381" s="37">
        <v>20850</v>
      </c>
      <c r="K381" s="37">
        <v>10</v>
      </c>
      <c r="M381">
        <v>5466</v>
      </c>
      <c r="O381">
        <v>10</v>
      </c>
      <c r="Q381">
        <v>706</v>
      </c>
      <c r="T381">
        <v>7</v>
      </c>
      <c r="V381" t="s">
        <v>120</v>
      </c>
      <c r="Y381" s="38">
        <v>0.29166666666666669</v>
      </c>
      <c r="Z381" s="38">
        <v>0.79166666666666663</v>
      </c>
      <c r="AA381" t="s">
        <v>200</v>
      </c>
      <c r="AB381" t="s">
        <v>219</v>
      </c>
      <c r="AC381" t="s">
        <v>118</v>
      </c>
      <c r="AD381">
        <v>1</v>
      </c>
      <c r="AF381">
        <v>0.33329999999999999</v>
      </c>
      <c r="AQ381">
        <v>2.25</v>
      </c>
      <c r="AR381">
        <v>0.75</v>
      </c>
      <c r="BK381">
        <f>0</f>
        <v>0</v>
      </c>
      <c r="BL381">
        <f t="shared" si="75"/>
        <v>4.3332999999999995</v>
      </c>
      <c r="BM381">
        <f t="shared" si="76"/>
        <v>0</v>
      </c>
      <c r="BN381">
        <f t="shared" si="77"/>
        <v>0</v>
      </c>
      <c r="BO381">
        <f t="shared" si="78"/>
        <v>1</v>
      </c>
      <c r="BP381" s="37">
        <f>IF($F381="","",IFERROR(INDEX(Familias!$C$5:$C$300,MATCH($F381,Familias!$A$5:$A$300,0)),""))</f>
        <v>2520</v>
      </c>
      <c r="BQ381" s="37">
        <f t="shared" si="79"/>
        <v>20860</v>
      </c>
      <c r="BR381" s="36">
        <f t="shared" si="80"/>
        <v>12</v>
      </c>
      <c r="BS381" s="36">
        <f t="shared" si="81"/>
        <v>4.3333000000000004</v>
      </c>
      <c r="BT381" s="36">
        <f t="shared" si="82"/>
        <v>7.6666999999999996</v>
      </c>
      <c r="BU381" s="36">
        <f t="shared" si="83"/>
        <v>8.2777999999999992</v>
      </c>
      <c r="BV381" s="39">
        <f t="shared" si="84"/>
        <v>1.0797083490941344</v>
      </c>
      <c r="BW381" s="39">
        <f t="shared" si="85"/>
        <v>0.99952061361457334</v>
      </c>
      <c r="BX381" s="40">
        <f t="shared" si="86"/>
        <v>1.8294914013904135E-3</v>
      </c>
      <c r="BY381" s="40">
        <f t="shared" si="87"/>
        <v>0.12916209293816319</v>
      </c>
      <c r="BZ381" t="str">
        <f t="shared" si="88"/>
        <v>Paradas no digitadas</v>
      </c>
      <c r="CA381">
        <f t="shared" si="89"/>
        <v>0</v>
      </c>
    </row>
    <row r="382" spans="1:80" x14ac:dyDescent="0.25">
      <c r="A382" s="35">
        <v>45992</v>
      </c>
      <c r="B382" s="36">
        <v>1.5572999999999999</v>
      </c>
      <c r="C382" t="s">
        <v>119</v>
      </c>
      <c r="D382" t="s">
        <v>6</v>
      </c>
      <c r="E382" t="s">
        <v>114</v>
      </c>
      <c r="F382" t="s">
        <v>210</v>
      </c>
      <c r="G382">
        <v>2453</v>
      </c>
      <c r="H382">
        <v>2140110705</v>
      </c>
      <c r="I382" t="s">
        <v>218</v>
      </c>
      <c r="J382" s="37">
        <v>700</v>
      </c>
      <c r="K382" s="37"/>
      <c r="M382">
        <v>181</v>
      </c>
      <c r="O382">
        <v>5</v>
      </c>
      <c r="T382">
        <v>0</v>
      </c>
      <c r="V382" t="s">
        <v>116</v>
      </c>
      <c r="Y382" s="38">
        <v>0.79166666666666663</v>
      </c>
      <c r="Z382" s="38">
        <v>0.85624999999999996</v>
      </c>
      <c r="AA382" t="s">
        <v>117</v>
      </c>
      <c r="AC382" t="s">
        <v>136</v>
      </c>
      <c r="AE382">
        <v>0.77869999999999995</v>
      </c>
      <c r="AQ382">
        <v>3.2399999999999998E-2</v>
      </c>
      <c r="AR382">
        <v>9.7299999999999998E-2</v>
      </c>
      <c r="BI382">
        <v>6.4899999999999999E-2</v>
      </c>
      <c r="BK382">
        <f>0</f>
        <v>0</v>
      </c>
      <c r="BL382">
        <f t="shared" si="75"/>
        <v>0.97329999999999983</v>
      </c>
      <c r="BM382">
        <f t="shared" si="76"/>
        <v>0</v>
      </c>
      <c r="BN382">
        <f t="shared" si="77"/>
        <v>0</v>
      </c>
      <c r="BO382">
        <f t="shared" si="78"/>
        <v>1</v>
      </c>
      <c r="BP382" s="37">
        <f>IF($F382="","",IFERROR(INDEX(Familias!$C$5:$C$300,MATCH($F382,Familias!$A$5:$A$300,0)),""))</f>
        <v>2520</v>
      </c>
      <c r="BQ382" s="37">
        <f t="shared" si="79"/>
        <v>700</v>
      </c>
      <c r="BR382" s="36">
        <f t="shared" si="80"/>
        <v>1.5572999999999999</v>
      </c>
      <c r="BS382" s="36">
        <f t="shared" si="81"/>
        <v>0.97330000000000005</v>
      </c>
      <c r="BT382" s="36">
        <f t="shared" si="82"/>
        <v>0.58399999999999996</v>
      </c>
      <c r="BU382" s="36">
        <f t="shared" si="83"/>
        <v>0.27779999999999999</v>
      </c>
      <c r="BV382" s="39">
        <f t="shared" si="84"/>
        <v>0.47568493150684932</v>
      </c>
      <c r="BW382" s="39">
        <f t="shared" si="85"/>
        <v>1</v>
      </c>
      <c r="BX382" s="40">
        <f t="shared" si="86"/>
        <v>2.7624309392265192E-2</v>
      </c>
      <c r="BY382" s="40">
        <f t="shared" si="87"/>
        <v>0</v>
      </c>
      <c r="BZ382" t="str">
        <f t="shared" si="88"/>
        <v>OK</v>
      </c>
      <c r="CA382">
        <f t="shared" si="89"/>
        <v>1</v>
      </c>
    </row>
    <row r="383" spans="1:80" x14ac:dyDescent="0.25">
      <c r="A383" s="35">
        <v>45992</v>
      </c>
      <c r="B383" s="36">
        <v>6.9387999999999996</v>
      </c>
      <c r="C383" t="s">
        <v>119</v>
      </c>
      <c r="D383" t="s">
        <v>6</v>
      </c>
      <c r="F383" t="s">
        <v>124</v>
      </c>
      <c r="G383">
        <v>2533</v>
      </c>
      <c r="H383">
        <v>2140110794</v>
      </c>
      <c r="I383" t="s">
        <v>220</v>
      </c>
      <c r="J383" s="37">
        <v>3500</v>
      </c>
      <c r="K383" s="37">
        <v>15</v>
      </c>
      <c r="M383">
        <v>1476</v>
      </c>
      <c r="O383">
        <v>35</v>
      </c>
      <c r="P383">
        <v>16</v>
      </c>
      <c r="Q383">
        <v>150</v>
      </c>
      <c r="T383">
        <v>2</v>
      </c>
      <c r="V383" t="s">
        <v>116</v>
      </c>
      <c r="Y383" s="38">
        <v>0.85624999999999996</v>
      </c>
      <c r="Z383" s="38">
        <v>0.14583333333333329</v>
      </c>
      <c r="AA383" t="s">
        <v>117</v>
      </c>
      <c r="AC383" t="s">
        <v>136</v>
      </c>
      <c r="AE383">
        <v>3.4693999999999998</v>
      </c>
      <c r="AQ383">
        <v>0.14460000000000001</v>
      </c>
      <c r="AR383">
        <v>0.43369999999999997</v>
      </c>
      <c r="BI383">
        <v>0.28910000000000002</v>
      </c>
      <c r="BK383">
        <f>0</f>
        <v>0</v>
      </c>
      <c r="BL383">
        <f t="shared" si="75"/>
        <v>4.3368000000000002</v>
      </c>
      <c r="BM383">
        <f t="shared" si="76"/>
        <v>0</v>
      </c>
      <c r="BN383">
        <f t="shared" si="77"/>
        <v>0</v>
      </c>
      <c r="BO383">
        <f t="shared" si="78"/>
        <v>1</v>
      </c>
      <c r="BP383" s="37">
        <f>IF($F383="","",IFERROR(INDEX(Familias!$C$5:$C$300,MATCH($F383,Familias!$A$5:$A$300,0)),""))</f>
        <v>2840</v>
      </c>
      <c r="BQ383" s="37">
        <f t="shared" si="79"/>
        <v>3515</v>
      </c>
      <c r="BR383" s="36">
        <f t="shared" si="80"/>
        <v>6.9387999999999996</v>
      </c>
      <c r="BS383" s="36">
        <f t="shared" si="81"/>
        <v>4.3368000000000002</v>
      </c>
      <c r="BT383" s="36">
        <f t="shared" si="82"/>
        <v>2.6019999999999999</v>
      </c>
      <c r="BU383" s="36">
        <f t="shared" si="83"/>
        <v>1.2377</v>
      </c>
      <c r="BV383" s="39">
        <f t="shared" si="84"/>
        <v>0.47567255956956189</v>
      </c>
      <c r="BW383" s="39">
        <f t="shared" si="85"/>
        <v>0.99573257467994314</v>
      </c>
      <c r="BX383" s="40">
        <f t="shared" si="86"/>
        <v>3.4552845528455285E-2</v>
      </c>
      <c r="BY383" s="40">
        <f t="shared" si="87"/>
        <v>0.1016260162601626</v>
      </c>
      <c r="BZ383" t="str">
        <f t="shared" si="88"/>
        <v>OK</v>
      </c>
      <c r="CA383">
        <f t="shared" si="89"/>
        <v>1</v>
      </c>
    </row>
    <row r="384" spans="1:80" x14ac:dyDescent="0.25">
      <c r="A384" s="35">
        <v>45992</v>
      </c>
      <c r="B384" s="36">
        <v>3.5038999999999998</v>
      </c>
      <c r="C384" t="s">
        <v>119</v>
      </c>
      <c r="D384" t="s">
        <v>6</v>
      </c>
      <c r="E384" t="s">
        <v>126</v>
      </c>
      <c r="F384" t="s">
        <v>133</v>
      </c>
      <c r="G384">
        <v>2532</v>
      </c>
      <c r="H384">
        <v>2140110691</v>
      </c>
      <c r="I384" t="s">
        <v>221</v>
      </c>
      <c r="J384" s="37">
        <v>1450</v>
      </c>
      <c r="K384" s="37"/>
      <c r="M384">
        <v>586</v>
      </c>
      <c r="O384">
        <v>10</v>
      </c>
      <c r="T384">
        <v>1</v>
      </c>
      <c r="V384" t="s">
        <v>116</v>
      </c>
      <c r="Y384" s="38">
        <v>0.14583333333333329</v>
      </c>
      <c r="Z384" s="38">
        <v>0.29166666666666669</v>
      </c>
      <c r="AA384" t="s">
        <v>117</v>
      </c>
      <c r="AC384" t="s">
        <v>136</v>
      </c>
      <c r="AE384">
        <v>1.752</v>
      </c>
      <c r="AQ384">
        <v>7.2999999999999995E-2</v>
      </c>
      <c r="AR384">
        <v>0.219</v>
      </c>
      <c r="BI384">
        <v>0.14599999999999999</v>
      </c>
      <c r="BK384">
        <f>0</f>
        <v>0</v>
      </c>
      <c r="BL384">
        <f t="shared" si="75"/>
        <v>2.19</v>
      </c>
      <c r="BM384">
        <f t="shared" si="76"/>
        <v>0</v>
      </c>
      <c r="BN384">
        <f t="shared" si="77"/>
        <v>0</v>
      </c>
      <c r="BO384">
        <f t="shared" si="78"/>
        <v>1</v>
      </c>
      <c r="BP384" s="37">
        <f>IF($F384="","",IFERROR(INDEX(Familias!$C$5:$C$300,MATCH($F384,Familias!$A$5:$A$300,0)),""))</f>
        <v>2320</v>
      </c>
      <c r="BQ384" s="37">
        <f t="shared" si="79"/>
        <v>1450</v>
      </c>
      <c r="BR384" s="36">
        <f t="shared" si="80"/>
        <v>3.5038999999999998</v>
      </c>
      <c r="BS384" s="36">
        <f t="shared" si="81"/>
        <v>2.19</v>
      </c>
      <c r="BT384" s="36">
        <f t="shared" si="82"/>
        <v>1.3139000000000001</v>
      </c>
      <c r="BU384" s="36">
        <f t="shared" si="83"/>
        <v>0.625</v>
      </c>
      <c r="BV384" s="39">
        <f t="shared" si="84"/>
        <v>0.47568308090417838</v>
      </c>
      <c r="BW384" s="39">
        <f t="shared" si="85"/>
        <v>1</v>
      </c>
      <c r="BX384" s="40">
        <f t="shared" si="86"/>
        <v>1.7064846416382253E-2</v>
      </c>
      <c r="BY384" s="40">
        <f t="shared" si="87"/>
        <v>0</v>
      </c>
      <c r="BZ384" t="str">
        <f t="shared" si="88"/>
        <v>OK</v>
      </c>
      <c r="CA384">
        <f t="shared" si="89"/>
        <v>1</v>
      </c>
    </row>
    <row r="385" spans="1:80" x14ac:dyDescent="0.25">
      <c r="A385" s="35">
        <v>45993</v>
      </c>
      <c r="B385" s="36">
        <v>1.7582</v>
      </c>
      <c r="C385" t="s">
        <v>113</v>
      </c>
      <c r="D385" t="s">
        <v>6</v>
      </c>
      <c r="E385" t="s">
        <v>126</v>
      </c>
      <c r="F385" t="s">
        <v>133</v>
      </c>
      <c r="G385">
        <v>2532</v>
      </c>
      <c r="H385">
        <v>2140110691</v>
      </c>
      <c r="I385" t="s">
        <v>221</v>
      </c>
      <c r="J385" s="37">
        <v>2625</v>
      </c>
      <c r="K385" s="37">
        <v>2</v>
      </c>
      <c r="M385">
        <v>977</v>
      </c>
      <c r="O385">
        <v>72</v>
      </c>
      <c r="P385">
        <v>3</v>
      </c>
      <c r="Q385">
        <v>27</v>
      </c>
      <c r="T385">
        <v>1</v>
      </c>
      <c r="V385" t="s">
        <v>120</v>
      </c>
      <c r="Y385" s="38">
        <v>0.29166666666666669</v>
      </c>
      <c r="Z385" s="38">
        <v>0.36458333333333331</v>
      </c>
      <c r="AA385" t="s">
        <v>117</v>
      </c>
      <c r="AC385" t="s">
        <v>136</v>
      </c>
      <c r="AQ385">
        <v>3.6600000000000001E-2</v>
      </c>
      <c r="AR385">
        <v>0.1099</v>
      </c>
      <c r="AV385">
        <v>9.7699999999999995E-2</v>
      </c>
      <c r="BI385">
        <v>4.8800000000000003E-2</v>
      </c>
      <c r="BK385">
        <f>0</f>
        <v>0</v>
      </c>
      <c r="BL385">
        <f t="shared" si="75"/>
        <v>0.1953</v>
      </c>
      <c r="BM385">
        <f t="shared" si="76"/>
        <v>0</v>
      </c>
      <c r="BN385">
        <f t="shared" si="77"/>
        <v>9.7699999999999995E-2</v>
      </c>
      <c r="BO385">
        <f t="shared" si="78"/>
        <v>1</v>
      </c>
      <c r="BP385" s="37">
        <f>IF($F385="","",IFERROR(INDEX(Familias!$C$5:$C$300,MATCH($F385,Familias!$A$5:$A$300,0)),""))</f>
        <v>2320</v>
      </c>
      <c r="BQ385" s="37">
        <f t="shared" si="79"/>
        <v>2627</v>
      </c>
      <c r="BR385" s="36">
        <f t="shared" si="80"/>
        <v>1.7582</v>
      </c>
      <c r="BS385" s="36">
        <f t="shared" si="81"/>
        <v>0.29299999999999998</v>
      </c>
      <c r="BT385" s="36">
        <f t="shared" si="82"/>
        <v>1.4652000000000001</v>
      </c>
      <c r="BU385" s="36">
        <f t="shared" si="83"/>
        <v>1.1323000000000001</v>
      </c>
      <c r="BV385" s="39">
        <f t="shared" si="84"/>
        <v>0.77279552279552277</v>
      </c>
      <c r="BW385" s="39">
        <f t="shared" si="85"/>
        <v>0.99923867529501331</v>
      </c>
      <c r="BX385" s="40">
        <f t="shared" si="86"/>
        <v>7.6765609007164795E-2</v>
      </c>
      <c r="BY385" s="40">
        <f t="shared" si="87"/>
        <v>2.7635619242579325E-2</v>
      </c>
      <c r="BZ385" t="str">
        <f t="shared" si="88"/>
        <v>OK</v>
      </c>
      <c r="CA385">
        <f t="shared" si="89"/>
        <v>1</v>
      </c>
    </row>
    <row r="386" spans="1:80" x14ac:dyDescent="0.25">
      <c r="A386" s="35">
        <v>45993</v>
      </c>
      <c r="B386" s="36">
        <v>0.73619999999999997</v>
      </c>
      <c r="C386" t="s">
        <v>113</v>
      </c>
      <c r="D386" t="s">
        <v>6</v>
      </c>
      <c r="E386" t="s">
        <v>126</v>
      </c>
      <c r="F386" t="s">
        <v>133</v>
      </c>
      <c r="G386">
        <v>2531</v>
      </c>
      <c r="H386">
        <v>2140110690</v>
      </c>
      <c r="I386" t="s">
        <v>215</v>
      </c>
      <c r="J386" s="37">
        <v>1100</v>
      </c>
      <c r="K386" s="37"/>
      <c r="M386">
        <v>367</v>
      </c>
      <c r="V386" t="s">
        <v>120</v>
      </c>
      <c r="Y386" s="38">
        <v>0.36458333333333331</v>
      </c>
      <c r="Z386" s="38">
        <v>0.39583333333333331</v>
      </c>
      <c r="AA386" t="s">
        <v>117</v>
      </c>
      <c r="AC386" t="s">
        <v>136</v>
      </c>
      <c r="AQ386">
        <v>1.5299999999999999E-2</v>
      </c>
      <c r="AR386">
        <v>4.5999999999999999E-2</v>
      </c>
      <c r="AV386">
        <v>4.0899999999999999E-2</v>
      </c>
      <c r="BI386">
        <v>2.0400000000000001E-2</v>
      </c>
      <c r="BK386">
        <f>0</f>
        <v>0</v>
      </c>
      <c r="BL386">
        <f t="shared" ref="BL386:BL449" si="90">N(AD386)+N(AE386)+N(AF386)+N(AG386)+N(AH386)+N(AI386)+N(AJ386)+N(AK386)+N(AL386)+N(AM386)+N(AN386)+N(AO386)+N(AP386)+N(AQ386)+N(AR386)+N(AS386)+N(AT386)+N(AU386)+N(AW386)+N(AX386)+N(AY386)+N(BC386)+N(BE386)+N(BF386)+N(BH386)+N(BI386)+N(BJ386)</f>
        <v>8.1699999999999995E-2</v>
      </c>
      <c r="BM386">
        <f t="shared" ref="BM386:BM449" si="91">N(AZ386)+N(BA386)+N(BB386)+N(BD386)</f>
        <v>0</v>
      </c>
      <c r="BN386">
        <f t="shared" ref="BN386:BN449" si="92">N(AV386)+N(BG386)</f>
        <v>4.0899999999999999E-2</v>
      </c>
      <c r="BO386">
        <f t="shared" ref="BO386:BO449" si="93">IF($A386="","",IF(WEEKDAY($A386,2)=7,0,1))</f>
        <v>1</v>
      </c>
      <c r="BP386" s="37">
        <f>IF($F386="","",IFERROR(INDEX(Familias!$C$5:$C$300,MATCH($F386,Familias!$A$5:$A$300,0)),""))</f>
        <v>2320</v>
      </c>
      <c r="BQ386" s="37">
        <f t="shared" ref="BQ386:BQ449" si="94">IF(AND($J386="",$K386=""),"",N($J386)+N($K386))</f>
        <v>1100</v>
      </c>
      <c r="BR386" s="36">
        <f t="shared" ref="BR386:BR449" si="95">IF($A386="","",ROUND(N($B386),4))</f>
        <v>0.73619999999999997</v>
      </c>
      <c r="BS386" s="36">
        <f t="shared" ref="BS386:BS449" si="96">IF($A386="","",ROUND(SUM($AD386:$BJ386),4))</f>
        <v>0.1226</v>
      </c>
      <c r="BT386" s="36">
        <f t="shared" ref="BT386:BT449" si="97">IF($A386="","",ROUND(MAX(0,$BR386-$BS386),4))</f>
        <v>0.61360000000000003</v>
      </c>
      <c r="BU386" s="36">
        <f t="shared" ref="BU386:BU449" si="98">IF(OR($BQ386="",$BP386="",N($BP386)=0),"",ROUND($BQ386/$BP386,4))</f>
        <v>0.47410000000000002</v>
      </c>
      <c r="BV386" s="39">
        <f t="shared" ref="BV386:BV449" si="99">IF(OR($BU386="",N($BT386)=0),"",$BU386/$BT386)</f>
        <v>0.77265319426336376</v>
      </c>
      <c r="BW386" s="39">
        <f t="shared" ref="BW386:BW449" si="100">IF(N($BQ386)&gt;0,N($J386)/$BQ386,"")</f>
        <v>1</v>
      </c>
      <c r="BX386" s="40">
        <f t="shared" ref="BX386:BX449" si="101">IF(N($M386)&gt;0,(N($P386)+N($O386)+N($R386))/$M386,"")</f>
        <v>0</v>
      </c>
      <c r="BY386" s="40">
        <f t="shared" ref="BY386:BY449" si="102">IF(N($M386)&gt;0,N($Q386)/$M386,"")</f>
        <v>0</v>
      </c>
      <c r="BZ386" t="str">
        <f t="shared" ref="BZ386:BZ449" si="103">IF($A386="","",IF($BO386=0,"Domingo",IF($AA386&lt;&gt;"Sí","Paradas no digitadas",IF($BQ386="",IF(N($BT386)&gt;0,"Sin producción","Parada total"),IF($F386="","Sin familia",IF($BP386="","Familia sin estándar",IF(AND($BV386&lt;&gt;"",N($BV386)&gt;1.1),"Revisar rendimiento","OK")))))))</f>
        <v>OK</v>
      </c>
      <c r="CA386">
        <f t="shared" ref="CA386:CA449" si="104">IF(OR($BU386="",$BO386&lt;&gt;1,$AA386&lt;&gt;"Sí"),0,1)</f>
        <v>1</v>
      </c>
    </row>
    <row r="387" spans="1:80" x14ac:dyDescent="0.25">
      <c r="A387" s="35">
        <v>45993</v>
      </c>
      <c r="B387" s="36">
        <v>9.5055999999999994</v>
      </c>
      <c r="C387" t="s">
        <v>113</v>
      </c>
      <c r="D387" t="s">
        <v>6</v>
      </c>
      <c r="E387" t="s">
        <v>126</v>
      </c>
      <c r="F387" t="s">
        <v>133</v>
      </c>
      <c r="G387">
        <v>2377</v>
      </c>
      <c r="H387">
        <v>2140110604</v>
      </c>
      <c r="I387" t="s">
        <v>139</v>
      </c>
      <c r="J387" s="37">
        <v>14200</v>
      </c>
      <c r="K387" s="37">
        <v>3</v>
      </c>
      <c r="M387">
        <v>5239</v>
      </c>
      <c r="P387">
        <v>49</v>
      </c>
      <c r="Q387">
        <v>215</v>
      </c>
      <c r="T387">
        <v>7</v>
      </c>
      <c r="V387" t="s">
        <v>120</v>
      </c>
      <c r="Y387" s="38">
        <v>0.39583333333333331</v>
      </c>
      <c r="Z387" s="38">
        <v>0.79166666666666663</v>
      </c>
      <c r="AA387" t="s">
        <v>117</v>
      </c>
      <c r="AC387" t="s">
        <v>136</v>
      </c>
      <c r="AQ387">
        <v>0.19800000000000001</v>
      </c>
      <c r="AR387">
        <v>0.59409999999999996</v>
      </c>
      <c r="AV387">
        <v>0.52810000000000001</v>
      </c>
      <c r="BI387">
        <v>0.26400000000000001</v>
      </c>
      <c r="BK387">
        <f>0</f>
        <v>0</v>
      </c>
      <c r="BL387">
        <f t="shared" si="90"/>
        <v>1.0561</v>
      </c>
      <c r="BM387">
        <f t="shared" si="91"/>
        <v>0</v>
      </c>
      <c r="BN387">
        <f t="shared" si="92"/>
        <v>0.52810000000000001</v>
      </c>
      <c r="BO387">
        <f t="shared" si="93"/>
        <v>1</v>
      </c>
      <c r="BP387" s="37">
        <f>IF($F387="","",IFERROR(INDEX(Familias!$C$5:$C$300,MATCH($F387,Familias!$A$5:$A$300,0)),""))</f>
        <v>2320</v>
      </c>
      <c r="BQ387" s="37">
        <f t="shared" si="94"/>
        <v>14203</v>
      </c>
      <c r="BR387" s="36">
        <f t="shared" si="95"/>
        <v>9.5055999999999994</v>
      </c>
      <c r="BS387" s="36">
        <f t="shared" si="96"/>
        <v>1.5842000000000001</v>
      </c>
      <c r="BT387" s="36">
        <f t="shared" si="97"/>
        <v>7.9214000000000002</v>
      </c>
      <c r="BU387" s="36">
        <f t="shared" si="98"/>
        <v>6.1219999999999999</v>
      </c>
      <c r="BV387" s="39">
        <f t="shared" si="99"/>
        <v>0.77284318428560606</v>
      </c>
      <c r="BW387" s="39">
        <f t="shared" si="100"/>
        <v>0.99978877701893965</v>
      </c>
      <c r="BX387" s="40">
        <f t="shared" si="101"/>
        <v>9.3529299484634478E-3</v>
      </c>
      <c r="BY387" s="40">
        <f t="shared" si="102"/>
        <v>4.103836610040084E-2</v>
      </c>
      <c r="BZ387" t="str">
        <f t="shared" si="103"/>
        <v>OK</v>
      </c>
      <c r="CA387">
        <f t="shared" si="104"/>
        <v>1</v>
      </c>
    </row>
    <row r="388" spans="1:80" x14ac:dyDescent="0.25">
      <c r="A388" s="35">
        <v>45993</v>
      </c>
      <c r="B388" s="36">
        <v>3.5489000000000002</v>
      </c>
      <c r="C388" t="s">
        <v>119</v>
      </c>
      <c r="D388" t="s">
        <v>6</v>
      </c>
      <c r="E388" t="s">
        <v>126</v>
      </c>
      <c r="F388" t="s">
        <v>133</v>
      </c>
      <c r="G388">
        <v>2377</v>
      </c>
      <c r="H388">
        <v>2140110604</v>
      </c>
      <c r="I388" t="s">
        <v>139</v>
      </c>
      <c r="J388" s="37">
        <v>5825</v>
      </c>
      <c r="K388" s="37">
        <v>10</v>
      </c>
      <c r="M388">
        <v>2231</v>
      </c>
      <c r="O388">
        <v>30</v>
      </c>
      <c r="P388">
        <v>8</v>
      </c>
      <c r="Q388">
        <v>250</v>
      </c>
      <c r="T388">
        <v>3</v>
      </c>
      <c r="V388" t="s">
        <v>116</v>
      </c>
      <c r="Y388" s="38">
        <v>0.79166666666666663</v>
      </c>
      <c r="Z388" s="38">
        <v>0.93958333333333333</v>
      </c>
      <c r="AA388" t="s">
        <v>117</v>
      </c>
      <c r="AC388" t="s">
        <v>121</v>
      </c>
      <c r="AE388">
        <v>0.2218</v>
      </c>
      <c r="AQ388">
        <v>7.3899999999999993E-2</v>
      </c>
      <c r="AR388">
        <v>0.2218</v>
      </c>
      <c r="BI388">
        <v>0.1479</v>
      </c>
      <c r="BK388">
        <f>0</f>
        <v>0</v>
      </c>
      <c r="BL388">
        <f t="shared" si="90"/>
        <v>0.66539999999999999</v>
      </c>
      <c r="BM388">
        <f t="shared" si="91"/>
        <v>0</v>
      </c>
      <c r="BN388">
        <f t="shared" si="92"/>
        <v>0</v>
      </c>
      <c r="BO388">
        <f t="shared" si="93"/>
        <v>1</v>
      </c>
      <c r="BP388" s="37">
        <f>IF($F388="","",IFERROR(INDEX(Familias!$C$5:$C$300,MATCH($F388,Familias!$A$5:$A$300,0)),""))</f>
        <v>2320</v>
      </c>
      <c r="BQ388" s="37">
        <f t="shared" si="94"/>
        <v>5835</v>
      </c>
      <c r="BR388" s="36">
        <f t="shared" si="95"/>
        <v>3.5489000000000002</v>
      </c>
      <c r="BS388" s="36">
        <f t="shared" si="96"/>
        <v>0.66539999999999999</v>
      </c>
      <c r="BT388" s="36">
        <f t="shared" si="97"/>
        <v>2.8835000000000002</v>
      </c>
      <c r="BU388" s="36">
        <f t="shared" si="98"/>
        <v>2.5150999999999999</v>
      </c>
      <c r="BV388" s="39">
        <f t="shared" si="99"/>
        <v>0.87223859892491751</v>
      </c>
      <c r="BW388" s="39">
        <f t="shared" si="100"/>
        <v>0.99828620394173095</v>
      </c>
      <c r="BX388" s="40">
        <f t="shared" si="101"/>
        <v>1.7032720753025549E-2</v>
      </c>
      <c r="BY388" s="40">
        <f t="shared" si="102"/>
        <v>0.11205737337516809</v>
      </c>
      <c r="BZ388" t="str">
        <f t="shared" si="103"/>
        <v>OK</v>
      </c>
      <c r="CA388">
        <f t="shared" si="104"/>
        <v>1</v>
      </c>
    </row>
    <row r="389" spans="1:80" x14ac:dyDescent="0.25">
      <c r="A389" s="35">
        <v>45993</v>
      </c>
      <c r="B389" s="36">
        <v>8.4511000000000003</v>
      </c>
      <c r="C389" t="s">
        <v>119</v>
      </c>
      <c r="D389" t="s">
        <v>6</v>
      </c>
      <c r="E389" t="s">
        <v>126</v>
      </c>
      <c r="F389" t="s">
        <v>133</v>
      </c>
      <c r="G389">
        <v>2410</v>
      </c>
      <c r="H389">
        <v>2140110606</v>
      </c>
      <c r="I389" t="s">
        <v>141</v>
      </c>
      <c r="J389" s="37">
        <v>13875</v>
      </c>
      <c r="K389" s="37">
        <v>20</v>
      </c>
      <c r="M389">
        <v>5105</v>
      </c>
      <c r="O389">
        <v>100</v>
      </c>
      <c r="P389">
        <v>24</v>
      </c>
      <c r="Q389">
        <v>280</v>
      </c>
      <c r="R389">
        <v>40</v>
      </c>
      <c r="T389">
        <v>6</v>
      </c>
      <c r="V389" t="s">
        <v>116</v>
      </c>
      <c r="Y389" s="38">
        <v>0.93958333333333333</v>
      </c>
      <c r="Z389" s="38">
        <v>0.29166666666666669</v>
      </c>
      <c r="AA389" t="s">
        <v>117</v>
      </c>
      <c r="AC389" t="s">
        <v>121</v>
      </c>
      <c r="AE389">
        <v>0.5282</v>
      </c>
      <c r="AQ389">
        <v>0.17610000000000001</v>
      </c>
      <c r="AR389">
        <v>0.5282</v>
      </c>
      <c r="BI389">
        <v>0.35210000000000002</v>
      </c>
      <c r="BK389">
        <f>0</f>
        <v>0</v>
      </c>
      <c r="BL389">
        <f t="shared" si="90"/>
        <v>1.5846</v>
      </c>
      <c r="BM389">
        <f t="shared" si="91"/>
        <v>0</v>
      </c>
      <c r="BN389">
        <f t="shared" si="92"/>
        <v>0</v>
      </c>
      <c r="BO389">
        <f t="shared" si="93"/>
        <v>1</v>
      </c>
      <c r="BP389" s="37">
        <f>IF($F389="","",IFERROR(INDEX(Familias!$C$5:$C$300,MATCH($F389,Familias!$A$5:$A$300,0)),""))</f>
        <v>2320</v>
      </c>
      <c r="BQ389" s="37">
        <f t="shared" si="94"/>
        <v>13895</v>
      </c>
      <c r="BR389" s="36">
        <f t="shared" si="95"/>
        <v>8.4511000000000003</v>
      </c>
      <c r="BS389" s="36">
        <f t="shared" si="96"/>
        <v>1.5846</v>
      </c>
      <c r="BT389" s="36">
        <f t="shared" si="97"/>
        <v>6.8665000000000003</v>
      </c>
      <c r="BU389" s="36">
        <f t="shared" si="98"/>
        <v>5.9892000000000003</v>
      </c>
      <c r="BV389" s="39">
        <f t="shared" si="99"/>
        <v>0.87223476297968394</v>
      </c>
      <c r="BW389" s="39">
        <f t="shared" si="100"/>
        <v>0.9985606333213386</v>
      </c>
      <c r="BX389" s="40">
        <f t="shared" si="101"/>
        <v>3.2125367286973558E-2</v>
      </c>
      <c r="BY389" s="40">
        <f t="shared" si="102"/>
        <v>5.484818805093046E-2</v>
      </c>
      <c r="BZ389" t="str">
        <f t="shared" si="103"/>
        <v>OK</v>
      </c>
      <c r="CA389">
        <f t="shared" si="104"/>
        <v>1</v>
      </c>
    </row>
    <row r="390" spans="1:80" x14ac:dyDescent="0.25">
      <c r="A390" s="35">
        <v>45994</v>
      </c>
      <c r="B390" s="36">
        <v>3.4485999999999999</v>
      </c>
      <c r="C390" t="s">
        <v>113</v>
      </c>
      <c r="D390" t="s">
        <v>6</v>
      </c>
      <c r="E390" t="s">
        <v>126</v>
      </c>
      <c r="F390" t="s">
        <v>133</v>
      </c>
      <c r="G390">
        <v>2410</v>
      </c>
      <c r="H390">
        <v>2140110606</v>
      </c>
      <c r="I390" t="s">
        <v>141</v>
      </c>
      <c r="J390" s="37">
        <v>3225</v>
      </c>
      <c r="K390" s="37"/>
      <c r="M390">
        <v>1287</v>
      </c>
      <c r="O390">
        <v>50</v>
      </c>
      <c r="P390">
        <v>14</v>
      </c>
      <c r="Q390">
        <v>75</v>
      </c>
      <c r="T390">
        <v>1</v>
      </c>
      <c r="V390" t="s">
        <v>120</v>
      </c>
      <c r="Y390" s="38">
        <v>0.29166666666666669</v>
      </c>
      <c r="Z390" s="38">
        <v>0.43541666666666667</v>
      </c>
      <c r="AA390" t="s">
        <v>117</v>
      </c>
      <c r="AC390" t="s">
        <v>164</v>
      </c>
      <c r="AF390">
        <v>0.14369999999999999</v>
      </c>
      <c r="AG390">
        <v>0.28739999999999999</v>
      </c>
      <c r="AO390">
        <v>0.14369999999999999</v>
      </c>
      <c r="AQ390">
        <v>7.1800000000000003E-2</v>
      </c>
      <c r="AW390">
        <v>0.95799999999999996</v>
      </c>
      <c r="BI390">
        <v>9.5799999999999996E-2</v>
      </c>
      <c r="BK390">
        <f>0</f>
        <v>0</v>
      </c>
      <c r="BL390">
        <f t="shared" si="90"/>
        <v>1.7004000000000001</v>
      </c>
      <c r="BM390">
        <f t="shared" si="91"/>
        <v>0</v>
      </c>
      <c r="BN390">
        <f t="shared" si="92"/>
        <v>0</v>
      </c>
      <c r="BO390">
        <f t="shared" si="93"/>
        <v>1</v>
      </c>
      <c r="BP390" s="37">
        <f>IF($F390="","",IFERROR(INDEX(Familias!$C$5:$C$300,MATCH($F390,Familias!$A$5:$A$300,0)),""))</f>
        <v>2320</v>
      </c>
      <c r="BQ390" s="37">
        <f t="shared" si="94"/>
        <v>3225</v>
      </c>
      <c r="BR390" s="36">
        <f t="shared" si="95"/>
        <v>3.4485999999999999</v>
      </c>
      <c r="BS390" s="36">
        <f t="shared" si="96"/>
        <v>1.7003999999999999</v>
      </c>
      <c r="BT390" s="36">
        <f t="shared" si="97"/>
        <v>1.7482</v>
      </c>
      <c r="BU390" s="36">
        <f t="shared" si="98"/>
        <v>1.3900999999999999</v>
      </c>
      <c r="BV390" s="39">
        <f t="shared" si="99"/>
        <v>0.79516073675780796</v>
      </c>
      <c r="BW390" s="39">
        <f t="shared" si="100"/>
        <v>1</v>
      </c>
      <c r="BX390" s="40">
        <f t="shared" si="101"/>
        <v>4.9728049728049728E-2</v>
      </c>
      <c r="BY390" s="40">
        <f t="shared" si="102"/>
        <v>5.8275058275058272E-2</v>
      </c>
      <c r="BZ390" t="str">
        <f t="shared" si="103"/>
        <v>OK</v>
      </c>
      <c r="CA390">
        <f t="shared" si="104"/>
        <v>1</v>
      </c>
    </row>
    <row r="391" spans="1:80" x14ac:dyDescent="0.25">
      <c r="A391" s="35">
        <v>45994</v>
      </c>
      <c r="B391" s="36">
        <v>3.2080000000000002</v>
      </c>
      <c r="C391" t="s">
        <v>113</v>
      </c>
      <c r="D391" t="s">
        <v>6</v>
      </c>
      <c r="E391" t="s">
        <v>126</v>
      </c>
      <c r="F391" t="s">
        <v>133</v>
      </c>
      <c r="G391">
        <v>2534</v>
      </c>
      <c r="H391">
        <v>2140110730</v>
      </c>
      <c r="I391" t="s">
        <v>222</v>
      </c>
      <c r="J391" s="37">
        <v>3000</v>
      </c>
      <c r="K391" s="37"/>
      <c r="M391">
        <v>1097</v>
      </c>
      <c r="O391">
        <v>10</v>
      </c>
      <c r="P391">
        <v>7</v>
      </c>
      <c r="Q391">
        <v>148</v>
      </c>
      <c r="V391" t="s">
        <v>120</v>
      </c>
      <c r="Y391" s="38">
        <v>0.43541666666666667</v>
      </c>
      <c r="Z391" s="38">
        <v>0.56874999999999998</v>
      </c>
      <c r="AA391" t="s">
        <v>117</v>
      </c>
      <c r="AC391" t="s">
        <v>164</v>
      </c>
      <c r="AF391">
        <v>0.13370000000000001</v>
      </c>
      <c r="AG391">
        <v>0.26729999999999998</v>
      </c>
      <c r="AO391">
        <v>0.13370000000000001</v>
      </c>
      <c r="AQ391">
        <v>6.6799999999999998E-2</v>
      </c>
      <c r="AW391">
        <v>0.8911</v>
      </c>
      <c r="BI391">
        <v>8.9099999999999999E-2</v>
      </c>
      <c r="BK391">
        <f>0</f>
        <v>0</v>
      </c>
      <c r="BL391">
        <f t="shared" si="90"/>
        <v>1.5816999999999999</v>
      </c>
      <c r="BM391">
        <f t="shared" si="91"/>
        <v>0</v>
      </c>
      <c r="BN391">
        <f t="shared" si="92"/>
        <v>0</v>
      </c>
      <c r="BO391">
        <f t="shared" si="93"/>
        <v>1</v>
      </c>
      <c r="BP391" s="37">
        <f>IF($F391="","",IFERROR(INDEX(Familias!$C$5:$C$300,MATCH($F391,Familias!$A$5:$A$300,0)),""))</f>
        <v>2320</v>
      </c>
      <c r="BQ391" s="37">
        <f t="shared" si="94"/>
        <v>3000</v>
      </c>
      <c r="BR391" s="36">
        <f t="shared" si="95"/>
        <v>3.2080000000000002</v>
      </c>
      <c r="BS391" s="36">
        <f t="shared" si="96"/>
        <v>1.5817000000000001</v>
      </c>
      <c r="BT391" s="36">
        <f t="shared" si="97"/>
        <v>1.6263000000000001</v>
      </c>
      <c r="BU391" s="36">
        <f t="shared" si="98"/>
        <v>1.2930999999999999</v>
      </c>
      <c r="BV391" s="39">
        <f t="shared" si="99"/>
        <v>0.79511775195228429</v>
      </c>
      <c r="BW391" s="39">
        <f t="shared" si="100"/>
        <v>1</v>
      </c>
      <c r="BX391" s="40">
        <f t="shared" si="101"/>
        <v>1.5496809480401094E-2</v>
      </c>
      <c r="BY391" s="40">
        <f t="shared" si="102"/>
        <v>0.1349134001823154</v>
      </c>
      <c r="BZ391" t="str">
        <f t="shared" si="103"/>
        <v>OK</v>
      </c>
      <c r="CA391">
        <f t="shared" si="104"/>
        <v>1</v>
      </c>
    </row>
    <row r="392" spans="1:80" x14ac:dyDescent="0.25">
      <c r="A392" s="35">
        <v>45994</v>
      </c>
      <c r="B392" s="36">
        <v>0.32079999999999997</v>
      </c>
      <c r="C392" t="s">
        <v>113</v>
      </c>
      <c r="D392" t="s">
        <v>6</v>
      </c>
      <c r="E392" t="s">
        <v>126</v>
      </c>
      <c r="F392" t="s">
        <v>133</v>
      </c>
      <c r="G392">
        <v>2531</v>
      </c>
      <c r="H392">
        <v>2140110690</v>
      </c>
      <c r="I392" t="s">
        <v>215</v>
      </c>
      <c r="J392" s="37">
        <v>300</v>
      </c>
      <c r="K392" s="37"/>
      <c r="M392">
        <v>153</v>
      </c>
      <c r="O392">
        <v>5</v>
      </c>
      <c r="P392">
        <v>7</v>
      </c>
      <c r="Q392">
        <v>10</v>
      </c>
      <c r="R392">
        <v>40</v>
      </c>
      <c r="V392" t="s">
        <v>120</v>
      </c>
      <c r="Y392" s="38">
        <v>0.56874999999999998</v>
      </c>
      <c r="Z392" s="38">
        <v>0.58263888888888893</v>
      </c>
      <c r="AA392" t="s">
        <v>117</v>
      </c>
      <c r="AC392" t="s">
        <v>164</v>
      </c>
      <c r="AF392">
        <v>1.34E-2</v>
      </c>
      <c r="AG392">
        <v>2.6700000000000002E-2</v>
      </c>
      <c r="AO392">
        <v>1.34E-2</v>
      </c>
      <c r="AQ392">
        <v>6.7000000000000002E-3</v>
      </c>
      <c r="AW392">
        <v>8.9099999999999999E-2</v>
      </c>
      <c r="BI392">
        <v>8.8999999999999999E-3</v>
      </c>
      <c r="BK392">
        <f>0</f>
        <v>0</v>
      </c>
      <c r="BL392">
        <f t="shared" si="90"/>
        <v>0.15819999999999998</v>
      </c>
      <c r="BM392">
        <f t="shared" si="91"/>
        <v>0</v>
      </c>
      <c r="BN392">
        <f t="shared" si="92"/>
        <v>0</v>
      </c>
      <c r="BO392">
        <f t="shared" si="93"/>
        <v>1</v>
      </c>
      <c r="BP392" s="37">
        <f>IF($F392="","",IFERROR(INDEX(Familias!$C$5:$C$300,MATCH($F392,Familias!$A$5:$A$300,0)),""))</f>
        <v>2320</v>
      </c>
      <c r="BQ392" s="37">
        <f t="shared" si="94"/>
        <v>300</v>
      </c>
      <c r="BR392" s="36">
        <f t="shared" si="95"/>
        <v>0.32079999999999997</v>
      </c>
      <c r="BS392" s="36">
        <f t="shared" si="96"/>
        <v>0.15820000000000001</v>
      </c>
      <c r="BT392" s="36">
        <f t="shared" si="97"/>
        <v>0.16259999999999999</v>
      </c>
      <c r="BU392" s="36">
        <f t="shared" si="98"/>
        <v>0.1293</v>
      </c>
      <c r="BV392" s="39">
        <f t="shared" si="99"/>
        <v>0.79520295202952029</v>
      </c>
      <c r="BW392" s="39">
        <f t="shared" si="100"/>
        <v>1</v>
      </c>
      <c r="BX392" s="40">
        <f t="shared" si="101"/>
        <v>0.33986928104575165</v>
      </c>
      <c r="BY392" s="40">
        <f t="shared" si="102"/>
        <v>6.535947712418301E-2</v>
      </c>
      <c r="BZ392" t="str">
        <f t="shared" si="103"/>
        <v>OK</v>
      </c>
      <c r="CA392">
        <f t="shared" si="104"/>
        <v>1</v>
      </c>
    </row>
    <row r="393" spans="1:80" x14ac:dyDescent="0.25">
      <c r="A393" s="35">
        <v>45994</v>
      </c>
      <c r="B393" s="36">
        <v>5.0225</v>
      </c>
      <c r="C393" t="s">
        <v>113</v>
      </c>
      <c r="D393" t="s">
        <v>6</v>
      </c>
      <c r="E393" t="s">
        <v>126</v>
      </c>
      <c r="F393" t="s">
        <v>127</v>
      </c>
      <c r="G393">
        <v>2556</v>
      </c>
      <c r="H393">
        <v>2140110610</v>
      </c>
      <c r="I393" t="s">
        <v>128</v>
      </c>
      <c r="J393" s="37">
        <v>4950</v>
      </c>
      <c r="K393" s="37">
        <v>10</v>
      </c>
      <c r="M393">
        <v>2034</v>
      </c>
      <c r="O393">
        <v>130</v>
      </c>
      <c r="P393">
        <v>21</v>
      </c>
      <c r="Q393">
        <v>77</v>
      </c>
      <c r="T393">
        <v>2</v>
      </c>
      <c r="V393" t="s">
        <v>120</v>
      </c>
      <c r="Y393" s="38">
        <v>0.58263888888888893</v>
      </c>
      <c r="Z393" s="38">
        <v>0.79166666666666663</v>
      </c>
      <c r="AA393" t="s">
        <v>117</v>
      </c>
      <c r="AC393" t="s">
        <v>164</v>
      </c>
      <c r="AF393">
        <v>0.20930000000000001</v>
      </c>
      <c r="AG393">
        <v>0.41849999999999998</v>
      </c>
      <c r="AO393">
        <v>0.20930000000000001</v>
      </c>
      <c r="AQ393">
        <v>0.1046</v>
      </c>
      <c r="AW393">
        <v>1.3951</v>
      </c>
      <c r="BI393">
        <v>0.13950000000000001</v>
      </c>
      <c r="BK393">
        <f>0</f>
        <v>0</v>
      </c>
      <c r="BL393">
        <f t="shared" si="90"/>
        <v>2.4763000000000002</v>
      </c>
      <c r="BM393">
        <f t="shared" si="91"/>
        <v>0</v>
      </c>
      <c r="BN393">
        <f t="shared" si="92"/>
        <v>0</v>
      </c>
      <c r="BO393">
        <f t="shared" si="93"/>
        <v>1</v>
      </c>
      <c r="BP393" s="37">
        <f>IF($F393="","",IFERROR(INDEX(Familias!$C$5:$C$300,MATCH($F393,Familias!$A$5:$A$300,0)),""))</f>
        <v>2450</v>
      </c>
      <c r="BQ393" s="37">
        <f t="shared" si="94"/>
        <v>4960</v>
      </c>
      <c r="BR393" s="36">
        <f t="shared" si="95"/>
        <v>5.0225</v>
      </c>
      <c r="BS393" s="36">
        <f t="shared" si="96"/>
        <v>2.4763000000000002</v>
      </c>
      <c r="BT393" s="36">
        <f t="shared" si="97"/>
        <v>2.5461999999999998</v>
      </c>
      <c r="BU393" s="36">
        <f t="shared" si="98"/>
        <v>2.0245000000000002</v>
      </c>
      <c r="BV393" s="39">
        <f t="shared" si="99"/>
        <v>0.79510643311601614</v>
      </c>
      <c r="BW393" s="39">
        <f t="shared" si="100"/>
        <v>0.99798387096774188</v>
      </c>
      <c r="BX393" s="40">
        <f t="shared" si="101"/>
        <v>7.4237954768928222E-2</v>
      </c>
      <c r="BY393" s="40">
        <f t="shared" si="102"/>
        <v>3.7856440511307765E-2</v>
      </c>
      <c r="BZ393" t="str">
        <f t="shared" si="103"/>
        <v>OK</v>
      </c>
      <c r="CA393">
        <f t="shared" si="104"/>
        <v>1</v>
      </c>
    </row>
    <row r="394" spans="1:80" x14ac:dyDescent="0.25">
      <c r="A394" s="35">
        <v>45994</v>
      </c>
      <c r="B394" s="36">
        <v>12</v>
      </c>
      <c r="C394" t="s">
        <v>119</v>
      </c>
      <c r="D394" t="s">
        <v>6</v>
      </c>
      <c r="E394" t="s">
        <v>126</v>
      </c>
      <c r="F394" t="s">
        <v>127</v>
      </c>
      <c r="G394">
        <v>2556</v>
      </c>
      <c r="H394">
        <v>2140110610</v>
      </c>
      <c r="I394" t="s">
        <v>128</v>
      </c>
      <c r="J394" s="37">
        <v>16725</v>
      </c>
      <c r="K394" s="37"/>
      <c r="M394">
        <v>6322</v>
      </c>
      <c r="O394">
        <v>100</v>
      </c>
      <c r="P394">
        <v>40</v>
      </c>
      <c r="Q394">
        <v>125</v>
      </c>
      <c r="T394">
        <v>9</v>
      </c>
      <c r="V394" t="s">
        <v>116</v>
      </c>
      <c r="Y394" s="38">
        <v>0.79166666666666663</v>
      </c>
      <c r="Z394" s="38">
        <v>0.29166666666666669</v>
      </c>
      <c r="AA394" t="s">
        <v>117</v>
      </c>
      <c r="AC394" t="s">
        <v>118</v>
      </c>
      <c r="AO394">
        <v>0.5</v>
      </c>
      <c r="AQ394">
        <v>0.25</v>
      </c>
      <c r="AR394">
        <v>0.75</v>
      </c>
      <c r="BI394">
        <v>0.5</v>
      </c>
      <c r="BK394">
        <f>0</f>
        <v>0</v>
      </c>
      <c r="BL394">
        <f t="shared" si="90"/>
        <v>2</v>
      </c>
      <c r="BM394">
        <f t="shared" si="91"/>
        <v>0</v>
      </c>
      <c r="BN394">
        <f t="shared" si="92"/>
        <v>0</v>
      </c>
      <c r="BO394">
        <f t="shared" si="93"/>
        <v>1</v>
      </c>
      <c r="BP394" s="37">
        <f>IF($F394="","",IFERROR(INDEX(Familias!$C$5:$C$300,MATCH($F394,Familias!$A$5:$A$300,0)),""))</f>
        <v>2450</v>
      </c>
      <c r="BQ394" s="37">
        <f t="shared" si="94"/>
        <v>16725</v>
      </c>
      <c r="BR394" s="36">
        <f t="shared" si="95"/>
        <v>12</v>
      </c>
      <c r="BS394" s="36">
        <f t="shared" si="96"/>
        <v>2</v>
      </c>
      <c r="BT394" s="36">
        <f t="shared" si="97"/>
        <v>10</v>
      </c>
      <c r="BU394" s="36">
        <f t="shared" si="98"/>
        <v>6.8265000000000002</v>
      </c>
      <c r="BV394" s="39">
        <f t="shared" si="99"/>
        <v>0.68264999999999998</v>
      </c>
      <c r="BW394" s="39">
        <f t="shared" si="100"/>
        <v>1</v>
      </c>
      <c r="BX394" s="40">
        <f t="shared" si="101"/>
        <v>2.2144890857323633E-2</v>
      </c>
      <c r="BY394" s="40">
        <f t="shared" si="102"/>
        <v>1.9772223979753242E-2</v>
      </c>
      <c r="BZ394" t="str">
        <f t="shared" si="103"/>
        <v>OK</v>
      </c>
      <c r="CA394">
        <f t="shared" si="104"/>
        <v>1</v>
      </c>
    </row>
    <row r="395" spans="1:80" x14ac:dyDescent="0.25">
      <c r="A395" s="35">
        <v>45995</v>
      </c>
      <c r="B395" s="36">
        <v>12</v>
      </c>
      <c r="C395" t="s">
        <v>113</v>
      </c>
      <c r="D395" t="s">
        <v>6</v>
      </c>
      <c r="E395" t="s">
        <v>126</v>
      </c>
      <c r="F395" t="s">
        <v>127</v>
      </c>
      <c r="G395">
        <v>2556</v>
      </c>
      <c r="H395">
        <v>2140110610</v>
      </c>
      <c r="I395" t="s">
        <v>128</v>
      </c>
      <c r="J395" s="37">
        <v>16098</v>
      </c>
      <c r="K395" s="37">
        <v>10</v>
      </c>
      <c r="M395">
        <v>6204</v>
      </c>
      <c r="O395">
        <v>100</v>
      </c>
      <c r="P395">
        <v>70</v>
      </c>
      <c r="Q395">
        <v>70</v>
      </c>
      <c r="T395">
        <v>9</v>
      </c>
      <c r="V395" t="s">
        <v>120</v>
      </c>
      <c r="Y395" s="38">
        <v>0.29166666666666669</v>
      </c>
      <c r="Z395" s="38">
        <v>0.79166666666666663</v>
      </c>
      <c r="AA395" t="s">
        <v>117</v>
      </c>
      <c r="AC395" t="s">
        <v>118</v>
      </c>
      <c r="AO395">
        <v>1</v>
      </c>
      <c r="AQ395">
        <v>0.25</v>
      </c>
      <c r="AR395">
        <v>0.75</v>
      </c>
      <c r="BI395">
        <v>0.33329999999999999</v>
      </c>
      <c r="BK395">
        <f>0</f>
        <v>0</v>
      </c>
      <c r="BL395">
        <f t="shared" si="90"/>
        <v>2.3332999999999999</v>
      </c>
      <c r="BM395">
        <f t="shared" si="91"/>
        <v>0</v>
      </c>
      <c r="BN395">
        <f t="shared" si="92"/>
        <v>0</v>
      </c>
      <c r="BO395">
        <f t="shared" si="93"/>
        <v>1</v>
      </c>
      <c r="BP395" s="37">
        <f>IF($F395="","",IFERROR(INDEX(Familias!$C$5:$C$300,MATCH($F395,Familias!$A$5:$A$300,0)),""))</f>
        <v>2450</v>
      </c>
      <c r="BQ395" s="37">
        <f t="shared" si="94"/>
        <v>16108</v>
      </c>
      <c r="BR395" s="36">
        <f t="shared" si="95"/>
        <v>12</v>
      </c>
      <c r="BS395" s="36">
        <f t="shared" si="96"/>
        <v>2.3332999999999999</v>
      </c>
      <c r="BT395" s="36">
        <f t="shared" si="97"/>
        <v>9.6667000000000005</v>
      </c>
      <c r="BU395" s="36">
        <f t="shared" si="98"/>
        <v>6.5747</v>
      </c>
      <c r="BV395" s="39">
        <f t="shared" si="99"/>
        <v>0.68013903400333098</v>
      </c>
      <c r="BW395" s="39">
        <f t="shared" si="100"/>
        <v>0.99937919046436552</v>
      </c>
      <c r="BX395" s="40">
        <f t="shared" si="101"/>
        <v>2.7401676337846549E-2</v>
      </c>
      <c r="BY395" s="40">
        <f t="shared" si="102"/>
        <v>1.1283043197936816E-2</v>
      </c>
      <c r="BZ395" t="str">
        <f t="shared" si="103"/>
        <v>OK</v>
      </c>
      <c r="CA395">
        <f t="shared" si="104"/>
        <v>1</v>
      </c>
    </row>
    <row r="396" spans="1:80" x14ac:dyDescent="0.25">
      <c r="A396" s="35">
        <v>45995</v>
      </c>
      <c r="B396" s="36">
        <v>12</v>
      </c>
      <c r="C396" t="s">
        <v>119</v>
      </c>
      <c r="D396" t="s">
        <v>6</v>
      </c>
      <c r="E396" t="s">
        <v>126</v>
      </c>
      <c r="F396" t="s">
        <v>127</v>
      </c>
      <c r="G396">
        <v>2556</v>
      </c>
      <c r="H396">
        <v>2140110610</v>
      </c>
      <c r="I396" t="s">
        <v>128</v>
      </c>
      <c r="J396" s="37">
        <v>20700</v>
      </c>
      <c r="K396" s="37">
        <v>10</v>
      </c>
      <c r="M396">
        <v>7724</v>
      </c>
      <c r="O396">
        <v>80</v>
      </c>
      <c r="P396">
        <v>26</v>
      </c>
      <c r="Q396">
        <v>280</v>
      </c>
      <c r="T396">
        <v>11</v>
      </c>
      <c r="V396" t="s">
        <v>116</v>
      </c>
      <c r="Y396" s="38">
        <v>0.79166666666666663</v>
      </c>
      <c r="Z396" s="38">
        <v>0.29166666666666669</v>
      </c>
      <c r="AA396" t="s">
        <v>117</v>
      </c>
      <c r="AC396" t="s">
        <v>118</v>
      </c>
      <c r="AQ396">
        <v>0.25</v>
      </c>
      <c r="AR396">
        <v>0.75</v>
      </c>
      <c r="BI396">
        <v>0.5</v>
      </c>
      <c r="BK396">
        <f>0</f>
        <v>0</v>
      </c>
      <c r="BL396">
        <f t="shared" si="90"/>
        <v>1.5</v>
      </c>
      <c r="BM396">
        <f t="shared" si="91"/>
        <v>0</v>
      </c>
      <c r="BN396">
        <f t="shared" si="92"/>
        <v>0</v>
      </c>
      <c r="BO396">
        <f t="shared" si="93"/>
        <v>1</v>
      </c>
      <c r="BP396" s="37">
        <f>IF($F396="","",IFERROR(INDEX(Familias!$C$5:$C$300,MATCH($F396,Familias!$A$5:$A$300,0)),""))</f>
        <v>2450</v>
      </c>
      <c r="BQ396" s="37">
        <f t="shared" si="94"/>
        <v>20710</v>
      </c>
      <c r="BR396" s="36">
        <f t="shared" si="95"/>
        <v>12</v>
      </c>
      <c r="BS396" s="36">
        <f t="shared" si="96"/>
        <v>1.5</v>
      </c>
      <c r="BT396" s="36">
        <f t="shared" si="97"/>
        <v>10.5</v>
      </c>
      <c r="BU396" s="36">
        <f t="shared" si="98"/>
        <v>8.4530999999999992</v>
      </c>
      <c r="BV396" s="39">
        <f t="shared" si="99"/>
        <v>0.8050571428571428</v>
      </c>
      <c r="BW396" s="39">
        <f t="shared" si="100"/>
        <v>0.99951714147754711</v>
      </c>
      <c r="BX396" s="40">
        <f t="shared" si="101"/>
        <v>1.3723459347488347E-2</v>
      </c>
      <c r="BY396" s="40">
        <f t="shared" si="102"/>
        <v>3.6250647332988092E-2</v>
      </c>
      <c r="BZ396" t="str">
        <f t="shared" si="103"/>
        <v>OK</v>
      </c>
      <c r="CA396">
        <f t="shared" si="104"/>
        <v>1</v>
      </c>
    </row>
    <row r="397" spans="1:80" x14ac:dyDescent="0.25">
      <c r="A397" s="35">
        <v>45996</v>
      </c>
      <c r="B397" s="36">
        <v>12</v>
      </c>
      <c r="C397" t="s">
        <v>113</v>
      </c>
      <c r="D397" t="s">
        <v>6</v>
      </c>
      <c r="E397" t="s">
        <v>126</v>
      </c>
      <c r="F397" t="s">
        <v>127</v>
      </c>
      <c r="G397">
        <v>2556</v>
      </c>
      <c r="H397">
        <v>2140110610</v>
      </c>
      <c r="I397" t="s">
        <v>128</v>
      </c>
      <c r="J397" s="37">
        <v>18325</v>
      </c>
      <c r="K397" s="37">
        <v>10</v>
      </c>
      <c r="M397">
        <v>7178</v>
      </c>
      <c r="O397">
        <v>115</v>
      </c>
      <c r="P397">
        <v>70</v>
      </c>
      <c r="Q397">
        <v>198</v>
      </c>
      <c r="T397">
        <v>10</v>
      </c>
      <c r="V397" t="s">
        <v>120</v>
      </c>
      <c r="Y397" s="38">
        <v>0.29166666666666669</v>
      </c>
      <c r="Z397" s="38">
        <v>0.79166666666666663</v>
      </c>
      <c r="AA397" t="s">
        <v>117</v>
      </c>
      <c r="AC397" t="s">
        <v>118</v>
      </c>
      <c r="AQ397">
        <v>0.25</v>
      </c>
      <c r="AR397">
        <v>0.75</v>
      </c>
      <c r="BI397">
        <v>0.33329999999999999</v>
      </c>
      <c r="BJ397">
        <v>1</v>
      </c>
      <c r="BK397">
        <f>0</f>
        <v>0</v>
      </c>
      <c r="BL397">
        <f t="shared" si="90"/>
        <v>2.3332999999999999</v>
      </c>
      <c r="BM397">
        <f t="shared" si="91"/>
        <v>0</v>
      </c>
      <c r="BN397">
        <f t="shared" si="92"/>
        <v>0</v>
      </c>
      <c r="BO397">
        <f t="shared" si="93"/>
        <v>1</v>
      </c>
      <c r="BP397" s="37">
        <f>IF($F397="","",IFERROR(INDEX(Familias!$C$5:$C$300,MATCH($F397,Familias!$A$5:$A$300,0)),""))</f>
        <v>2450</v>
      </c>
      <c r="BQ397" s="37">
        <f t="shared" si="94"/>
        <v>18335</v>
      </c>
      <c r="BR397" s="36">
        <f t="shared" si="95"/>
        <v>12</v>
      </c>
      <c r="BS397" s="36">
        <f t="shared" si="96"/>
        <v>2.3332999999999999</v>
      </c>
      <c r="BT397" s="36">
        <f t="shared" si="97"/>
        <v>9.6667000000000005</v>
      </c>
      <c r="BU397" s="36">
        <f t="shared" si="98"/>
        <v>7.4836999999999998</v>
      </c>
      <c r="BV397" s="39">
        <f t="shared" si="99"/>
        <v>0.77417319250623262</v>
      </c>
      <c r="BW397" s="39">
        <f t="shared" si="100"/>
        <v>0.99945459503681489</v>
      </c>
      <c r="BX397" s="40">
        <f t="shared" si="101"/>
        <v>2.5773195876288658E-2</v>
      </c>
      <c r="BY397" s="40">
        <f t="shared" si="102"/>
        <v>2.758428531624408E-2</v>
      </c>
      <c r="BZ397" t="str">
        <f t="shared" si="103"/>
        <v>OK</v>
      </c>
      <c r="CA397">
        <f t="shared" si="104"/>
        <v>1</v>
      </c>
    </row>
    <row r="398" spans="1:80" x14ac:dyDescent="0.25">
      <c r="A398" s="35">
        <v>45996</v>
      </c>
      <c r="B398" s="36">
        <v>12</v>
      </c>
      <c r="C398" t="s">
        <v>119</v>
      </c>
      <c r="D398" t="s">
        <v>6</v>
      </c>
      <c r="E398" t="s">
        <v>126</v>
      </c>
      <c r="F398" t="s">
        <v>127</v>
      </c>
      <c r="G398">
        <v>2556</v>
      </c>
      <c r="H398">
        <v>2140110610</v>
      </c>
      <c r="I398" t="s">
        <v>128</v>
      </c>
      <c r="J398" s="37">
        <v>20100</v>
      </c>
      <c r="K398" s="37">
        <v>20</v>
      </c>
      <c r="M398">
        <v>7582</v>
      </c>
      <c r="O398">
        <v>70</v>
      </c>
      <c r="P398">
        <v>55</v>
      </c>
      <c r="Q398">
        <v>399</v>
      </c>
      <c r="T398">
        <v>9</v>
      </c>
      <c r="V398" t="s">
        <v>116</v>
      </c>
      <c r="Y398" s="38">
        <v>0.79166666666666663</v>
      </c>
      <c r="Z398" s="38">
        <v>0.29166666666666669</v>
      </c>
      <c r="AA398" t="s">
        <v>117</v>
      </c>
      <c r="AC398" t="s">
        <v>118</v>
      </c>
      <c r="AQ398">
        <v>0.25</v>
      </c>
      <c r="AR398">
        <v>0.75</v>
      </c>
      <c r="BI398">
        <v>0.5</v>
      </c>
      <c r="BK398">
        <f>0</f>
        <v>0</v>
      </c>
      <c r="BL398">
        <f t="shared" si="90"/>
        <v>1.5</v>
      </c>
      <c r="BM398">
        <f t="shared" si="91"/>
        <v>0</v>
      </c>
      <c r="BN398">
        <f t="shared" si="92"/>
        <v>0</v>
      </c>
      <c r="BO398">
        <f t="shared" si="93"/>
        <v>1</v>
      </c>
      <c r="BP398" s="37">
        <f>IF($F398="","",IFERROR(INDEX(Familias!$C$5:$C$300,MATCH($F398,Familias!$A$5:$A$300,0)),""))</f>
        <v>2450</v>
      </c>
      <c r="BQ398" s="37">
        <f t="shared" si="94"/>
        <v>20120</v>
      </c>
      <c r="BR398" s="36">
        <f t="shared" si="95"/>
        <v>12</v>
      </c>
      <c r="BS398" s="36">
        <f t="shared" si="96"/>
        <v>1.5</v>
      </c>
      <c r="BT398" s="36">
        <f t="shared" si="97"/>
        <v>10.5</v>
      </c>
      <c r="BU398" s="36">
        <f t="shared" si="98"/>
        <v>8.2121999999999993</v>
      </c>
      <c r="BV398" s="39">
        <f t="shared" si="99"/>
        <v>0.78211428571428565</v>
      </c>
      <c r="BW398" s="39">
        <f t="shared" si="100"/>
        <v>0.99900596421471177</v>
      </c>
      <c r="BX398" s="40">
        <f t="shared" si="101"/>
        <v>1.6486415193880243E-2</v>
      </c>
      <c r="BY398" s="40">
        <f t="shared" si="102"/>
        <v>5.2624637298865733E-2</v>
      </c>
      <c r="BZ398" t="str">
        <f t="shared" si="103"/>
        <v>OK</v>
      </c>
      <c r="CA398">
        <f t="shared" si="104"/>
        <v>1</v>
      </c>
    </row>
    <row r="399" spans="1:80" x14ac:dyDescent="0.25">
      <c r="A399" s="35">
        <v>45997</v>
      </c>
      <c r="B399" s="36">
        <v>12</v>
      </c>
      <c r="C399" t="s">
        <v>113</v>
      </c>
      <c r="D399" t="s">
        <v>6</v>
      </c>
      <c r="E399" t="s">
        <v>126</v>
      </c>
      <c r="F399" t="s">
        <v>127</v>
      </c>
      <c r="G399">
        <v>2556</v>
      </c>
      <c r="H399">
        <v>2140110610</v>
      </c>
      <c r="I399" t="s">
        <v>128</v>
      </c>
      <c r="J399" s="37">
        <v>17700</v>
      </c>
      <c r="K399" s="37"/>
      <c r="M399">
        <v>6922</v>
      </c>
      <c r="O399">
        <v>75</v>
      </c>
      <c r="P399">
        <v>54</v>
      </c>
      <c r="Q399">
        <v>403</v>
      </c>
      <c r="V399" t="s">
        <v>120</v>
      </c>
      <c r="Y399" s="38">
        <v>0.29166666666666669</v>
      </c>
      <c r="Z399" s="38">
        <v>0.79166666666666663</v>
      </c>
      <c r="AA399" t="s">
        <v>117</v>
      </c>
      <c r="AC399" t="s">
        <v>118</v>
      </c>
      <c r="AR399">
        <v>0.75</v>
      </c>
      <c r="BC399">
        <v>1.6667000000000001</v>
      </c>
      <c r="BI399">
        <v>0.33329999999999999</v>
      </c>
      <c r="BK399">
        <f>0</f>
        <v>0</v>
      </c>
      <c r="BL399">
        <f t="shared" si="90"/>
        <v>2.75</v>
      </c>
      <c r="BM399">
        <f t="shared" si="91"/>
        <v>0</v>
      </c>
      <c r="BN399">
        <f t="shared" si="92"/>
        <v>0</v>
      </c>
      <c r="BO399">
        <f t="shared" si="93"/>
        <v>1</v>
      </c>
      <c r="BP399" s="37">
        <f>IF($F399="","",IFERROR(INDEX(Familias!$C$5:$C$300,MATCH($F399,Familias!$A$5:$A$300,0)),""))</f>
        <v>2450</v>
      </c>
      <c r="BQ399" s="37">
        <f t="shared" si="94"/>
        <v>17700</v>
      </c>
      <c r="BR399" s="36">
        <f t="shared" si="95"/>
        <v>12</v>
      </c>
      <c r="BS399" s="36">
        <f t="shared" si="96"/>
        <v>2.75</v>
      </c>
      <c r="BT399" s="36">
        <f t="shared" si="97"/>
        <v>9.25</v>
      </c>
      <c r="BU399" s="36">
        <f t="shared" si="98"/>
        <v>7.2244999999999999</v>
      </c>
      <c r="BV399" s="39">
        <f t="shared" si="99"/>
        <v>0.78102702702702698</v>
      </c>
      <c r="BW399" s="39">
        <f t="shared" si="100"/>
        <v>1</v>
      </c>
      <c r="BX399" s="40">
        <f t="shared" si="101"/>
        <v>1.8636232302802657E-2</v>
      </c>
      <c r="BY399" s="40">
        <f t="shared" si="102"/>
        <v>5.8220167581623808E-2</v>
      </c>
      <c r="BZ399" t="str">
        <f t="shared" si="103"/>
        <v>OK</v>
      </c>
      <c r="CA399">
        <f t="shared" si="104"/>
        <v>1</v>
      </c>
    </row>
    <row r="400" spans="1:80" x14ac:dyDescent="0.25">
      <c r="A400" s="35">
        <v>46001</v>
      </c>
      <c r="B400" s="36">
        <v>12</v>
      </c>
      <c r="C400" t="s">
        <v>113</v>
      </c>
      <c r="D400" t="s">
        <v>6</v>
      </c>
      <c r="E400" t="s">
        <v>126</v>
      </c>
      <c r="F400" t="s">
        <v>127</v>
      </c>
      <c r="G400">
        <v>2556</v>
      </c>
      <c r="H400">
        <v>2140110610</v>
      </c>
      <c r="I400" t="s">
        <v>128</v>
      </c>
      <c r="J400" s="37">
        <v>14500</v>
      </c>
      <c r="K400" s="37">
        <v>25</v>
      </c>
      <c r="M400">
        <v>5529</v>
      </c>
      <c r="O400">
        <v>150</v>
      </c>
      <c r="P400">
        <v>34</v>
      </c>
      <c r="Q400">
        <v>90</v>
      </c>
      <c r="T400">
        <v>7</v>
      </c>
      <c r="V400" t="s">
        <v>116</v>
      </c>
      <c r="Y400" s="38">
        <v>0.29166666666666669</v>
      </c>
      <c r="Z400" s="38">
        <v>0.79166666666666663</v>
      </c>
      <c r="AA400" t="s">
        <v>117</v>
      </c>
      <c r="AC400" t="s">
        <v>118</v>
      </c>
      <c r="AD400">
        <v>1</v>
      </c>
      <c r="AQ400">
        <v>0.25</v>
      </c>
      <c r="AR400">
        <v>0.75</v>
      </c>
      <c r="AW400">
        <v>2</v>
      </c>
      <c r="BK400">
        <f>0</f>
        <v>0</v>
      </c>
      <c r="BL400">
        <f t="shared" si="90"/>
        <v>4</v>
      </c>
      <c r="BM400">
        <f t="shared" si="91"/>
        <v>0</v>
      </c>
      <c r="BN400">
        <f t="shared" si="92"/>
        <v>0</v>
      </c>
      <c r="BO400">
        <f t="shared" si="93"/>
        <v>1</v>
      </c>
      <c r="BP400" s="37">
        <f>IF($F400="","",IFERROR(INDEX(Familias!$C$5:$C$300,MATCH($F400,Familias!$A$5:$A$300,0)),""))</f>
        <v>2450</v>
      </c>
      <c r="BQ400" s="37">
        <f t="shared" si="94"/>
        <v>14525</v>
      </c>
      <c r="BR400" s="36">
        <f t="shared" si="95"/>
        <v>12</v>
      </c>
      <c r="BS400" s="36">
        <f t="shared" si="96"/>
        <v>4</v>
      </c>
      <c r="BT400" s="36">
        <f t="shared" si="97"/>
        <v>8</v>
      </c>
      <c r="BU400" s="36">
        <f t="shared" si="98"/>
        <v>5.9286000000000003</v>
      </c>
      <c r="BV400" s="39">
        <f t="shared" si="99"/>
        <v>0.74107500000000004</v>
      </c>
      <c r="BW400" s="39">
        <f t="shared" si="100"/>
        <v>0.99827882960413084</v>
      </c>
      <c r="BX400" s="40">
        <f t="shared" si="101"/>
        <v>3.3279073973593781E-2</v>
      </c>
      <c r="BY400" s="40">
        <f t="shared" si="102"/>
        <v>1.6277807921866522E-2</v>
      </c>
      <c r="BZ400" t="str">
        <f t="shared" si="103"/>
        <v>OK</v>
      </c>
      <c r="CA400">
        <f t="shared" si="104"/>
        <v>1</v>
      </c>
    </row>
    <row r="401" spans="1:80" x14ac:dyDescent="0.25">
      <c r="A401" s="35">
        <v>46001</v>
      </c>
      <c r="B401" s="36">
        <v>1.8353999999999999</v>
      </c>
      <c r="C401" t="s">
        <v>119</v>
      </c>
      <c r="D401" t="s">
        <v>6</v>
      </c>
      <c r="E401" t="s">
        <v>126</v>
      </c>
      <c r="F401" t="s">
        <v>127</v>
      </c>
      <c r="G401">
        <v>2556</v>
      </c>
      <c r="H401">
        <v>2140110610</v>
      </c>
      <c r="I401" t="s">
        <v>128</v>
      </c>
      <c r="J401" s="37">
        <v>1825</v>
      </c>
      <c r="K401" s="37"/>
      <c r="M401">
        <v>506</v>
      </c>
      <c r="O401">
        <v>10</v>
      </c>
      <c r="P401">
        <v>7</v>
      </c>
      <c r="T401">
        <v>1</v>
      </c>
      <c r="V401" t="s">
        <v>120</v>
      </c>
      <c r="Y401" s="38">
        <v>0.79166666666666663</v>
      </c>
      <c r="Z401" s="38">
        <v>0.86805555555555558</v>
      </c>
      <c r="AA401" t="s">
        <v>117</v>
      </c>
      <c r="AC401" t="s">
        <v>121</v>
      </c>
      <c r="AF401">
        <v>5.0999999999999997E-2</v>
      </c>
      <c r="AG401">
        <v>0.25490000000000002</v>
      </c>
      <c r="AQ401">
        <v>3.8199999999999998E-2</v>
      </c>
      <c r="AR401">
        <v>0.1147</v>
      </c>
      <c r="BI401">
        <v>5.0999999999999997E-2</v>
      </c>
      <c r="BK401">
        <f>0</f>
        <v>0</v>
      </c>
      <c r="BL401">
        <f t="shared" si="90"/>
        <v>0.50980000000000003</v>
      </c>
      <c r="BM401">
        <f t="shared" si="91"/>
        <v>0</v>
      </c>
      <c r="BN401">
        <f t="shared" si="92"/>
        <v>0</v>
      </c>
      <c r="BO401">
        <f t="shared" si="93"/>
        <v>1</v>
      </c>
      <c r="BP401" s="37">
        <f>IF($F401="","",IFERROR(INDEX(Familias!$C$5:$C$300,MATCH($F401,Familias!$A$5:$A$300,0)),""))</f>
        <v>2450</v>
      </c>
      <c r="BQ401" s="37">
        <f t="shared" si="94"/>
        <v>1825</v>
      </c>
      <c r="BR401" s="36">
        <f t="shared" si="95"/>
        <v>1.8353999999999999</v>
      </c>
      <c r="BS401" s="36">
        <f t="shared" si="96"/>
        <v>0.50980000000000003</v>
      </c>
      <c r="BT401" s="36">
        <f t="shared" si="97"/>
        <v>1.3255999999999999</v>
      </c>
      <c r="BU401" s="36">
        <f t="shared" si="98"/>
        <v>0.74490000000000001</v>
      </c>
      <c r="BV401" s="39">
        <f t="shared" si="99"/>
        <v>0.56193421846710934</v>
      </c>
      <c r="BW401" s="39">
        <f t="shared" si="100"/>
        <v>1</v>
      </c>
      <c r="BX401" s="40">
        <f t="shared" si="101"/>
        <v>3.3596837944664032E-2</v>
      </c>
      <c r="BY401" s="40">
        <f t="shared" si="102"/>
        <v>0</v>
      </c>
      <c r="BZ401" t="str">
        <f t="shared" si="103"/>
        <v>OK</v>
      </c>
      <c r="CA401">
        <f t="shared" si="104"/>
        <v>1</v>
      </c>
    </row>
    <row r="402" spans="1:80" x14ac:dyDescent="0.25">
      <c r="A402" s="35">
        <v>46001</v>
      </c>
      <c r="B402" s="36">
        <v>10.1646</v>
      </c>
      <c r="C402" t="s">
        <v>119</v>
      </c>
      <c r="D402" t="s">
        <v>6</v>
      </c>
      <c r="E402" t="s">
        <v>126</v>
      </c>
      <c r="F402" t="s">
        <v>127</v>
      </c>
      <c r="G402">
        <v>2626</v>
      </c>
      <c r="H402">
        <v>2140110674</v>
      </c>
      <c r="I402" t="s">
        <v>130</v>
      </c>
      <c r="J402" s="37">
        <v>10100</v>
      </c>
      <c r="K402" s="37">
        <v>7</v>
      </c>
      <c r="M402">
        <v>3751</v>
      </c>
      <c r="O402">
        <v>50</v>
      </c>
      <c r="P402">
        <v>35</v>
      </c>
      <c r="Q402">
        <v>80</v>
      </c>
      <c r="R402">
        <v>30</v>
      </c>
      <c r="T402">
        <v>5</v>
      </c>
      <c r="V402" t="s">
        <v>120</v>
      </c>
      <c r="Y402" s="38">
        <v>0.86805555555555558</v>
      </c>
      <c r="Z402" s="38">
        <v>0.29166666666666669</v>
      </c>
      <c r="AA402" t="s">
        <v>117</v>
      </c>
      <c r="AC402" t="s">
        <v>121</v>
      </c>
      <c r="AF402">
        <v>0.2823</v>
      </c>
      <c r="AG402">
        <v>1.4117</v>
      </c>
      <c r="AQ402">
        <v>0.21179999999999999</v>
      </c>
      <c r="AR402">
        <v>0.63529999999999998</v>
      </c>
      <c r="BI402">
        <v>0.2823</v>
      </c>
      <c r="BK402">
        <f>0</f>
        <v>0</v>
      </c>
      <c r="BL402">
        <f t="shared" si="90"/>
        <v>2.8234000000000004</v>
      </c>
      <c r="BM402">
        <f t="shared" si="91"/>
        <v>0</v>
      </c>
      <c r="BN402">
        <f t="shared" si="92"/>
        <v>0</v>
      </c>
      <c r="BO402">
        <f t="shared" si="93"/>
        <v>1</v>
      </c>
      <c r="BP402" s="37">
        <f>IF($F402="","",IFERROR(INDEX(Familias!$C$5:$C$300,MATCH($F402,Familias!$A$5:$A$300,0)),""))</f>
        <v>2450</v>
      </c>
      <c r="BQ402" s="37">
        <f t="shared" si="94"/>
        <v>10107</v>
      </c>
      <c r="BR402" s="36">
        <f t="shared" si="95"/>
        <v>10.1646</v>
      </c>
      <c r="BS402" s="36">
        <f t="shared" si="96"/>
        <v>2.8233999999999999</v>
      </c>
      <c r="BT402" s="36">
        <f t="shared" si="97"/>
        <v>7.3411999999999997</v>
      </c>
      <c r="BU402" s="36">
        <f t="shared" si="98"/>
        <v>4.1253000000000002</v>
      </c>
      <c r="BV402" s="39">
        <f t="shared" si="99"/>
        <v>0.56193810276249123</v>
      </c>
      <c r="BW402" s="39">
        <f t="shared" si="100"/>
        <v>0.9993074107054517</v>
      </c>
      <c r="BX402" s="40">
        <f t="shared" si="101"/>
        <v>3.0658491069048253E-2</v>
      </c>
      <c r="BY402" s="40">
        <f t="shared" si="102"/>
        <v>2.1327645961077047E-2</v>
      </c>
      <c r="BZ402" t="str">
        <f t="shared" si="103"/>
        <v>OK</v>
      </c>
      <c r="CA402">
        <f t="shared" si="104"/>
        <v>1</v>
      </c>
    </row>
    <row r="403" spans="1:80" x14ac:dyDescent="0.25">
      <c r="A403" s="35">
        <v>46002</v>
      </c>
      <c r="B403" s="36">
        <v>11.085599999999999</v>
      </c>
      <c r="C403" t="s">
        <v>113</v>
      </c>
      <c r="D403" t="s">
        <v>6</v>
      </c>
      <c r="E403" t="s">
        <v>147</v>
      </c>
      <c r="F403" t="s">
        <v>193</v>
      </c>
      <c r="G403">
        <v>2627</v>
      </c>
      <c r="H403">
        <v>2140110687</v>
      </c>
      <c r="I403" t="s">
        <v>196</v>
      </c>
      <c r="J403" s="37">
        <v>9200</v>
      </c>
      <c r="K403" s="37">
        <v>15</v>
      </c>
      <c r="M403">
        <v>2029</v>
      </c>
      <c r="P403">
        <v>21</v>
      </c>
      <c r="Q403">
        <v>20</v>
      </c>
      <c r="T403">
        <v>4</v>
      </c>
      <c r="V403" t="s">
        <v>116</v>
      </c>
      <c r="Y403" s="38">
        <v>0.29166666666666669</v>
      </c>
      <c r="Z403" s="38">
        <v>0.75347222222222221</v>
      </c>
      <c r="AA403" t="s">
        <v>117</v>
      </c>
      <c r="AC403" t="s">
        <v>121</v>
      </c>
      <c r="AE403">
        <v>2.8483999999999998</v>
      </c>
      <c r="AQ403">
        <v>0.23089999999999999</v>
      </c>
      <c r="AR403">
        <v>0.69279999999999997</v>
      </c>
      <c r="BI403">
        <v>0.30790000000000001</v>
      </c>
      <c r="BK403">
        <f>0</f>
        <v>0</v>
      </c>
      <c r="BL403">
        <f t="shared" si="90"/>
        <v>4.08</v>
      </c>
      <c r="BM403">
        <f t="shared" si="91"/>
        <v>0</v>
      </c>
      <c r="BN403">
        <f t="shared" si="92"/>
        <v>0</v>
      </c>
      <c r="BO403">
        <f t="shared" si="93"/>
        <v>1</v>
      </c>
      <c r="BP403" s="37">
        <f>IF($F403="","",IFERROR(INDEX(Familias!$C$5:$C$300,MATCH($F403,Familias!$A$5:$A$300,0)),""))</f>
        <v>1880</v>
      </c>
      <c r="BQ403" s="37">
        <f t="shared" si="94"/>
        <v>9215</v>
      </c>
      <c r="BR403" s="36">
        <f t="shared" si="95"/>
        <v>11.085599999999999</v>
      </c>
      <c r="BS403" s="36">
        <f t="shared" si="96"/>
        <v>4.08</v>
      </c>
      <c r="BT403" s="36">
        <f t="shared" si="97"/>
        <v>7.0056000000000003</v>
      </c>
      <c r="BU403" s="36">
        <f t="shared" si="98"/>
        <v>4.9016000000000002</v>
      </c>
      <c r="BV403" s="39">
        <f t="shared" si="99"/>
        <v>0.69966883635948385</v>
      </c>
      <c r="BW403" s="39">
        <f t="shared" si="100"/>
        <v>0.99837221920781338</v>
      </c>
      <c r="BX403" s="40">
        <f t="shared" si="101"/>
        <v>1.0349926071956629E-2</v>
      </c>
      <c r="BY403" s="40">
        <f t="shared" si="102"/>
        <v>9.857072449482503E-3</v>
      </c>
      <c r="BZ403" t="str">
        <f t="shared" si="103"/>
        <v>OK</v>
      </c>
      <c r="CA403">
        <f t="shared" si="104"/>
        <v>1</v>
      </c>
    </row>
    <row r="404" spans="1:80" x14ac:dyDescent="0.25">
      <c r="A404" s="35">
        <v>46002</v>
      </c>
      <c r="B404" s="36">
        <v>0.91439999999999999</v>
      </c>
      <c r="C404" t="s">
        <v>113</v>
      </c>
      <c r="D404" t="s">
        <v>6</v>
      </c>
      <c r="E404" t="s">
        <v>126</v>
      </c>
      <c r="F404" t="s">
        <v>191</v>
      </c>
      <c r="G404">
        <v>2678</v>
      </c>
      <c r="H404">
        <v>2140110533</v>
      </c>
      <c r="I404" t="s">
        <v>192</v>
      </c>
      <c r="J404" s="37">
        <v>1500</v>
      </c>
      <c r="K404" s="37"/>
      <c r="M404">
        <v>1700</v>
      </c>
      <c r="P404">
        <v>7</v>
      </c>
      <c r="Q404">
        <v>45</v>
      </c>
      <c r="T404">
        <v>3</v>
      </c>
      <c r="V404" t="s">
        <v>116</v>
      </c>
      <c r="Y404" s="38">
        <v>0.75347222222222221</v>
      </c>
      <c r="Z404" s="38">
        <v>0.79166666666666663</v>
      </c>
      <c r="AA404" t="s">
        <v>117</v>
      </c>
      <c r="AC404" t="s">
        <v>121</v>
      </c>
      <c r="AE404">
        <v>0.23499999999999999</v>
      </c>
      <c r="AQ404">
        <v>1.9099999999999999E-2</v>
      </c>
      <c r="AR404">
        <v>5.7200000000000001E-2</v>
      </c>
      <c r="BI404">
        <v>2.5399999999999999E-2</v>
      </c>
      <c r="BK404">
        <f>0</f>
        <v>0</v>
      </c>
      <c r="BL404">
        <f t="shared" si="90"/>
        <v>0.3367</v>
      </c>
      <c r="BM404">
        <f t="shared" si="91"/>
        <v>0</v>
      </c>
      <c r="BN404">
        <f t="shared" si="92"/>
        <v>0</v>
      </c>
      <c r="BO404">
        <f t="shared" si="93"/>
        <v>1</v>
      </c>
      <c r="BP404" s="37">
        <f>IF($F404="","",IFERROR(INDEX(Familias!$C$5:$C$300,MATCH($F404,Familias!$A$5:$A$300,0)),""))</f>
        <v>3710</v>
      </c>
      <c r="BQ404" s="37">
        <f t="shared" si="94"/>
        <v>1500</v>
      </c>
      <c r="BR404" s="36">
        <f t="shared" si="95"/>
        <v>0.91439999999999999</v>
      </c>
      <c r="BS404" s="36">
        <f t="shared" si="96"/>
        <v>0.3367</v>
      </c>
      <c r="BT404" s="36">
        <f t="shared" si="97"/>
        <v>0.57769999999999999</v>
      </c>
      <c r="BU404" s="36">
        <f t="shared" si="98"/>
        <v>0.40429999999999999</v>
      </c>
      <c r="BV404" s="39">
        <f t="shared" si="99"/>
        <v>0.69984420979747275</v>
      </c>
      <c r="BW404" s="39">
        <f t="shared" si="100"/>
        <v>1</v>
      </c>
      <c r="BX404" s="40">
        <f t="shared" si="101"/>
        <v>4.1176470588235297E-3</v>
      </c>
      <c r="BY404" s="40">
        <f t="shared" si="102"/>
        <v>2.6470588235294117E-2</v>
      </c>
      <c r="BZ404" t="str">
        <f t="shared" si="103"/>
        <v>OK</v>
      </c>
      <c r="CA404">
        <f t="shared" si="104"/>
        <v>1</v>
      </c>
    </row>
    <row r="405" spans="1:80" x14ac:dyDescent="0.25">
      <c r="A405" s="35">
        <v>46002</v>
      </c>
      <c r="B405" s="36">
        <v>12</v>
      </c>
      <c r="C405" t="s">
        <v>119</v>
      </c>
      <c r="D405" t="s">
        <v>6</v>
      </c>
      <c r="E405" t="s">
        <v>147</v>
      </c>
      <c r="F405" t="s">
        <v>193</v>
      </c>
      <c r="G405">
        <v>2627</v>
      </c>
      <c r="H405">
        <v>2140110687</v>
      </c>
      <c r="I405" t="s">
        <v>196</v>
      </c>
      <c r="J405" s="37">
        <v>16800</v>
      </c>
      <c r="K405" s="37">
        <v>5</v>
      </c>
      <c r="M405">
        <v>6325</v>
      </c>
      <c r="O405">
        <v>70</v>
      </c>
      <c r="P405">
        <v>77</v>
      </c>
      <c r="Q405">
        <v>106</v>
      </c>
      <c r="T405">
        <v>11</v>
      </c>
      <c r="V405" t="s">
        <v>120</v>
      </c>
      <c r="Y405" s="38">
        <v>0.79166666666666663</v>
      </c>
      <c r="Z405" s="38">
        <v>0.29166666666666669</v>
      </c>
      <c r="AA405" t="s">
        <v>117</v>
      </c>
      <c r="AC405" t="s">
        <v>118</v>
      </c>
      <c r="AQ405">
        <v>0.25</v>
      </c>
      <c r="AR405">
        <v>0.75</v>
      </c>
      <c r="BI405">
        <v>0.33329999999999999</v>
      </c>
      <c r="BK405">
        <f>0</f>
        <v>0</v>
      </c>
      <c r="BL405">
        <f t="shared" si="90"/>
        <v>1.3332999999999999</v>
      </c>
      <c r="BM405">
        <f t="shared" si="91"/>
        <v>0</v>
      </c>
      <c r="BN405">
        <f t="shared" si="92"/>
        <v>0</v>
      </c>
      <c r="BO405">
        <f t="shared" si="93"/>
        <v>1</v>
      </c>
      <c r="BP405" s="37">
        <f>IF($F405="","",IFERROR(INDEX(Familias!$C$5:$C$300,MATCH($F405,Familias!$A$5:$A$300,0)),""))</f>
        <v>1880</v>
      </c>
      <c r="BQ405" s="37">
        <f t="shared" si="94"/>
        <v>16805</v>
      </c>
      <c r="BR405" s="36">
        <f t="shared" si="95"/>
        <v>12</v>
      </c>
      <c r="BS405" s="36">
        <f t="shared" si="96"/>
        <v>1.3332999999999999</v>
      </c>
      <c r="BT405" s="36">
        <f t="shared" si="97"/>
        <v>10.666700000000001</v>
      </c>
      <c r="BU405" s="36">
        <f t="shared" si="98"/>
        <v>8.9388000000000005</v>
      </c>
      <c r="BV405" s="39">
        <f t="shared" si="99"/>
        <v>0.83800988121912123</v>
      </c>
      <c r="BW405" s="39">
        <f t="shared" si="100"/>
        <v>0.99970246950312402</v>
      </c>
      <c r="BX405" s="40">
        <f t="shared" si="101"/>
        <v>2.3241106719367587E-2</v>
      </c>
      <c r="BY405" s="40">
        <f t="shared" si="102"/>
        <v>1.675889328063241E-2</v>
      </c>
      <c r="BZ405" t="str">
        <f t="shared" si="103"/>
        <v>OK</v>
      </c>
      <c r="CA405">
        <f t="shared" si="104"/>
        <v>1</v>
      </c>
    </row>
    <row r="406" spans="1:80" x14ac:dyDescent="0.25">
      <c r="A406" s="35">
        <v>46003</v>
      </c>
      <c r="B406" s="36">
        <v>12</v>
      </c>
      <c r="C406" t="s">
        <v>113</v>
      </c>
      <c r="D406" t="s">
        <v>6</v>
      </c>
      <c r="E406" t="s">
        <v>147</v>
      </c>
      <c r="F406" t="s">
        <v>193</v>
      </c>
      <c r="G406">
        <v>2627</v>
      </c>
      <c r="H406">
        <v>2140110687</v>
      </c>
      <c r="I406" t="s">
        <v>196</v>
      </c>
      <c r="J406" s="37">
        <v>17300</v>
      </c>
      <c r="K406" s="37">
        <v>10</v>
      </c>
      <c r="M406">
        <v>6489</v>
      </c>
      <c r="O406">
        <v>80</v>
      </c>
      <c r="P406">
        <v>64</v>
      </c>
      <c r="Q406">
        <v>130</v>
      </c>
      <c r="V406" t="s">
        <v>116</v>
      </c>
      <c r="Y406" s="38">
        <v>0.29166666666666669</v>
      </c>
      <c r="Z406" s="38">
        <v>0.79166666666666663</v>
      </c>
      <c r="AA406" t="s">
        <v>117</v>
      </c>
      <c r="AC406" t="s">
        <v>118</v>
      </c>
      <c r="AQ406">
        <v>0.25</v>
      </c>
      <c r="AR406">
        <v>0.75</v>
      </c>
      <c r="BI406">
        <v>0.33329999999999999</v>
      </c>
      <c r="BK406">
        <f>0</f>
        <v>0</v>
      </c>
      <c r="BL406">
        <f t="shared" si="90"/>
        <v>1.3332999999999999</v>
      </c>
      <c r="BM406">
        <f t="shared" si="91"/>
        <v>0</v>
      </c>
      <c r="BN406">
        <f t="shared" si="92"/>
        <v>0</v>
      </c>
      <c r="BO406">
        <f t="shared" si="93"/>
        <v>1</v>
      </c>
      <c r="BP406" s="37">
        <f>IF($F406="","",IFERROR(INDEX(Familias!$C$5:$C$300,MATCH($F406,Familias!$A$5:$A$300,0)),""))</f>
        <v>1880</v>
      </c>
      <c r="BQ406" s="37">
        <f t="shared" si="94"/>
        <v>17310</v>
      </c>
      <c r="BR406" s="36">
        <f t="shared" si="95"/>
        <v>12</v>
      </c>
      <c r="BS406" s="36">
        <f t="shared" si="96"/>
        <v>1.3332999999999999</v>
      </c>
      <c r="BT406" s="36">
        <f t="shared" si="97"/>
        <v>10.666700000000001</v>
      </c>
      <c r="BU406" s="36">
        <f t="shared" si="98"/>
        <v>9.2073999999999998</v>
      </c>
      <c r="BV406" s="39">
        <f t="shared" si="99"/>
        <v>0.8631910525279608</v>
      </c>
      <c r="BW406" s="39">
        <f t="shared" si="100"/>
        <v>0.99942229924898907</v>
      </c>
      <c r="BX406" s="40">
        <f t="shared" si="101"/>
        <v>2.2191400832177532E-2</v>
      </c>
      <c r="BY406" s="40">
        <f t="shared" si="102"/>
        <v>2.0033903529049161E-2</v>
      </c>
      <c r="BZ406" t="str">
        <f t="shared" si="103"/>
        <v>OK</v>
      </c>
      <c r="CA406">
        <f t="shared" si="104"/>
        <v>1</v>
      </c>
    </row>
    <row r="407" spans="1:80" x14ac:dyDescent="0.25">
      <c r="A407" s="35">
        <v>46003</v>
      </c>
      <c r="B407" s="36">
        <v>12</v>
      </c>
      <c r="C407" t="s">
        <v>119</v>
      </c>
      <c r="D407" t="s">
        <v>6</v>
      </c>
      <c r="E407" t="s">
        <v>147</v>
      </c>
      <c r="F407" t="s">
        <v>193</v>
      </c>
      <c r="G407">
        <v>2627</v>
      </c>
      <c r="H407">
        <v>2140110687</v>
      </c>
      <c r="I407" t="s">
        <v>196</v>
      </c>
      <c r="J407" s="37">
        <v>16800</v>
      </c>
      <c r="K407" s="37">
        <v>11</v>
      </c>
      <c r="M407">
        <v>6523</v>
      </c>
      <c r="O407">
        <v>76</v>
      </c>
      <c r="P407">
        <v>84</v>
      </c>
      <c r="Q407">
        <v>175</v>
      </c>
      <c r="T407">
        <v>12</v>
      </c>
      <c r="V407" t="s">
        <v>120</v>
      </c>
      <c r="Y407" s="38">
        <v>0.79166666666666663</v>
      </c>
      <c r="Z407" s="38">
        <v>0.29166666666666669</v>
      </c>
      <c r="AA407" t="s">
        <v>117</v>
      </c>
      <c r="AC407" t="s">
        <v>118</v>
      </c>
      <c r="AQ407">
        <v>0.25</v>
      </c>
      <c r="AR407">
        <v>0.75</v>
      </c>
      <c r="BI407">
        <v>0.33329999999999999</v>
      </c>
      <c r="BK407">
        <f>0</f>
        <v>0</v>
      </c>
      <c r="BL407">
        <f t="shared" si="90"/>
        <v>1.3332999999999999</v>
      </c>
      <c r="BM407">
        <f t="shared" si="91"/>
        <v>0</v>
      </c>
      <c r="BN407">
        <f t="shared" si="92"/>
        <v>0</v>
      </c>
      <c r="BO407">
        <f t="shared" si="93"/>
        <v>1</v>
      </c>
      <c r="BP407" s="37">
        <f>IF($F407="","",IFERROR(INDEX(Familias!$C$5:$C$300,MATCH($F407,Familias!$A$5:$A$300,0)),""))</f>
        <v>1880</v>
      </c>
      <c r="BQ407" s="37">
        <f t="shared" si="94"/>
        <v>16811</v>
      </c>
      <c r="BR407" s="36">
        <f t="shared" si="95"/>
        <v>12</v>
      </c>
      <c r="BS407" s="36">
        <f t="shared" si="96"/>
        <v>1.3332999999999999</v>
      </c>
      <c r="BT407" s="36">
        <f t="shared" si="97"/>
        <v>10.666700000000001</v>
      </c>
      <c r="BU407" s="36">
        <f t="shared" si="98"/>
        <v>8.9420000000000002</v>
      </c>
      <c r="BV407" s="39">
        <f t="shared" si="99"/>
        <v>0.83830988028162412</v>
      </c>
      <c r="BW407" s="39">
        <f t="shared" si="100"/>
        <v>0.9993456665278686</v>
      </c>
      <c r="BX407" s="40">
        <f t="shared" si="101"/>
        <v>2.452859113904645E-2</v>
      </c>
      <c r="BY407" s="40">
        <f t="shared" si="102"/>
        <v>2.6828146558332055E-2</v>
      </c>
      <c r="BZ407" t="str">
        <f t="shared" si="103"/>
        <v>OK</v>
      </c>
      <c r="CA407">
        <f t="shared" si="104"/>
        <v>1</v>
      </c>
    </row>
    <row r="408" spans="1:80" x14ac:dyDescent="0.25">
      <c r="A408" s="35">
        <v>46004</v>
      </c>
      <c r="B408" s="36">
        <v>12</v>
      </c>
      <c r="C408" t="s">
        <v>113</v>
      </c>
      <c r="D408" t="s">
        <v>6</v>
      </c>
      <c r="E408" t="s">
        <v>147</v>
      </c>
      <c r="F408" t="s">
        <v>193</v>
      </c>
      <c r="G408">
        <v>2627</v>
      </c>
      <c r="H408">
        <v>2140110687</v>
      </c>
      <c r="I408" t="s">
        <v>196</v>
      </c>
      <c r="J408" s="37">
        <v>13800</v>
      </c>
      <c r="K408" s="37">
        <v>10</v>
      </c>
      <c r="M408">
        <v>5129</v>
      </c>
      <c r="O408">
        <v>75</v>
      </c>
      <c r="P408">
        <v>49</v>
      </c>
      <c r="Q408">
        <v>80</v>
      </c>
      <c r="T408">
        <v>9</v>
      </c>
      <c r="V408" t="s">
        <v>116</v>
      </c>
      <c r="Y408" s="38">
        <v>0.29166666666666669</v>
      </c>
      <c r="Z408" s="38">
        <v>0.79166666666666663</v>
      </c>
      <c r="AA408" t="s">
        <v>117</v>
      </c>
      <c r="AC408" t="s">
        <v>118</v>
      </c>
      <c r="AR408">
        <v>0.75</v>
      </c>
      <c r="BC408">
        <v>2</v>
      </c>
      <c r="BI408">
        <v>0.33329999999999999</v>
      </c>
      <c r="BK408">
        <f>0</f>
        <v>0</v>
      </c>
      <c r="BL408">
        <f t="shared" si="90"/>
        <v>3.0832999999999999</v>
      </c>
      <c r="BM408">
        <f t="shared" si="91"/>
        <v>0</v>
      </c>
      <c r="BN408">
        <f t="shared" si="92"/>
        <v>0</v>
      </c>
      <c r="BO408">
        <f t="shared" si="93"/>
        <v>1</v>
      </c>
      <c r="BP408" s="37">
        <f>IF($F408="","",IFERROR(INDEX(Familias!$C$5:$C$300,MATCH($F408,Familias!$A$5:$A$300,0)),""))</f>
        <v>1880</v>
      </c>
      <c r="BQ408" s="37">
        <f t="shared" si="94"/>
        <v>13810</v>
      </c>
      <c r="BR408" s="36">
        <f t="shared" si="95"/>
        <v>12</v>
      </c>
      <c r="BS408" s="36">
        <f t="shared" si="96"/>
        <v>3.0832999999999999</v>
      </c>
      <c r="BT408" s="36">
        <f t="shared" si="97"/>
        <v>8.9167000000000005</v>
      </c>
      <c r="BU408" s="36">
        <f t="shared" si="98"/>
        <v>7.3456999999999999</v>
      </c>
      <c r="BV408" s="39">
        <f t="shared" si="99"/>
        <v>0.82381374275236352</v>
      </c>
      <c r="BW408" s="39">
        <f t="shared" si="100"/>
        <v>0.999275887038378</v>
      </c>
      <c r="BX408" s="40">
        <f t="shared" si="101"/>
        <v>2.4176252680834471E-2</v>
      </c>
      <c r="BY408" s="40">
        <f t="shared" si="102"/>
        <v>1.5597582374731916E-2</v>
      </c>
      <c r="BZ408" t="str">
        <f t="shared" si="103"/>
        <v>OK</v>
      </c>
      <c r="CA408">
        <f t="shared" si="104"/>
        <v>1</v>
      </c>
    </row>
    <row r="409" spans="1:80" x14ac:dyDescent="0.25">
      <c r="A409" s="35">
        <v>46006</v>
      </c>
      <c r="B409" s="36">
        <v>9.7246000000000006</v>
      </c>
      <c r="C409" t="s">
        <v>113</v>
      </c>
      <c r="D409" t="s">
        <v>6</v>
      </c>
      <c r="E409" t="s">
        <v>147</v>
      </c>
      <c r="F409" t="s">
        <v>193</v>
      </c>
      <c r="G409">
        <v>2627</v>
      </c>
      <c r="H409">
        <v>2140110687</v>
      </c>
      <c r="I409" t="s">
        <v>196</v>
      </c>
      <c r="J409" s="37">
        <v>10300</v>
      </c>
      <c r="K409" s="37"/>
      <c r="M409">
        <v>3282</v>
      </c>
      <c r="O409">
        <v>30</v>
      </c>
      <c r="P409">
        <v>42</v>
      </c>
      <c r="Q409">
        <v>29</v>
      </c>
      <c r="T409">
        <v>6</v>
      </c>
      <c r="V409" t="s">
        <v>120</v>
      </c>
      <c r="Y409" s="38">
        <v>0.29166666666666669</v>
      </c>
      <c r="Z409" s="38">
        <v>0.69652777777777775</v>
      </c>
      <c r="AA409" t="s">
        <v>117</v>
      </c>
      <c r="AC409" t="s">
        <v>121</v>
      </c>
      <c r="AE409">
        <v>0.81040000000000001</v>
      </c>
      <c r="AQ409">
        <v>0.2026</v>
      </c>
      <c r="AR409">
        <v>0.60780000000000001</v>
      </c>
      <c r="BE409">
        <v>0.81040000000000001</v>
      </c>
      <c r="BI409">
        <v>0.81040000000000001</v>
      </c>
      <c r="BK409">
        <f>0</f>
        <v>0</v>
      </c>
      <c r="BL409">
        <f t="shared" si="90"/>
        <v>3.2416</v>
      </c>
      <c r="BM409">
        <f t="shared" si="91"/>
        <v>0</v>
      </c>
      <c r="BN409">
        <f t="shared" si="92"/>
        <v>0</v>
      </c>
      <c r="BO409">
        <f t="shared" si="93"/>
        <v>1</v>
      </c>
      <c r="BP409" s="37">
        <f>IF($F409="","",IFERROR(INDEX(Familias!$C$5:$C$300,MATCH($F409,Familias!$A$5:$A$300,0)),""))</f>
        <v>1880</v>
      </c>
      <c r="BQ409" s="37">
        <f t="shared" si="94"/>
        <v>10300</v>
      </c>
      <c r="BR409" s="36">
        <f t="shared" si="95"/>
        <v>9.7246000000000006</v>
      </c>
      <c r="BS409" s="36">
        <f t="shared" si="96"/>
        <v>3.2416</v>
      </c>
      <c r="BT409" s="36">
        <f t="shared" si="97"/>
        <v>6.4829999999999997</v>
      </c>
      <c r="BU409" s="36">
        <f t="shared" si="98"/>
        <v>5.4786999999999999</v>
      </c>
      <c r="BV409" s="39">
        <f t="shared" si="99"/>
        <v>0.84508715101033471</v>
      </c>
      <c r="BW409" s="39">
        <f t="shared" si="100"/>
        <v>1</v>
      </c>
      <c r="BX409" s="40">
        <f t="shared" si="101"/>
        <v>2.1937842778793418E-2</v>
      </c>
      <c r="BY409" s="40">
        <f t="shared" si="102"/>
        <v>8.8360755636806825E-3</v>
      </c>
      <c r="BZ409" t="str">
        <f t="shared" si="103"/>
        <v>OK</v>
      </c>
      <c r="CA409">
        <f t="shared" si="104"/>
        <v>1</v>
      </c>
    </row>
    <row r="410" spans="1:80" x14ac:dyDescent="0.25">
      <c r="A410" s="35">
        <v>46006</v>
      </c>
      <c r="B410" s="36">
        <v>2.2753999999999999</v>
      </c>
      <c r="C410" t="s">
        <v>113</v>
      </c>
      <c r="D410" t="s">
        <v>6</v>
      </c>
      <c r="E410" t="s">
        <v>147</v>
      </c>
      <c r="F410" t="s">
        <v>193</v>
      </c>
      <c r="G410">
        <v>2691</v>
      </c>
      <c r="H410">
        <v>2140110688</v>
      </c>
      <c r="I410" t="s">
        <v>195</v>
      </c>
      <c r="J410" s="37">
        <v>2400</v>
      </c>
      <c r="K410" s="37">
        <v>10</v>
      </c>
      <c r="M410">
        <v>1421</v>
      </c>
      <c r="O410">
        <v>10</v>
      </c>
      <c r="P410">
        <v>14</v>
      </c>
      <c r="Q410">
        <v>45</v>
      </c>
      <c r="R410">
        <v>40</v>
      </c>
      <c r="T410">
        <v>2</v>
      </c>
      <c r="V410" t="s">
        <v>120</v>
      </c>
      <c r="Y410" s="38">
        <v>0.69652777777777775</v>
      </c>
      <c r="Z410" s="38">
        <v>0.79166666666666663</v>
      </c>
      <c r="AA410" t="s">
        <v>117</v>
      </c>
      <c r="AC410" t="s">
        <v>121</v>
      </c>
      <c r="AE410">
        <v>0.18959999999999999</v>
      </c>
      <c r="AQ410">
        <v>4.7399999999999998E-2</v>
      </c>
      <c r="AR410">
        <v>0.14219999999999999</v>
      </c>
      <c r="BE410">
        <v>0.18959999999999999</v>
      </c>
      <c r="BI410">
        <v>0.18959999999999999</v>
      </c>
      <c r="BK410">
        <f>0</f>
        <v>0</v>
      </c>
      <c r="BL410">
        <f t="shared" si="90"/>
        <v>0.75839999999999996</v>
      </c>
      <c r="BM410">
        <f t="shared" si="91"/>
        <v>0</v>
      </c>
      <c r="BN410">
        <f t="shared" si="92"/>
        <v>0</v>
      </c>
      <c r="BO410">
        <f t="shared" si="93"/>
        <v>1</v>
      </c>
      <c r="BP410" s="37">
        <f>IF($F410="","",IFERROR(INDEX(Familias!$C$5:$C$300,MATCH($F410,Familias!$A$5:$A$300,0)),""))</f>
        <v>1880</v>
      </c>
      <c r="BQ410" s="37">
        <f t="shared" si="94"/>
        <v>2410</v>
      </c>
      <c r="BR410" s="36">
        <f t="shared" si="95"/>
        <v>2.2753999999999999</v>
      </c>
      <c r="BS410" s="36">
        <f t="shared" si="96"/>
        <v>0.75839999999999996</v>
      </c>
      <c r="BT410" s="36">
        <f t="shared" si="97"/>
        <v>1.5169999999999999</v>
      </c>
      <c r="BU410" s="36">
        <f t="shared" si="98"/>
        <v>1.2819</v>
      </c>
      <c r="BV410" s="39">
        <f t="shared" si="99"/>
        <v>0.84502307185234027</v>
      </c>
      <c r="BW410" s="39">
        <f t="shared" si="100"/>
        <v>0.99585062240663902</v>
      </c>
      <c r="BX410" s="40">
        <f t="shared" si="101"/>
        <v>4.5038705137227304E-2</v>
      </c>
      <c r="BY410" s="40">
        <f t="shared" si="102"/>
        <v>3.1667839549612949E-2</v>
      </c>
      <c r="BZ410" t="str">
        <f t="shared" si="103"/>
        <v>OK</v>
      </c>
      <c r="CA410">
        <f t="shared" si="104"/>
        <v>1</v>
      </c>
    </row>
    <row r="411" spans="1:80" x14ac:dyDescent="0.25">
      <c r="A411" s="35">
        <v>46006</v>
      </c>
      <c r="B411" s="36">
        <v>8.7752999999999997</v>
      </c>
      <c r="C411" t="s">
        <v>119</v>
      </c>
      <c r="D411" t="s">
        <v>6</v>
      </c>
      <c r="E411" t="s">
        <v>147</v>
      </c>
      <c r="F411" t="s">
        <v>193</v>
      </c>
      <c r="G411">
        <v>2691</v>
      </c>
      <c r="H411">
        <v>2140110688</v>
      </c>
      <c r="I411" t="s">
        <v>195</v>
      </c>
      <c r="J411" s="37">
        <v>11150</v>
      </c>
      <c r="K411" s="37">
        <v>10</v>
      </c>
      <c r="M411">
        <v>4027</v>
      </c>
      <c r="O411">
        <v>28</v>
      </c>
      <c r="P411">
        <v>47</v>
      </c>
      <c r="T411">
        <v>7</v>
      </c>
      <c r="V411" t="s">
        <v>116</v>
      </c>
      <c r="Y411" s="38">
        <v>0.79166666666666663</v>
      </c>
      <c r="Z411" s="38">
        <v>0.15763888888888891</v>
      </c>
      <c r="AA411" t="s">
        <v>117</v>
      </c>
      <c r="AC411" t="s">
        <v>121</v>
      </c>
      <c r="AE411">
        <v>0.73129999999999995</v>
      </c>
      <c r="AQ411">
        <v>0.73129999999999995</v>
      </c>
      <c r="BI411">
        <v>0.24379999999999999</v>
      </c>
      <c r="BK411">
        <f>0</f>
        <v>0</v>
      </c>
      <c r="BL411">
        <f t="shared" si="90"/>
        <v>1.7063999999999999</v>
      </c>
      <c r="BM411">
        <f t="shared" si="91"/>
        <v>0</v>
      </c>
      <c r="BN411">
        <f t="shared" si="92"/>
        <v>0</v>
      </c>
      <c r="BO411">
        <f t="shared" si="93"/>
        <v>1</v>
      </c>
      <c r="BP411" s="37">
        <f>IF($F411="","",IFERROR(INDEX(Familias!$C$5:$C$300,MATCH($F411,Familias!$A$5:$A$300,0)),""))</f>
        <v>1880</v>
      </c>
      <c r="BQ411" s="37">
        <f t="shared" si="94"/>
        <v>11160</v>
      </c>
      <c r="BR411" s="36">
        <f t="shared" si="95"/>
        <v>8.7752999999999997</v>
      </c>
      <c r="BS411" s="36">
        <f t="shared" si="96"/>
        <v>1.7063999999999999</v>
      </c>
      <c r="BT411" s="36">
        <f t="shared" si="97"/>
        <v>7.0689000000000002</v>
      </c>
      <c r="BU411" s="36">
        <f t="shared" si="98"/>
        <v>5.9362000000000004</v>
      </c>
      <c r="BV411" s="39">
        <f t="shared" si="99"/>
        <v>0.83976290511960849</v>
      </c>
      <c r="BW411" s="39">
        <f t="shared" si="100"/>
        <v>0.99910394265232971</v>
      </c>
      <c r="BX411" s="40">
        <f t="shared" si="101"/>
        <v>1.8624286069034022E-2</v>
      </c>
      <c r="BY411" s="40">
        <f t="shared" si="102"/>
        <v>0</v>
      </c>
      <c r="BZ411" t="str">
        <f t="shared" si="103"/>
        <v>OK</v>
      </c>
      <c r="CA411">
        <f t="shared" si="104"/>
        <v>1</v>
      </c>
    </row>
    <row r="412" spans="1:80" x14ac:dyDescent="0.25">
      <c r="A412" s="35">
        <v>46006</v>
      </c>
      <c r="B412" s="36">
        <v>3.2246999999999999</v>
      </c>
      <c r="C412" t="s">
        <v>119</v>
      </c>
      <c r="D412" t="s">
        <v>6</v>
      </c>
      <c r="E412" t="s">
        <v>147</v>
      </c>
      <c r="F412" t="s">
        <v>175</v>
      </c>
      <c r="G412">
        <v>2742</v>
      </c>
      <c r="H412">
        <v>2140110669</v>
      </c>
      <c r="I412" t="s">
        <v>177</v>
      </c>
      <c r="J412" s="37">
        <v>5150</v>
      </c>
      <c r="K412" s="37">
        <v>20</v>
      </c>
      <c r="M412">
        <v>1791</v>
      </c>
      <c r="O412">
        <v>30</v>
      </c>
      <c r="P412">
        <v>18</v>
      </c>
      <c r="Q412">
        <v>65</v>
      </c>
      <c r="R412">
        <v>60</v>
      </c>
      <c r="T412">
        <v>3</v>
      </c>
      <c r="V412" t="s">
        <v>116</v>
      </c>
      <c r="Y412" s="38">
        <v>0.15763888888888891</v>
      </c>
      <c r="Z412" s="38">
        <v>0.29166666666666669</v>
      </c>
      <c r="AA412" t="s">
        <v>117</v>
      </c>
      <c r="AC412" t="s">
        <v>121</v>
      </c>
      <c r="AE412">
        <v>0.26869999999999999</v>
      </c>
      <c r="AQ412">
        <v>0.26869999999999999</v>
      </c>
      <c r="BI412">
        <v>8.9599999999999999E-2</v>
      </c>
      <c r="BK412">
        <f>0</f>
        <v>0</v>
      </c>
      <c r="BL412">
        <f t="shared" si="90"/>
        <v>0.627</v>
      </c>
      <c r="BM412">
        <f t="shared" si="91"/>
        <v>0</v>
      </c>
      <c r="BN412">
        <f t="shared" si="92"/>
        <v>0</v>
      </c>
      <c r="BO412">
        <f t="shared" si="93"/>
        <v>1</v>
      </c>
      <c r="BP412" s="37">
        <f>IF($F412="","",IFERROR(INDEX(Familias!$C$5:$C$300,MATCH($F412,Familias!$A$5:$A$300,0)),""))</f>
        <v>2370</v>
      </c>
      <c r="BQ412" s="37">
        <f t="shared" si="94"/>
        <v>5170</v>
      </c>
      <c r="BR412" s="36">
        <f t="shared" si="95"/>
        <v>3.2246999999999999</v>
      </c>
      <c r="BS412" s="36">
        <f t="shared" si="96"/>
        <v>0.627</v>
      </c>
      <c r="BT412" s="36">
        <f t="shared" si="97"/>
        <v>2.5977000000000001</v>
      </c>
      <c r="BU412" s="36">
        <f t="shared" si="98"/>
        <v>2.1814</v>
      </c>
      <c r="BV412" s="39">
        <f t="shared" si="99"/>
        <v>0.83974284944373867</v>
      </c>
      <c r="BW412" s="39">
        <f t="shared" si="100"/>
        <v>0.99613152804642169</v>
      </c>
      <c r="BX412" s="40">
        <f t="shared" si="101"/>
        <v>6.030150753768844E-2</v>
      </c>
      <c r="BY412" s="40">
        <f t="shared" si="102"/>
        <v>3.6292573981016193E-2</v>
      </c>
      <c r="BZ412" t="str">
        <f t="shared" si="103"/>
        <v>OK</v>
      </c>
      <c r="CA412">
        <f t="shared" si="104"/>
        <v>1</v>
      </c>
    </row>
    <row r="413" spans="1:80" x14ac:dyDescent="0.25">
      <c r="A413" s="35">
        <v>46007</v>
      </c>
      <c r="B413" s="36">
        <v>10.730499999999999</v>
      </c>
      <c r="C413" t="s">
        <v>113</v>
      </c>
      <c r="D413" t="s">
        <v>6</v>
      </c>
      <c r="E413" t="s">
        <v>147</v>
      </c>
      <c r="F413" t="s">
        <v>175</v>
      </c>
      <c r="G413">
        <v>2742</v>
      </c>
      <c r="H413">
        <v>2140110669</v>
      </c>
      <c r="I413" t="s">
        <v>177</v>
      </c>
      <c r="J413" s="37">
        <v>7100</v>
      </c>
      <c r="K413" s="37">
        <v>10</v>
      </c>
      <c r="M413">
        <v>2092</v>
      </c>
      <c r="O413">
        <v>45</v>
      </c>
      <c r="P413">
        <v>28</v>
      </c>
      <c r="Q413">
        <v>41</v>
      </c>
      <c r="T413">
        <v>4</v>
      </c>
      <c r="V413" t="s">
        <v>120</v>
      </c>
      <c r="Y413" s="38">
        <v>0.29166666666666669</v>
      </c>
      <c r="Z413" s="38">
        <v>0.73888888888888893</v>
      </c>
      <c r="AA413" t="s">
        <v>117</v>
      </c>
      <c r="AC413" t="s">
        <v>121</v>
      </c>
      <c r="AQ413">
        <v>0.89419999999999999</v>
      </c>
      <c r="AY413">
        <v>1.4903</v>
      </c>
      <c r="BI413">
        <v>0.29809999999999998</v>
      </c>
      <c r="BK413">
        <f>0</f>
        <v>0</v>
      </c>
      <c r="BL413">
        <f t="shared" si="90"/>
        <v>2.6825999999999999</v>
      </c>
      <c r="BM413">
        <f t="shared" si="91"/>
        <v>0</v>
      </c>
      <c r="BN413">
        <f t="shared" si="92"/>
        <v>0</v>
      </c>
      <c r="BO413">
        <f t="shared" si="93"/>
        <v>1</v>
      </c>
      <c r="BP413" s="37">
        <f>IF($F413="","",IFERROR(INDEX(Familias!$C$5:$C$300,MATCH($F413,Familias!$A$5:$A$300,0)),""))</f>
        <v>2370</v>
      </c>
      <c r="BQ413" s="37">
        <f t="shared" si="94"/>
        <v>7110</v>
      </c>
      <c r="BR413" s="36">
        <f t="shared" si="95"/>
        <v>10.730499999999999</v>
      </c>
      <c r="BS413" s="36">
        <f t="shared" si="96"/>
        <v>2.6825999999999999</v>
      </c>
      <c r="BT413" s="36">
        <f t="shared" si="97"/>
        <v>8.0479000000000003</v>
      </c>
      <c r="BU413" s="36">
        <f t="shared" si="98"/>
        <v>3</v>
      </c>
      <c r="BV413" s="39">
        <f t="shared" si="99"/>
        <v>0.37276805129288382</v>
      </c>
      <c r="BW413" s="39">
        <f t="shared" si="100"/>
        <v>0.99859353023909991</v>
      </c>
      <c r="BX413" s="40">
        <f t="shared" si="101"/>
        <v>3.4894837476099429E-2</v>
      </c>
      <c r="BY413" s="40">
        <f t="shared" si="102"/>
        <v>1.9598470363288718E-2</v>
      </c>
      <c r="BZ413" t="str">
        <f t="shared" si="103"/>
        <v>OK</v>
      </c>
      <c r="CA413">
        <f t="shared" si="104"/>
        <v>1</v>
      </c>
    </row>
    <row r="414" spans="1:80" x14ac:dyDescent="0.25">
      <c r="A414" s="35">
        <v>46007</v>
      </c>
      <c r="B414" s="36">
        <v>1.2695000000000001</v>
      </c>
      <c r="C414" t="s">
        <v>113</v>
      </c>
      <c r="D414" t="s">
        <v>6</v>
      </c>
      <c r="F414" t="s">
        <v>124</v>
      </c>
      <c r="G414">
        <v>2574</v>
      </c>
      <c r="H414">
        <v>2140110726</v>
      </c>
      <c r="I414" t="s">
        <v>223</v>
      </c>
      <c r="J414" s="37">
        <v>1008</v>
      </c>
      <c r="K414" s="37"/>
      <c r="M414">
        <v>791</v>
      </c>
      <c r="O414">
        <v>30</v>
      </c>
      <c r="P414">
        <v>14</v>
      </c>
      <c r="Q414">
        <v>56</v>
      </c>
      <c r="V414" t="s">
        <v>120</v>
      </c>
      <c r="Y414" s="38">
        <v>0.73888888888888893</v>
      </c>
      <c r="Z414" s="38">
        <v>0.79166666666666663</v>
      </c>
      <c r="AA414" t="s">
        <v>117</v>
      </c>
      <c r="AC414" t="s">
        <v>121</v>
      </c>
      <c r="AQ414">
        <v>0.10580000000000001</v>
      </c>
      <c r="AY414">
        <v>0.17630000000000001</v>
      </c>
      <c r="BI414">
        <v>3.5299999999999998E-2</v>
      </c>
      <c r="BK414">
        <f>0</f>
        <v>0</v>
      </c>
      <c r="BL414">
        <f t="shared" si="90"/>
        <v>0.31740000000000002</v>
      </c>
      <c r="BM414">
        <f t="shared" si="91"/>
        <v>0</v>
      </c>
      <c r="BN414">
        <f t="shared" si="92"/>
        <v>0</v>
      </c>
      <c r="BO414">
        <f t="shared" si="93"/>
        <v>1</v>
      </c>
      <c r="BP414" s="37">
        <f>IF($F414="","",IFERROR(INDEX(Familias!$C$5:$C$300,MATCH($F414,Familias!$A$5:$A$300,0)),""))</f>
        <v>2840</v>
      </c>
      <c r="BQ414" s="37">
        <f t="shared" si="94"/>
        <v>1008</v>
      </c>
      <c r="BR414" s="36">
        <f t="shared" si="95"/>
        <v>1.2695000000000001</v>
      </c>
      <c r="BS414" s="36">
        <f t="shared" si="96"/>
        <v>0.31740000000000002</v>
      </c>
      <c r="BT414" s="36">
        <f t="shared" si="97"/>
        <v>0.95209999999999995</v>
      </c>
      <c r="BU414" s="36">
        <f t="shared" si="98"/>
        <v>0.35489999999999999</v>
      </c>
      <c r="BV414" s="39">
        <f t="shared" si="99"/>
        <v>0.37275496271400066</v>
      </c>
      <c r="BW414" s="39">
        <f t="shared" si="100"/>
        <v>1</v>
      </c>
      <c r="BX414" s="40">
        <f t="shared" si="101"/>
        <v>5.5625790139064477E-2</v>
      </c>
      <c r="BY414" s="40">
        <f t="shared" si="102"/>
        <v>7.0796460176991149E-2</v>
      </c>
      <c r="BZ414" t="str">
        <f t="shared" si="103"/>
        <v>OK</v>
      </c>
      <c r="CA414">
        <f t="shared" si="104"/>
        <v>1</v>
      </c>
    </row>
    <row r="415" spans="1:80" x14ac:dyDescent="0.25">
      <c r="A415" s="35">
        <v>46008</v>
      </c>
      <c r="B415" s="36">
        <v>12</v>
      </c>
      <c r="C415" t="s">
        <v>113</v>
      </c>
      <c r="D415" t="s">
        <v>6</v>
      </c>
      <c r="F415" t="s">
        <v>124</v>
      </c>
      <c r="G415">
        <v>2574</v>
      </c>
      <c r="H415">
        <v>2140110726</v>
      </c>
      <c r="I415" t="s">
        <v>223</v>
      </c>
      <c r="J415" s="37">
        <v>10899</v>
      </c>
      <c r="K415" s="37">
        <v>10</v>
      </c>
      <c r="M415">
        <v>4013</v>
      </c>
      <c r="O415">
        <v>55</v>
      </c>
      <c r="P415">
        <v>49</v>
      </c>
      <c r="Q415">
        <v>88</v>
      </c>
      <c r="R415">
        <v>75</v>
      </c>
      <c r="V415" t="s">
        <v>120</v>
      </c>
      <c r="Y415" s="38">
        <v>0.29166666666666669</v>
      </c>
      <c r="Z415" s="38">
        <v>0.79166666666666663</v>
      </c>
      <c r="AA415" t="s">
        <v>117</v>
      </c>
      <c r="AC415" t="s">
        <v>118</v>
      </c>
      <c r="AK415">
        <v>1.75</v>
      </c>
      <c r="AQ415">
        <v>1</v>
      </c>
      <c r="BI415">
        <v>1</v>
      </c>
      <c r="BK415">
        <f>0</f>
        <v>0</v>
      </c>
      <c r="BL415">
        <f t="shared" si="90"/>
        <v>3.75</v>
      </c>
      <c r="BM415">
        <f t="shared" si="91"/>
        <v>0</v>
      </c>
      <c r="BN415">
        <f t="shared" si="92"/>
        <v>0</v>
      </c>
      <c r="BO415">
        <f t="shared" si="93"/>
        <v>1</v>
      </c>
      <c r="BP415" s="37">
        <f>IF($F415="","",IFERROR(INDEX(Familias!$C$5:$C$300,MATCH($F415,Familias!$A$5:$A$300,0)),""))</f>
        <v>2840</v>
      </c>
      <c r="BQ415" s="37">
        <f t="shared" si="94"/>
        <v>10909</v>
      </c>
      <c r="BR415" s="36">
        <f t="shared" si="95"/>
        <v>12</v>
      </c>
      <c r="BS415" s="36">
        <f t="shared" si="96"/>
        <v>3.75</v>
      </c>
      <c r="BT415" s="36">
        <f t="shared" si="97"/>
        <v>8.25</v>
      </c>
      <c r="BU415" s="36">
        <f t="shared" si="98"/>
        <v>3.8412000000000002</v>
      </c>
      <c r="BV415" s="39">
        <f t="shared" si="99"/>
        <v>0.46560000000000001</v>
      </c>
      <c r="BW415" s="39">
        <f t="shared" si="100"/>
        <v>0.99908332569438074</v>
      </c>
      <c r="BX415" s="40">
        <f t="shared" si="101"/>
        <v>4.4605033640667827E-2</v>
      </c>
      <c r="BY415" s="40">
        <f t="shared" si="102"/>
        <v>2.1928731622227759E-2</v>
      </c>
      <c r="BZ415" t="str">
        <f t="shared" si="103"/>
        <v>OK</v>
      </c>
      <c r="CA415">
        <f t="shared" si="104"/>
        <v>1</v>
      </c>
    </row>
    <row r="416" spans="1:80" x14ac:dyDescent="0.25">
      <c r="A416" s="35">
        <v>46008</v>
      </c>
      <c r="B416" s="36">
        <v>12</v>
      </c>
      <c r="C416" t="s">
        <v>119</v>
      </c>
      <c r="D416" t="s">
        <v>6</v>
      </c>
      <c r="F416" t="s">
        <v>124</v>
      </c>
      <c r="G416">
        <v>2574</v>
      </c>
      <c r="H416">
        <v>2140110726</v>
      </c>
      <c r="I416" t="s">
        <v>223</v>
      </c>
      <c r="J416" s="37">
        <v>21933</v>
      </c>
      <c r="K416" s="37">
        <v>15</v>
      </c>
      <c r="M416">
        <v>8831</v>
      </c>
      <c r="O416">
        <v>80</v>
      </c>
      <c r="P416">
        <v>42</v>
      </c>
      <c r="Q416">
        <v>677</v>
      </c>
      <c r="V416" t="s">
        <v>116</v>
      </c>
      <c r="Y416" s="38">
        <v>0.79166666666666663</v>
      </c>
      <c r="Z416" s="38">
        <v>0.29166666666666669</v>
      </c>
      <c r="AA416" t="s">
        <v>117</v>
      </c>
      <c r="AC416" t="s">
        <v>118</v>
      </c>
      <c r="AQ416">
        <v>0.25</v>
      </c>
      <c r="AR416">
        <v>0.75</v>
      </c>
      <c r="BI416">
        <v>0.33329999999999999</v>
      </c>
      <c r="BK416">
        <f>0</f>
        <v>0</v>
      </c>
      <c r="BL416">
        <f t="shared" si="90"/>
        <v>1.3332999999999999</v>
      </c>
      <c r="BM416">
        <f t="shared" si="91"/>
        <v>0</v>
      </c>
      <c r="BN416">
        <f t="shared" si="92"/>
        <v>0</v>
      </c>
      <c r="BO416">
        <f t="shared" si="93"/>
        <v>1</v>
      </c>
      <c r="BP416" s="37">
        <f>IF($F416="","",IFERROR(INDEX(Familias!$C$5:$C$300,MATCH($F416,Familias!$A$5:$A$300,0)),""))</f>
        <v>2840</v>
      </c>
      <c r="BQ416" s="37">
        <f t="shared" si="94"/>
        <v>21948</v>
      </c>
      <c r="BR416" s="36">
        <f t="shared" si="95"/>
        <v>12</v>
      </c>
      <c r="BS416" s="36">
        <f t="shared" si="96"/>
        <v>1.3332999999999999</v>
      </c>
      <c r="BT416" s="36">
        <f t="shared" si="97"/>
        <v>10.666700000000001</v>
      </c>
      <c r="BU416" s="36">
        <f t="shared" si="98"/>
        <v>7.7282000000000002</v>
      </c>
      <c r="BV416" s="39">
        <f t="shared" si="99"/>
        <v>0.72451648588598161</v>
      </c>
      <c r="BW416" s="39">
        <f t="shared" si="100"/>
        <v>0.99931656642974298</v>
      </c>
      <c r="BX416" s="40">
        <f t="shared" si="101"/>
        <v>1.3814969992073378E-2</v>
      </c>
      <c r="BY416" s="40">
        <f t="shared" si="102"/>
        <v>7.6661759710112104E-2</v>
      </c>
      <c r="BZ416" t="str">
        <f t="shared" si="103"/>
        <v>OK</v>
      </c>
      <c r="CA416">
        <f t="shared" si="104"/>
        <v>1</v>
      </c>
    </row>
    <row r="417" spans="1:80" x14ac:dyDescent="0.25">
      <c r="A417" s="35">
        <v>46009</v>
      </c>
      <c r="B417" s="36">
        <v>12</v>
      </c>
      <c r="C417" t="s">
        <v>113</v>
      </c>
      <c r="D417" t="s">
        <v>6</v>
      </c>
      <c r="F417" t="s">
        <v>124</v>
      </c>
      <c r="G417">
        <v>2574</v>
      </c>
      <c r="H417">
        <v>2140110726</v>
      </c>
      <c r="I417" t="s">
        <v>223</v>
      </c>
      <c r="J417" s="37">
        <v>19392</v>
      </c>
      <c r="K417" s="37">
        <v>18</v>
      </c>
      <c r="M417">
        <v>7243</v>
      </c>
      <c r="O417">
        <v>80</v>
      </c>
      <c r="P417">
        <v>91</v>
      </c>
      <c r="Q417">
        <v>78</v>
      </c>
      <c r="V417" t="s">
        <v>120</v>
      </c>
      <c r="Y417" s="38">
        <v>0.29166666666666669</v>
      </c>
      <c r="Z417" s="38">
        <v>0.79166666666666663</v>
      </c>
      <c r="AA417" t="s">
        <v>117</v>
      </c>
      <c r="AC417" t="s">
        <v>118</v>
      </c>
      <c r="AQ417">
        <v>0.25</v>
      </c>
      <c r="AR417">
        <v>0.75</v>
      </c>
      <c r="BI417">
        <v>1.5</v>
      </c>
      <c r="BK417">
        <f>0</f>
        <v>0</v>
      </c>
      <c r="BL417">
        <f t="shared" si="90"/>
        <v>2.5</v>
      </c>
      <c r="BM417">
        <f t="shared" si="91"/>
        <v>0</v>
      </c>
      <c r="BN417">
        <f t="shared" si="92"/>
        <v>0</v>
      </c>
      <c r="BO417">
        <f t="shared" si="93"/>
        <v>1</v>
      </c>
      <c r="BP417" s="37">
        <f>IF($F417="","",IFERROR(INDEX(Familias!$C$5:$C$300,MATCH($F417,Familias!$A$5:$A$300,0)),""))</f>
        <v>2840</v>
      </c>
      <c r="BQ417" s="37">
        <f t="shared" si="94"/>
        <v>19410</v>
      </c>
      <c r="BR417" s="36">
        <f t="shared" si="95"/>
        <v>12</v>
      </c>
      <c r="BS417" s="36">
        <f t="shared" si="96"/>
        <v>2.5</v>
      </c>
      <c r="BT417" s="36">
        <f t="shared" si="97"/>
        <v>9.5</v>
      </c>
      <c r="BU417" s="36">
        <f t="shared" si="98"/>
        <v>6.8345000000000002</v>
      </c>
      <c r="BV417" s="39">
        <f t="shared" si="99"/>
        <v>0.71942105263157896</v>
      </c>
      <c r="BW417" s="39">
        <f t="shared" si="100"/>
        <v>0.9990726429675425</v>
      </c>
      <c r="BX417" s="40">
        <f t="shared" si="101"/>
        <v>2.3609001794836392E-2</v>
      </c>
      <c r="BY417" s="40">
        <f t="shared" si="102"/>
        <v>1.0769018362556951E-2</v>
      </c>
      <c r="BZ417" t="str">
        <f t="shared" si="103"/>
        <v>OK</v>
      </c>
      <c r="CA417">
        <f t="shared" si="104"/>
        <v>1</v>
      </c>
    </row>
    <row r="418" spans="1:80" x14ac:dyDescent="0.25">
      <c r="A418" s="35">
        <v>46009</v>
      </c>
      <c r="B418" s="36">
        <v>12</v>
      </c>
      <c r="C418" t="s">
        <v>119</v>
      </c>
      <c r="D418" t="s">
        <v>6</v>
      </c>
      <c r="F418" t="s">
        <v>124</v>
      </c>
      <c r="G418">
        <v>2574</v>
      </c>
      <c r="H418">
        <v>2140110726</v>
      </c>
      <c r="I418" t="s">
        <v>223</v>
      </c>
      <c r="J418" s="37">
        <v>21168</v>
      </c>
      <c r="K418" s="37">
        <v>10</v>
      </c>
      <c r="M418">
        <v>8422</v>
      </c>
      <c r="O418">
        <v>75</v>
      </c>
      <c r="P418">
        <v>47</v>
      </c>
      <c r="Q418">
        <v>698</v>
      </c>
      <c r="V418" t="s">
        <v>116</v>
      </c>
      <c r="Y418" s="38">
        <v>0.79166666666666663</v>
      </c>
      <c r="Z418" s="38">
        <v>0.29166666666666669</v>
      </c>
      <c r="AA418" t="s">
        <v>117</v>
      </c>
      <c r="AC418" t="s">
        <v>118</v>
      </c>
      <c r="AQ418">
        <v>0.25</v>
      </c>
      <c r="AR418">
        <v>0.75</v>
      </c>
      <c r="BI418">
        <v>0.33329999999999999</v>
      </c>
      <c r="BK418">
        <f>0</f>
        <v>0</v>
      </c>
      <c r="BL418">
        <f t="shared" si="90"/>
        <v>1.3332999999999999</v>
      </c>
      <c r="BM418">
        <f t="shared" si="91"/>
        <v>0</v>
      </c>
      <c r="BN418">
        <f t="shared" si="92"/>
        <v>0</v>
      </c>
      <c r="BO418">
        <f t="shared" si="93"/>
        <v>1</v>
      </c>
      <c r="BP418" s="37">
        <f>IF($F418="","",IFERROR(INDEX(Familias!$C$5:$C$300,MATCH($F418,Familias!$A$5:$A$300,0)),""))</f>
        <v>2840</v>
      </c>
      <c r="BQ418" s="37">
        <f t="shared" si="94"/>
        <v>21178</v>
      </c>
      <c r="BR418" s="36">
        <f t="shared" si="95"/>
        <v>12</v>
      </c>
      <c r="BS418" s="36">
        <f t="shared" si="96"/>
        <v>1.3332999999999999</v>
      </c>
      <c r="BT418" s="36">
        <f t="shared" si="97"/>
        <v>10.666700000000001</v>
      </c>
      <c r="BU418" s="36">
        <f t="shared" si="98"/>
        <v>7.4569999999999999</v>
      </c>
      <c r="BV418" s="39">
        <f t="shared" si="99"/>
        <v>0.6990915653388583</v>
      </c>
      <c r="BW418" s="39">
        <f t="shared" si="100"/>
        <v>0.99952781188025308</v>
      </c>
      <c r="BX418" s="40">
        <f t="shared" si="101"/>
        <v>1.4485870339586796E-2</v>
      </c>
      <c r="BY418" s="40">
        <f t="shared" si="102"/>
        <v>8.2878176205176915E-2</v>
      </c>
      <c r="BZ418" t="str">
        <f t="shared" si="103"/>
        <v>OK</v>
      </c>
      <c r="CA418">
        <f t="shared" si="104"/>
        <v>1</v>
      </c>
    </row>
    <row r="419" spans="1:80" x14ac:dyDescent="0.25">
      <c r="A419" s="35">
        <v>46010</v>
      </c>
      <c r="B419" s="36">
        <v>12</v>
      </c>
      <c r="C419" t="s">
        <v>113</v>
      </c>
      <c r="D419" t="s">
        <v>6</v>
      </c>
      <c r="F419" t="s">
        <v>124</v>
      </c>
      <c r="G419">
        <v>2574</v>
      </c>
      <c r="H419">
        <v>2140110726</v>
      </c>
      <c r="I419" t="s">
        <v>223</v>
      </c>
      <c r="J419" s="37">
        <v>21096</v>
      </c>
      <c r="K419" s="37">
        <v>10</v>
      </c>
      <c r="M419">
        <v>8110</v>
      </c>
      <c r="O419">
        <v>80</v>
      </c>
      <c r="P419">
        <v>98</v>
      </c>
      <c r="Q419">
        <v>100</v>
      </c>
      <c r="V419" t="s">
        <v>120</v>
      </c>
      <c r="Y419" s="38">
        <v>0.29166666666666669</v>
      </c>
      <c r="Z419" s="38">
        <v>0.79166666666666663</v>
      </c>
      <c r="AA419" t="s">
        <v>117</v>
      </c>
      <c r="AC419" t="s">
        <v>118</v>
      </c>
      <c r="AR419">
        <v>0.75</v>
      </c>
      <c r="BI419">
        <v>0.33329999999999999</v>
      </c>
      <c r="BK419">
        <f>0</f>
        <v>0</v>
      </c>
      <c r="BL419">
        <f t="shared" si="90"/>
        <v>1.0832999999999999</v>
      </c>
      <c r="BM419">
        <f t="shared" si="91"/>
        <v>0</v>
      </c>
      <c r="BN419">
        <f t="shared" si="92"/>
        <v>0</v>
      </c>
      <c r="BO419">
        <f t="shared" si="93"/>
        <v>1</v>
      </c>
      <c r="BP419" s="37">
        <f>IF($F419="","",IFERROR(INDEX(Familias!$C$5:$C$300,MATCH($F419,Familias!$A$5:$A$300,0)),""))</f>
        <v>2840</v>
      </c>
      <c r="BQ419" s="37">
        <f t="shared" si="94"/>
        <v>21106</v>
      </c>
      <c r="BR419" s="36">
        <f t="shared" si="95"/>
        <v>12</v>
      </c>
      <c r="BS419" s="36">
        <f t="shared" si="96"/>
        <v>1.0832999999999999</v>
      </c>
      <c r="BT419" s="36">
        <f t="shared" si="97"/>
        <v>10.916700000000001</v>
      </c>
      <c r="BU419" s="36">
        <f t="shared" si="98"/>
        <v>7.4317000000000002</v>
      </c>
      <c r="BV419" s="39">
        <f t="shared" si="99"/>
        <v>0.68076433354401966</v>
      </c>
      <c r="BW419" s="39">
        <f t="shared" si="100"/>
        <v>0.99952620108026158</v>
      </c>
      <c r="BX419" s="40">
        <f t="shared" si="101"/>
        <v>2.1948212083847101E-2</v>
      </c>
      <c r="BY419" s="40">
        <f t="shared" si="102"/>
        <v>1.2330456226880395E-2</v>
      </c>
      <c r="BZ419" t="str">
        <f t="shared" si="103"/>
        <v>OK</v>
      </c>
      <c r="CA419">
        <f t="shared" si="104"/>
        <v>1</v>
      </c>
    </row>
    <row r="420" spans="1:80" x14ac:dyDescent="0.25">
      <c r="A420" s="35">
        <v>46010</v>
      </c>
      <c r="B420" s="36">
        <v>12</v>
      </c>
      <c r="C420" t="s">
        <v>119</v>
      </c>
      <c r="D420" t="s">
        <v>6</v>
      </c>
      <c r="F420" t="s">
        <v>124</v>
      </c>
      <c r="G420">
        <v>2574</v>
      </c>
      <c r="H420">
        <v>2140110726</v>
      </c>
      <c r="I420" t="s">
        <v>223</v>
      </c>
      <c r="J420" s="37">
        <v>17640</v>
      </c>
      <c r="K420" s="37">
        <v>15</v>
      </c>
      <c r="M420">
        <v>6638</v>
      </c>
      <c r="O420">
        <v>65</v>
      </c>
      <c r="P420">
        <v>67</v>
      </c>
      <c r="Q420">
        <v>132</v>
      </c>
      <c r="V420" t="s">
        <v>116</v>
      </c>
      <c r="Y420" s="38">
        <v>0.79166666666666663</v>
      </c>
      <c r="Z420" s="38">
        <v>0.29166666666666669</v>
      </c>
      <c r="AA420" t="s">
        <v>117</v>
      </c>
      <c r="AC420" t="s">
        <v>118</v>
      </c>
      <c r="AQ420">
        <v>0.5</v>
      </c>
      <c r="AR420">
        <v>0.75</v>
      </c>
      <c r="BE420">
        <v>0.5</v>
      </c>
      <c r="BI420">
        <v>0.33329999999999999</v>
      </c>
      <c r="BJ420">
        <v>0.91669999999999996</v>
      </c>
      <c r="BK420">
        <f>0</f>
        <v>0</v>
      </c>
      <c r="BL420">
        <f t="shared" si="90"/>
        <v>3</v>
      </c>
      <c r="BM420">
        <f t="shared" si="91"/>
        <v>0</v>
      </c>
      <c r="BN420">
        <f t="shared" si="92"/>
        <v>0</v>
      </c>
      <c r="BO420">
        <f t="shared" si="93"/>
        <v>1</v>
      </c>
      <c r="BP420" s="37">
        <f>IF($F420="","",IFERROR(INDEX(Familias!$C$5:$C$300,MATCH($F420,Familias!$A$5:$A$300,0)),""))</f>
        <v>2840</v>
      </c>
      <c r="BQ420" s="37">
        <f t="shared" si="94"/>
        <v>17655</v>
      </c>
      <c r="BR420" s="36">
        <f t="shared" si="95"/>
        <v>12</v>
      </c>
      <c r="BS420" s="36">
        <f t="shared" si="96"/>
        <v>3</v>
      </c>
      <c r="BT420" s="36">
        <f t="shared" si="97"/>
        <v>9</v>
      </c>
      <c r="BU420" s="36">
        <f t="shared" si="98"/>
        <v>6.2164999999999999</v>
      </c>
      <c r="BV420" s="39">
        <f t="shared" si="99"/>
        <v>0.69072222222222224</v>
      </c>
      <c r="BW420" s="39">
        <f t="shared" si="100"/>
        <v>0.99915038232795239</v>
      </c>
      <c r="BX420" s="40">
        <f t="shared" si="101"/>
        <v>1.9885507683037058E-2</v>
      </c>
      <c r="BY420" s="40">
        <f t="shared" si="102"/>
        <v>1.9885507683037058E-2</v>
      </c>
      <c r="BZ420" t="str">
        <f t="shared" si="103"/>
        <v>OK</v>
      </c>
      <c r="CA420">
        <f t="shared" si="104"/>
        <v>1</v>
      </c>
    </row>
    <row r="421" spans="1:80" x14ac:dyDescent="0.25">
      <c r="A421" s="35">
        <v>46011</v>
      </c>
      <c r="B421" s="36">
        <v>12</v>
      </c>
      <c r="C421" t="s">
        <v>113</v>
      </c>
      <c r="D421" t="s">
        <v>6</v>
      </c>
      <c r="F421" t="s">
        <v>124</v>
      </c>
      <c r="G421">
        <v>2574</v>
      </c>
      <c r="H421">
        <v>2140110726</v>
      </c>
      <c r="I421" t="s">
        <v>223</v>
      </c>
      <c r="J421" s="37">
        <v>18952</v>
      </c>
      <c r="K421" s="37">
        <v>12</v>
      </c>
      <c r="M421">
        <v>7033</v>
      </c>
      <c r="O421">
        <v>70</v>
      </c>
      <c r="P421">
        <v>77</v>
      </c>
      <c r="Q421">
        <v>45</v>
      </c>
      <c r="V421" t="s">
        <v>120</v>
      </c>
      <c r="Y421" s="38">
        <v>0.29166666666666669</v>
      </c>
      <c r="Z421" s="38">
        <v>0.79166666666666663</v>
      </c>
      <c r="AA421" t="s">
        <v>117</v>
      </c>
      <c r="AC421" t="s">
        <v>118</v>
      </c>
      <c r="AJ421">
        <v>0.5</v>
      </c>
      <c r="AR421">
        <v>0.75</v>
      </c>
      <c r="BC421">
        <v>0.66669999999999996</v>
      </c>
      <c r="BI421">
        <v>0.83330000000000004</v>
      </c>
      <c r="BK421">
        <f>0</f>
        <v>0</v>
      </c>
      <c r="BL421">
        <f t="shared" si="90"/>
        <v>2.75</v>
      </c>
      <c r="BM421">
        <f t="shared" si="91"/>
        <v>0</v>
      </c>
      <c r="BN421">
        <f t="shared" si="92"/>
        <v>0</v>
      </c>
      <c r="BO421">
        <f t="shared" si="93"/>
        <v>1</v>
      </c>
      <c r="BP421" s="37">
        <f>IF($F421="","",IFERROR(INDEX(Familias!$C$5:$C$300,MATCH($F421,Familias!$A$5:$A$300,0)),""))</f>
        <v>2840</v>
      </c>
      <c r="BQ421" s="37">
        <f t="shared" si="94"/>
        <v>18964</v>
      </c>
      <c r="BR421" s="36">
        <f t="shared" si="95"/>
        <v>12</v>
      </c>
      <c r="BS421" s="36">
        <f t="shared" si="96"/>
        <v>2.75</v>
      </c>
      <c r="BT421" s="36">
        <f t="shared" si="97"/>
        <v>9.25</v>
      </c>
      <c r="BU421" s="36">
        <f t="shared" si="98"/>
        <v>6.6775000000000002</v>
      </c>
      <c r="BV421" s="39">
        <f t="shared" si="99"/>
        <v>0.72189189189189196</v>
      </c>
      <c r="BW421" s="39">
        <f t="shared" si="100"/>
        <v>0.99936722210504114</v>
      </c>
      <c r="BX421" s="40">
        <f t="shared" si="101"/>
        <v>2.090146452438504E-2</v>
      </c>
      <c r="BY421" s="40">
        <f t="shared" si="102"/>
        <v>6.3984075074648089E-3</v>
      </c>
      <c r="BZ421" t="str">
        <f t="shared" si="103"/>
        <v>OK</v>
      </c>
      <c r="CA421">
        <f t="shared" si="104"/>
        <v>1</v>
      </c>
    </row>
    <row r="422" spans="1:80" x14ac:dyDescent="0.25">
      <c r="A422" s="35">
        <v>46013</v>
      </c>
      <c r="B422" s="36">
        <v>12</v>
      </c>
      <c r="C422" t="s">
        <v>113</v>
      </c>
      <c r="D422" t="s">
        <v>6</v>
      </c>
      <c r="F422" t="s">
        <v>124</v>
      </c>
      <c r="G422">
        <v>2574</v>
      </c>
      <c r="H422">
        <v>2140110726</v>
      </c>
      <c r="I422" t="s">
        <v>223</v>
      </c>
      <c r="J422" s="37">
        <v>18680</v>
      </c>
      <c r="K422" s="37">
        <v>15</v>
      </c>
      <c r="M422">
        <v>6607</v>
      </c>
      <c r="O422">
        <v>105</v>
      </c>
      <c r="P422">
        <v>36</v>
      </c>
      <c r="Q422">
        <v>242</v>
      </c>
      <c r="V422" t="s">
        <v>116</v>
      </c>
      <c r="Y422" s="38">
        <v>0.29166666666666669</v>
      </c>
      <c r="Z422" s="38">
        <v>0.79166666666666663</v>
      </c>
      <c r="AA422" t="s">
        <v>117</v>
      </c>
      <c r="AC422" t="s">
        <v>118</v>
      </c>
      <c r="AQ422">
        <v>0.25</v>
      </c>
      <c r="AR422">
        <v>0.75</v>
      </c>
      <c r="BI422">
        <v>1.5</v>
      </c>
      <c r="BK422">
        <f>0</f>
        <v>0</v>
      </c>
      <c r="BL422">
        <f t="shared" si="90"/>
        <v>2.5</v>
      </c>
      <c r="BM422">
        <f t="shared" si="91"/>
        <v>0</v>
      </c>
      <c r="BN422">
        <f t="shared" si="92"/>
        <v>0</v>
      </c>
      <c r="BO422">
        <f t="shared" si="93"/>
        <v>1</v>
      </c>
      <c r="BP422" s="37">
        <f>IF($F422="","",IFERROR(INDEX(Familias!$C$5:$C$300,MATCH($F422,Familias!$A$5:$A$300,0)),""))</f>
        <v>2840</v>
      </c>
      <c r="BQ422" s="37">
        <f t="shared" si="94"/>
        <v>18695</v>
      </c>
      <c r="BR422" s="36">
        <f t="shared" si="95"/>
        <v>12</v>
      </c>
      <c r="BS422" s="36">
        <f t="shared" si="96"/>
        <v>2.5</v>
      </c>
      <c r="BT422" s="36">
        <f t="shared" si="97"/>
        <v>9.5</v>
      </c>
      <c r="BU422" s="36">
        <f t="shared" si="98"/>
        <v>6.5827</v>
      </c>
      <c r="BV422" s="39">
        <f t="shared" si="99"/>
        <v>0.69291578947368426</v>
      </c>
      <c r="BW422" s="39">
        <f t="shared" si="100"/>
        <v>0.99919764642952658</v>
      </c>
      <c r="BX422" s="40">
        <f t="shared" si="101"/>
        <v>2.1341001967610112E-2</v>
      </c>
      <c r="BY422" s="40">
        <f t="shared" si="102"/>
        <v>3.6627818979869838E-2</v>
      </c>
      <c r="BZ422" t="str">
        <f t="shared" si="103"/>
        <v>OK</v>
      </c>
      <c r="CA422">
        <f t="shared" si="104"/>
        <v>1</v>
      </c>
    </row>
    <row r="423" spans="1:80" x14ac:dyDescent="0.25">
      <c r="A423" s="35">
        <v>46013</v>
      </c>
      <c r="B423" s="36">
        <v>12</v>
      </c>
      <c r="C423" t="s">
        <v>119</v>
      </c>
      <c r="D423" t="s">
        <v>6</v>
      </c>
      <c r="F423" t="s">
        <v>124</v>
      </c>
      <c r="G423">
        <v>2574</v>
      </c>
      <c r="H423">
        <v>2140110726</v>
      </c>
      <c r="I423" t="s">
        <v>223</v>
      </c>
      <c r="J423" s="37">
        <v>8560</v>
      </c>
      <c r="K423" s="37">
        <v>10</v>
      </c>
      <c r="M423">
        <v>3558</v>
      </c>
      <c r="O423">
        <v>35</v>
      </c>
      <c r="P423">
        <v>35</v>
      </c>
      <c r="Q423">
        <v>385</v>
      </c>
      <c r="V423" t="s">
        <v>120</v>
      </c>
      <c r="Y423" s="38">
        <v>0.79166666666666663</v>
      </c>
      <c r="Z423" s="38">
        <v>0.29166666666666669</v>
      </c>
      <c r="AA423" t="s">
        <v>117</v>
      </c>
      <c r="AC423" t="s">
        <v>118</v>
      </c>
      <c r="AJ423">
        <v>7.75</v>
      </c>
      <c r="AQ423">
        <v>0.25</v>
      </c>
      <c r="AR423">
        <v>0.75</v>
      </c>
      <c r="BI423">
        <v>0.33329999999999999</v>
      </c>
      <c r="BK423">
        <f>0</f>
        <v>0</v>
      </c>
      <c r="BL423">
        <f t="shared" si="90"/>
        <v>9.0832999999999995</v>
      </c>
      <c r="BM423">
        <f t="shared" si="91"/>
        <v>0</v>
      </c>
      <c r="BN423">
        <f t="shared" si="92"/>
        <v>0</v>
      </c>
      <c r="BO423">
        <f t="shared" si="93"/>
        <v>1</v>
      </c>
      <c r="BP423" s="37">
        <f>IF($F423="","",IFERROR(INDEX(Familias!$C$5:$C$300,MATCH($F423,Familias!$A$5:$A$300,0)),""))</f>
        <v>2840</v>
      </c>
      <c r="BQ423" s="37">
        <f t="shared" si="94"/>
        <v>8570</v>
      </c>
      <c r="BR423" s="36">
        <f t="shared" si="95"/>
        <v>12</v>
      </c>
      <c r="BS423" s="36">
        <f t="shared" si="96"/>
        <v>9.0832999999999995</v>
      </c>
      <c r="BT423" s="36">
        <f t="shared" si="97"/>
        <v>2.9167000000000001</v>
      </c>
      <c r="BU423" s="36">
        <f t="shared" si="98"/>
        <v>3.0175999999999998</v>
      </c>
      <c r="BV423" s="39">
        <f t="shared" si="99"/>
        <v>1.0345938903555387</v>
      </c>
      <c r="BW423" s="39">
        <f t="shared" si="100"/>
        <v>0.99883313885647607</v>
      </c>
      <c r="BX423" s="40">
        <f t="shared" si="101"/>
        <v>1.9673974142776839E-2</v>
      </c>
      <c r="BY423" s="40">
        <f t="shared" si="102"/>
        <v>0.10820685778527263</v>
      </c>
      <c r="BZ423" t="str">
        <f t="shared" si="103"/>
        <v>OK</v>
      </c>
      <c r="CA423">
        <f t="shared" si="104"/>
        <v>1</v>
      </c>
    </row>
    <row r="424" spans="1:80" x14ac:dyDescent="0.25">
      <c r="A424" s="35">
        <v>46014</v>
      </c>
      <c r="B424" s="36">
        <v>12</v>
      </c>
      <c r="C424" t="s">
        <v>113</v>
      </c>
      <c r="D424" t="s">
        <v>6</v>
      </c>
      <c r="E424" t="s">
        <v>114</v>
      </c>
      <c r="F424" t="s">
        <v>210</v>
      </c>
      <c r="G424">
        <v>2857</v>
      </c>
      <c r="H424">
        <v>2140110703</v>
      </c>
      <c r="I424" t="s">
        <v>216</v>
      </c>
      <c r="J424" s="37">
        <v>4250</v>
      </c>
      <c r="K424" s="37">
        <v>25</v>
      </c>
      <c r="M424">
        <v>1473</v>
      </c>
      <c r="O424">
        <v>60</v>
      </c>
      <c r="R424">
        <v>110</v>
      </c>
      <c r="T424">
        <v>2</v>
      </c>
      <c r="V424" t="s">
        <v>116</v>
      </c>
      <c r="Y424" s="38">
        <v>0.29166666666666669</v>
      </c>
      <c r="Z424" s="38">
        <v>0.79166666666666663</v>
      </c>
      <c r="AA424" t="s">
        <v>117</v>
      </c>
      <c r="AC424" t="s">
        <v>118</v>
      </c>
      <c r="AQ424">
        <v>0.25</v>
      </c>
      <c r="AR424">
        <v>0.75</v>
      </c>
      <c r="BI424">
        <v>0.33329999999999999</v>
      </c>
      <c r="BK424">
        <f>0</f>
        <v>0</v>
      </c>
      <c r="BL424">
        <f t="shared" si="90"/>
        <v>1.3332999999999999</v>
      </c>
      <c r="BM424">
        <f t="shared" si="91"/>
        <v>0</v>
      </c>
      <c r="BN424">
        <f t="shared" si="92"/>
        <v>0</v>
      </c>
      <c r="BO424">
        <f t="shared" si="93"/>
        <v>1</v>
      </c>
      <c r="BP424" s="37">
        <f>IF($F424="","",IFERROR(INDEX(Familias!$C$5:$C$300,MATCH($F424,Familias!$A$5:$A$300,0)),""))</f>
        <v>2520</v>
      </c>
      <c r="BQ424" s="37">
        <f t="shared" si="94"/>
        <v>4275</v>
      </c>
      <c r="BR424" s="36">
        <f t="shared" si="95"/>
        <v>12</v>
      </c>
      <c r="BS424" s="36">
        <f t="shared" si="96"/>
        <v>1.3332999999999999</v>
      </c>
      <c r="BT424" s="36">
        <f t="shared" si="97"/>
        <v>10.666700000000001</v>
      </c>
      <c r="BU424" s="36">
        <f t="shared" si="98"/>
        <v>1.6963999999999999</v>
      </c>
      <c r="BV424" s="39">
        <f t="shared" si="99"/>
        <v>0.15903700300936557</v>
      </c>
      <c r="BW424" s="39">
        <f t="shared" si="100"/>
        <v>0.99415204678362568</v>
      </c>
      <c r="BX424" s="40">
        <f t="shared" si="101"/>
        <v>0.11541072640868975</v>
      </c>
      <c r="BY424" s="40">
        <f t="shared" si="102"/>
        <v>0</v>
      </c>
      <c r="BZ424" t="str">
        <f t="shared" si="103"/>
        <v>OK</v>
      </c>
      <c r="CA424">
        <f t="shared" si="104"/>
        <v>1</v>
      </c>
    </row>
    <row r="425" spans="1:80" x14ac:dyDescent="0.25">
      <c r="A425" s="35">
        <v>46014</v>
      </c>
      <c r="B425" s="36">
        <v>12</v>
      </c>
      <c r="C425" t="s">
        <v>119</v>
      </c>
      <c r="D425" t="s">
        <v>6</v>
      </c>
      <c r="E425" t="s">
        <v>114</v>
      </c>
      <c r="F425" t="s">
        <v>210</v>
      </c>
      <c r="G425">
        <v>2587</v>
      </c>
      <c r="H425">
        <v>2140110703</v>
      </c>
      <c r="I425" t="s">
        <v>216</v>
      </c>
      <c r="J425" s="37">
        <v>18500</v>
      </c>
      <c r="K425" s="37">
        <v>10</v>
      </c>
      <c r="M425">
        <v>4645</v>
      </c>
      <c r="O425">
        <v>50</v>
      </c>
      <c r="P425">
        <v>36</v>
      </c>
      <c r="Q425">
        <v>324</v>
      </c>
      <c r="T425">
        <v>6</v>
      </c>
      <c r="V425" t="s">
        <v>120</v>
      </c>
      <c r="Y425" s="38">
        <v>0.79166666666666663</v>
      </c>
      <c r="Z425" s="38">
        <v>0.29166666666666669</v>
      </c>
      <c r="AA425" t="s">
        <v>117</v>
      </c>
      <c r="AC425" t="s">
        <v>118</v>
      </c>
      <c r="AO425">
        <v>1</v>
      </c>
      <c r="AR425">
        <v>0.75</v>
      </c>
      <c r="BC425">
        <v>1.6667000000000001</v>
      </c>
      <c r="BI425">
        <v>0.33329999999999999</v>
      </c>
      <c r="BK425">
        <f>0</f>
        <v>0</v>
      </c>
      <c r="BL425">
        <f t="shared" si="90"/>
        <v>3.75</v>
      </c>
      <c r="BM425">
        <f t="shared" si="91"/>
        <v>0</v>
      </c>
      <c r="BN425">
        <f t="shared" si="92"/>
        <v>0</v>
      </c>
      <c r="BO425">
        <f t="shared" si="93"/>
        <v>1</v>
      </c>
      <c r="BP425" s="37">
        <f>IF($F425="","",IFERROR(INDEX(Familias!$C$5:$C$300,MATCH($F425,Familias!$A$5:$A$300,0)),""))</f>
        <v>2520</v>
      </c>
      <c r="BQ425" s="37">
        <f t="shared" si="94"/>
        <v>18510</v>
      </c>
      <c r="BR425" s="36">
        <f t="shared" si="95"/>
        <v>12</v>
      </c>
      <c r="BS425" s="36">
        <f t="shared" si="96"/>
        <v>3.75</v>
      </c>
      <c r="BT425" s="36">
        <f t="shared" si="97"/>
        <v>8.25</v>
      </c>
      <c r="BU425" s="36">
        <f t="shared" si="98"/>
        <v>7.3452000000000002</v>
      </c>
      <c r="BV425" s="39">
        <f t="shared" si="99"/>
        <v>0.89032727272727274</v>
      </c>
      <c r="BW425" s="39">
        <f t="shared" si="100"/>
        <v>0.99945975148568345</v>
      </c>
      <c r="BX425" s="40">
        <f t="shared" si="101"/>
        <v>1.8514531754574813E-2</v>
      </c>
      <c r="BY425" s="40">
        <f t="shared" si="102"/>
        <v>6.9752421959095798E-2</v>
      </c>
      <c r="BZ425" t="str">
        <f t="shared" si="103"/>
        <v>OK</v>
      </c>
      <c r="CA425">
        <f t="shared" si="104"/>
        <v>1</v>
      </c>
    </row>
    <row r="426" spans="1:80" x14ac:dyDescent="0.25">
      <c r="A426" s="35">
        <v>46017</v>
      </c>
      <c r="B426" s="36">
        <v>12</v>
      </c>
      <c r="C426" t="s">
        <v>113</v>
      </c>
      <c r="D426" t="s">
        <v>6</v>
      </c>
      <c r="E426" t="s">
        <v>114</v>
      </c>
      <c r="F426" t="s">
        <v>210</v>
      </c>
      <c r="G426">
        <v>2857</v>
      </c>
      <c r="H426">
        <v>2140110703</v>
      </c>
      <c r="I426" t="s">
        <v>216</v>
      </c>
      <c r="J426" s="37">
        <v>21050</v>
      </c>
      <c r="K426" s="37">
        <v>15</v>
      </c>
      <c r="M426">
        <v>5664</v>
      </c>
      <c r="O426">
        <v>70</v>
      </c>
      <c r="Q426">
        <v>514</v>
      </c>
      <c r="R426">
        <v>30</v>
      </c>
      <c r="T426">
        <v>8</v>
      </c>
      <c r="V426" t="s">
        <v>116</v>
      </c>
      <c r="Y426" s="38">
        <v>0.29166666666666669</v>
      </c>
      <c r="Z426" s="38">
        <v>0.79166666666666663</v>
      </c>
      <c r="AA426" t="s">
        <v>117</v>
      </c>
      <c r="AC426" t="s">
        <v>118</v>
      </c>
      <c r="AQ426">
        <v>0.25</v>
      </c>
      <c r="AR426">
        <v>0.75</v>
      </c>
      <c r="BI426">
        <v>1.4167000000000001</v>
      </c>
      <c r="BK426">
        <f>0</f>
        <v>0</v>
      </c>
      <c r="BL426">
        <f t="shared" si="90"/>
        <v>2.4167000000000001</v>
      </c>
      <c r="BM426">
        <f t="shared" si="91"/>
        <v>0</v>
      </c>
      <c r="BN426">
        <f t="shared" si="92"/>
        <v>0</v>
      </c>
      <c r="BO426">
        <f t="shared" si="93"/>
        <v>1</v>
      </c>
      <c r="BP426" s="37">
        <f>IF($F426="","",IFERROR(INDEX(Familias!$C$5:$C$300,MATCH($F426,Familias!$A$5:$A$300,0)),""))</f>
        <v>2520</v>
      </c>
      <c r="BQ426" s="37">
        <f t="shared" si="94"/>
        <v>21065</v>
      </c>
      <c r="BR426" s="36">
        <f t="shared" si="95"/>
        <v>12</v>
      </c>
      <c r="BS426" s="36">
        <f t="shared" si="96"/>
        <v>2.4167000000000001</v>
      </c>
      <c r="BT426" s="36">
        <f t="shared" si="97"/>
        <v>9.5832999999999995</v>
      </c>
      <c r="BU426" s="36">
        <f t="shared" si="98"/>
        <v>8.3590999999999998</v>
      </c>
      <c r="BV426" s="39">
        <f t="shared" si="99"/>
        <v>0.87225694698068512</v>
      </c>
      <c r="BW426" s="39">
        <f t="shared" si="100"/>
        <v>0.99928791834797059</v>
      </c>
      <c r="BX426" s="40">
        <f t="shared" si="101"/>
        <v>1.7655367231638418E-2</v>
      </c>
      <c r="BY426" s="40">
        <f t="shared" si="102"/>
        <v>9.0748587570621472E-2</v>
      </c>
      <c r="BZ426" t="str">
        <f t="shared" si="103"/>
        <v>OK</v>
      </c>
      <c r="CA426">
        <f t="shared" si="104"/>
        <v>1</v>
      </c>
    </row>
    <row r="427" spans="1:80" x14ac:dyDescent="0.25">
      <c r="A427" s="35">
        <v>46017</v>
      </c>
      <c r="B427" s="36">
        <v>12</v>
      </c>
      <c r="C427" t="s">
        <v>119</v>
      </c>
      <c r="D427" t="s">
        <v>6</v>
      </c>
      <c r="E427" t="s">
        <v>114</v>
      </c>
      <c r="F427" t="s">
        <v>210</v>
      </c>
      <c r="G427">
        <v>2857</v>
      </c>
      <c r="H427">
        <v>2140110703</v>
      </c>
      <c r="I427" t="s">
        <v>216</v>
      </c>
      <c r="J427" s="37">
        <v>24250</v>
      </c>
      <c r="K427" s="37">
        <v>15</v>
      </c>
      <c r="M427">
        <v>5678</v>
      </c>
      <c r="O427">
        <v>60</v>
      </c>
      <c r="P427">
        <v>49</v>
      </c>
      <c r="Q427">
        <v>78</v>
      </c>
      <c r="T427">
        <v>7</v>
      </c>
      <c r="V427" t="s">
        <v>120</v>
      </c>
      <c r="Y427" s="38">
        <v>0.79166666666666663</v>
      </c>
      <c r="Z427" s="38">
        <v>0.29166666666666669</v>
      </c>
      <c r="AA427" t="s">
        <v>117</v>
      </c>
      <c r="AC427" t="s">
        <v>118</v>
      </c>
      <c r="AQ427">
        <v>0.25</v>
      </c>
      <c r="AR427">
        <v>0.75</v>
      </c>
      <c r="BI427">
        <v>0.33329999999999999</v>
      </c>
      <c r="BK427">
        <f>0</f>
        <v>0</v>
      </c>
      <c r="BL427">
        <f t="shared" si="90"/>
        <v>1.3332999999999999</v>
      </c>
      <c r="BM427">
        <f t="shared" si="91"/>
        <v>0</v>
      </c>
      <c r="BN427">
        <f t="shared" si="92"/>
        <v>0</v>
      </c>
      <c r="BO427">
        <f t="shared" si="93"/>
        <v>1</v>
      </c>
      <c r="BP427" s="37">
        <f>IF($F427="","",IFERROR(INDEX(Familias!$C$5:$C$300,MATCH($F427,Familias!$A$5:$A$300,0)),""))</f>
        <v>2520</v>
      </c>
      <c r="BQ427" s="37">
        <f t="shared" si="94"/>
        <v>24265</v>
      </c>
      <c r="BR427" s="36">
        <f t="shared" si="95"/>
        <v>12</v>
      </c>
      <c r="BS427" s="36">
        <f t="shared" si="96"/>
        <v>1.3332999999999999</v>
      </c>
      <c r="BT427" s="36">
        <f t="shared" si="97"/>
        <v>10.666700000000001</v>
      </c>
      <c r="BU427" s="36">
        <f t="shared" si="98"/>
        <v>9.6289999999999996</v>
      </c>
      <c r="BV427" s="39">
        <f t="shared" si="99"/>
        <v>0.9027159290127218</v>
      </c>
      <c r="BW427" s="39">
        <f t="shared" si="100"/>
        <v>0.99938182567484035</v>
      </c>
      <c r="BX427" s="40">
        <f t="shared" si="101"/>
        <v>1.9196900317013033E-2</v>
      </c>
      <c r="BY427" s="40">
        <f t="shared" si="102"/>
        <v>1.3737231419513914E-2</v>
      </c>
      <c r="BZ427" t="str">
        <f t="shared" si="103"/>
        <v>OK</v>
      </c>
      <c r="CA427">
        <f t="shared" si="104"/>
        <v>1</v>
      </c>
    </row>
    <row r="428" spans="1:80" x14ac:dyDescent="0.25">
      <c r="A428" s="35">
        <v>46018</v>
      </c>
      <c r="B428" s="36">
        <v>6.2736000000000001</v>
      </c>
      <c r="C428" t="s">
        <v>113</v>
      </c>
      <c r="D428" t="s">
        <v>6</v>
      </c>
      <c r="E428" t="s">
        <v>114</v>
      </c>
      <c r="F428" t="s">
        <v>210</v>
      </c>
      <c r="G428">
        <v>2857</v>
      </c>
      <c r="H428">
        <v>2140110703</v>
      </c>
      <c r="I428" t="s">
        <v>216</v>
      </c>
      <c r="J428" s="37">
        <v>12150</v>
      </c>
      <c r="K428" s="37">
        <v>25</v>
      </c>
      <c r="M428">
        <v>2995</v>
      </c>
      <c r="P428">
        <v>6</v>
      </c>
      <c r="Q428">
        <v>157</v>
      </c>
      <c r="T428">
        <v>4</v>
      </c>
      <c r="V428" t="s">
        <v>116</v>
      </c>
      <c r="Y428" s="38">
        <v>0.29166666666666669</v>
      </c>
      <c r="Z428" s="38">
        <v>0.55277777777777781</v>
      </c>
      <c r="AA428" t="s">
        <v>117</v>
      </c>
      <c r="AC428" t="s">
        <v>121</v>
      </c>
      <c r="AQ428">
        <v>0.13070000000000001</v>
      </c>
      <c r="AR428">
        <v>0.3921</v>
      </c>
      <c r="AY428">
        <v>2.0041000000000002</v>
      </c>
      <c r="BI428">
        <v>0.17430000000000001</v>
      </c>
      <c r="BJ428">
        <v>0.13070000000000001</v>
      </c>
      <c r="BK428">
        <f>0</f>
        <v>0</v>
      </c>
      <c r="BL428">
        <f t="shared" si="90"/>
        <v>2.8319000000000005</v>
      </c>
      <c r="BM428">
        <f t="shared" si="91"/>
        <v>0</v>
      </c>
      <c r="BN428">
        <f t="shared" si="92"/>
        <v>0</v>
      </c>
      <c r="BO428">
        <f t="shared" si="93"/>
        <v>1</v>
      </c>
      <c r="BP428" s="37">
        <f>IF($F428="","",IFERROR(INDEX(Familias!$C$5:$C$300,MATCH($F428,Familias!$A$5:$A$300,0)),""))</f>
        <v>2520</v>
      </c>
      <c r="BQ428" s="37">
        <f t="shared" si="94"/>
        <v>12175</v>
      </c>
      <c r="BR428" s="36">
        <f t="shared" si="95"/>
        <v>6.2736000000000001</v>
      </c>
      <c r="BS428" s="36">
        <f t="shared" si="96"/>
        <v>2.8319000000000001</v>
      </c>
      <c r="BT428" s="36">
        <f t="shared" si="97"/>
        <v>3.4417</v>
      </c>
      <c r="BU428" s="36">
        <f t="shared" si="98"/>
        <v>4.8312999999999997</v>
      </c>
      <c r="BV428" s="39">
        <f t="shared" si="99"/>
        <v>1.4037539587994305</v>
      </c>
      <c r="BW428" s="39">
        <f t="shared" si="100"/>
        <v>0.99794661190965095</v>
      </c>
      <c r="BX428" s="40">
        <f t="shared" si="101"/>
        <v>2.0033388981636059E-3</v>
      </c>
      <c r="BY428" s="40">
        <f t="shared" si="102"/>
        <v>5.2420701168614359E-2</v>
      </c>
      <c r="BZ428" t="str">
        <f t="shared" si="103"/>
        <v>Revisar rendimiento</v>
      </c>
      <c r="CA428">
        <f t="shared" si="104"/>
        <v>1</v>
      </c>
    </row>
    <row r="429" spans="1:80" x14ac:dyDescent="0.25">
      <c r="A429" s="35">
        <v>46018</v>
      </c>
      <c r="B429" s="36">
        <v>5.7263999999999999</v>
      </c>
      <c r="C429" t="s">
        <v>113</v>
      </c>
      <c r="D429" t="s">
        <v>6</v>
      </c>
      <c r="E429" t="s">
        <v>114</v>
      </c>
      <c r="F429" t="s">
        <v>210</v>
      </c>
      <c r="G429">
        <v>2858</v>
      </c>
      <c r="H429">
        <v>2140110707</v>
      </c>
      <c r="I429" t="s">
        <v>211</v>
      </c>
      <c r="J429" s="37">
        <v>11083</v>
      </c>
      <c r="K429" s="37">
        <v>30</v>
      </c>
      <c r="M429">
        <v>2744</v>
      </c>
      <c r="P429">
        <v>14</v>
      </c>
      <c r="Q429">
        <v>90</v>
      </c>
      <c r="V429" t="s">
        <v>116</v>
      </c>
      <c r="Y429" s="38">
        <v>0.55277777777777781</v>
      </c>
      <c r="Z429" s="38">
        <v>0.79166666666666663</v>
      </c>
      <c r="AA429" t="s">
        <v>117</v>
      </c>
      <c r="AC429" t="s">
        <v>121</v>
      </c>
      <c r="AQ429">
        <v>0.1193</v>
      </c>
      <c r="AR429">
        <v>0.3579</v>
      </c>
      <c r="AY429">
        <v>1.8292999999999999</v>
      </c>
      <c r="BI429">
        <v>0.15909999999999999</v>
      </c>
      <c r="BJ429">
        <v>0.1193</v>
      </c>
      <c r="BK429">
        <f>0</f>
        <v>0</v>
      </c>
      <c r="BL429">
        <f t="shared" si="90"/>
        <v>2.5848999999999998</v>
      </c>
      <c r="BM429">
        <f t="shared" si="91"/>
        <v>0</v>
      </c>
      <c r="BN429">
        <f t="shared" si="92"/>
        <v>0</v>
      </c>
      <c r="BO429">
        <f t="shared" si="93"/>
        <v>1</v>
      </c>
      <c r="BP429" s="37">
        <f>IF($F429="","",IFERROR(INDEX(Familias!$C$5:$C$300,MATCH($F429,Familias!$A$5:$A$300,0)),""))</f>
        <v>2520</v>
      </c>
      <c r="BQ429" s="37">
        <f t="shared" si="94"/>
        <v>11113</v>
      </c>
      <c r="BR429" s="36">
        <f t="shared" si="95"/>
        <v>5.7263999999999999</v>
      </c>
      <c r="BS429" s="36">
        <f t="shared" si="96"/>
        <v>2.5849000000000002</v>
      </c>
      <c r="BT429" s="36">
        <f t="shared" si="97"/>
        <v>3.1415000000000002</v>
      </c>
      <c r="BU429" s="36">
        <f t="shared" si="98"/>
        <v>4.4099000000000004</v>
      </c>
      <c r="BV429" s="39">
        <f t="shared" si="99"/>
        <v>1.4037561674359382</v>
      </c>
      <c r="BW429" s="39">
        <f t="shared" si="100"/>
        <v>0.99730045892198327</v>
      </c>
      <c r="BX429" s="40">
        <f t="shared" si="101"/>
        <v>5.1020408163265302E-3</v>
      </c>
      <c r="BY429" s="40">
        <f t="shared" si="102"/>
        <v>3.2798833819241979E-2</v>
      </c>
      <c r="BZ429" t="str">
        <f t="shared" si="103"/>
        <v>Revisar rendimiento</v>
      </c>
      <c r="CA429">
        <f t="shared" si="104"/>
        <v>1</v>
      </c>
    </row>
    <row r="430" spans="1:80" x14ac:dyDescent="0.25">
      <c r="A430" s="35">
        <v>46018</v>
      </c>
      <c r="B430" s="36">
        <v>12</v>
      </c>
      <c r="C430" t="s">
        <v>119</v>
      </c>
      <c r="D430" t="s">
        <v>6</v>
      </c>
      <c r="E430" t="s">
        <v>114</v>
      </c>
      <c r="F430" t="s">
        <v>210</v>
      </c>
      <c r="G430">
        <v>2858</v>
      </c>
      <c r="H430">
        <v>2140110707</v>
      </c>
      <c r="I430" t="s">
        <v>211</v>
      </c>
      <c r="J430" s="37">
        <v>20350</v>
      </c>
      <c r="K430" s="37">
        <v>10</v>
      </c>
      <c r="M430">
        <v>4721</v>
      </c>
      <c r="O430">
        <v>36</v>
      </c>
      <c r="P430">
        <v>42</v>
      </c>
      <c r="Q430">
        <v>97</v>
      </c>
      <c r="T430">
        <v>6</v>
      </c>
      <c r="V430" t="s">
        <v>120</v>
      </c>
      <c r="Y430" s="38">
        <v>0.79166666666666663</v>
      </c>
      <c r="Z430" s="38">
        <v>0.29166666666666669</v>
      </c>
      <c r="AA430" t="s">
        <v>117</v>
      </c>
      <c r="AC430" t="s">
        <v>118</v>
      </c>
      <c r="AQ430">
        <v>0.25</v>
      </c>
      <c r="AR430">
        <v>0.75</v>
      </c>
      <c r="BI430">
        <v>0.33329999999999999</v>
      </c>
      <c r="BK430">
        <f>0</f>
        <v>0</v>
      </c>
      <c r="BL430">
        <f t="shared" si="90"/>
        <v>1.3332999999999999</v>
      </c>
      <c r="BM430">
        <f t="shared" si="91"/>
        <v>0</v>
      </c>
      <c r="BN430">
        <f t="shared" si="92"/>
        <v>0</v>
      </c>
      <c r="BO430">
        <f t="shared" si="93"/>
        <v>1</v>
      </c>
      <c r="BP430" s="37">
        <f>IF($F430="","",IFERROR(INDEX(Familias!$C$5:$C$300,MATCH($F430,Familias!$A$5:$A$300,0)),""))</f>
        <v>2520</v>
      </c>
      <c r="BQ430" s="37">
        <f t="shared" si="94"/>
        <v>20360</v>
      </c>
      <c r="BR430" s="36">
        <f t="shared" si="95"/>
        <v>12</v>
      </c>
      <c r="BS430" s="36">
        <f t="shared" si="96"/>
        <v>1.3332999999999999</v>
      </c>
      <c r="BT430" s="36">
        <f t="shared" si="97"/>
        <v>10.666700000000001</v>
      </c>
      <c r="BU430" s="36">
        <f t="shared" si="98"/>
        <v>8.0793999999999997</v>
      </c>
      <c r="BV430" s="39">
        <f t="shared" si="99"/>
        <v>0.75744138299567809</v>
      </c>
      <c r="BW430" s="39">
        <f t="shared" si="100"/>
        <v>0.99950884086444003</v>
      </c>
      <c r="BX430" s="40">
        <f t="shared" si="101"/>
        <v>1.6521923321330227E-2</v>
      </c>
      <c r="BY430" s="40">
        <f t="shared" si="102"/>
        <v>2.0546494386782462E-2</v>
      </c>
      <c r="BZ430" t="str">
        <f t="shared" si="103"/>
        <v>OK</v>
      </c>
      <c r="CA430">
        <f t="shared" si="104"/>
        <v>1</v>
      </c>
    </row>
    <row r="431" spans="1:80" x14ac:dyDescent="0.25">
      <c r="A431" s="35">
        <v>46020</v>
      </c>
      <c r="B431" s="36">
        <v>12</v>
      </c>
      <c r="C431" t="s">
        <v>113</v>
      </c>
      <c r="D431" t="s">
        <v>6</v>
      </c>
      <c r="E431" t="s">
        <v>114</v>
      </c>
      <c r="F431" t="s">
        <v>210</v>
      </c>
      <c r="G431">
        <v>2858</v>
      </c>
      <c r="H431">
        <v>2140110707</v>
      </c>
      <c r="I431" t="s">
        <v>211</v>
      </c>
      <c r="J431" s="37">
        <v>21750</v>
      </c>
      <c r="K431" s="37">
        <v>10</v>
      </c>
      <c r="M431">
        <v>5310</v>
      </c>
      <c r="O431">
        <v>60</v>
      </c>
      <c r="P431">
        <v>49</v>
      </c>
      <c r="Q431">
        <v>40</v>
      </c>
      <c r="T431">
        <v>7</v>
      </c>
      <c r="V431" t="s">
        <v>120</v>
      </c>
      <c r="Y431" s="38">
        <v>0.29166666666666669</v>
      </c>
      <c r="Z431" s="38">
        <v>0.79166666666666663</v>
      </c>
      <c r="AA431" t="s">
        <v>117</v>
      </c>
      <c r="AC431" t="s">
        <v>118</v>
      </c>
      <c r="AD431">
        <v>1.3332999999999999</v>
      </c>
      <c r="AQ431">
        <v>0.25</v>
      </c>
      <c r="AR431">
        <v>0.75</v>
      </c>
      <c r="BK431">
        <f>0</f>
        <v>0</v>
      </c>
      <c r="BL431">
        <f t="shared" si="90"/>
        <v>2.3332999999999999</v>
      </c>
      <c r="BM431">
        <f t="shared" si="91"/>
        <v>0</v>
      </c>
      <c r="BN431">
        <f t="shared" si="92"/>
        <v>0</v>
      </c>
      <c r="BO431">
        <f t="shared" si="93"/>
        <v>1</v>
      </c>
      <c r="BP431" s="37">
        <f>IF($F431="","",IFERROR(INDEX(Familias!$C$5:$C$300,MATCH($F431,Familias!$A$5:$A$300,0)),""))</f>
        <v>2520</v>
      </c>
      <c r="BQ431" s="37">
        <f t="shared" si="94"/>
        <v>21760</v>
      </c>
      <c r="BR431" s="36">
        <f t="shared" si="95"/>
        <v>12</v>
      </c>
      <c r="BS431" s="36">
        <f t="shared" si="96"/>
        <v>2.3332999999999999</v>
      </c>
      <c r="BT431" s="36">
        <f t="shared" si="97"/>
        <v>9.6667000000000005</v>
      </c>
      <c r="BU431" s="36">
        <f t="shared" si="98"/>
        <v>8.6349</v>
      </c>
      <c r="BV431" s="39">
        <f t="shared" si="99"/>
        <v>0.89326243702607921</v>
      </c>
      <c r="BW431" s="39">
        <f t="shared" si="100"/>
        <v>0.99954044117647056</v>
      </c>
      <c r="BX431" s="40">
        <f t="shared" si="101"/>
        <v>2.0527306967984934E-2</v>
      </c>
      <c r="BY431" s="40">
        <f t="shared" si="102"/>
        <v>7.5329566854990581E-3</v>
      </c>
      <c r="BZ431" t="str">
        <f t="shared" si="103"/>
        <v>OK</v>
      </c>
      <c r="CA431">
        <f t="shared" si="104"/>
        <v>1</v>
      </c>
    </row>
    <row r="432" spans="1:80" x14ac:dyDescent="0.25">
      <c r="A432" s="35">
        <v>46020</v>
      </c>
      <c r="B432" s="36">
        <v>6.3682999999999996</v>
      </c>
      <c r="C432" t="s">
        <v>119</v>
      </c>
      <c r="D432" t="s">
        <v>6</v>
      </c>
      <c r="E432" t="s">
        <v>114</v>
      </c>
      <c r="F432" t="s">
        <v>210</v>
      </c>
      <c r="G432">
        <v>2858</v>
      </c>
      <c r="H432">
        <v>2140110707</v>
      </c>
      <c r="I432" t="s">
        <v>211</v>
      </c>
      <c r="J432" s="37">
        <v>12050</v>
      </c>
      <c r="K432" s="37">
        <v>20</v>
      </c>
      <c r="M432">
        <v>2939</v>
      </c>
      <c r="O432">
        <v>50</v>
      </c>
      <c r="P432">
        <v>6</v>
      </c>
      <c r="Q432">
        <v>165</v>
      </c>
      <c r="T432">
        <v>4</v>
      </c>
      <c r="V432" t="s">
        <v>116</v>
      </c>
      <c r="Y432" s="38">
        <v>0.79166666666666663</v>
      </c>
      <c r="Z432" s="38">
        <v>5.6944444444444443E-2</v>
      </c>
      <c r="AA432" t="s">
        <v>117</v>
      </c>
      <c r="AC432" t="s">
        <v>121</v>
      </c>
      <c r="AD432">
        <v>0.1769</v>
      </c>
      <c r="AE432">
        <v>0.44219999999999998</v>
      </c>
      <c r="AQ432">
        <v>0.13270000000000001</v>
      </c>
      <c r="AR432">
        <v>0.39800000000000002</v>
      </c>
      <c r="BK432">
        <f>0</f>
        <v>0</v>
      </c>
      <c r="BL432">
        <f t="shared" si="90"/>
        <v>1.1497999999999999</v>
      </c>
      <c r="BM432">
        <f t="shared" si="91"/>
        <v>0</v>
      </c>
      <c r="BN432">
        <f t="shared" si="92"/>
        <v>0</v>
      </c>
      <c r="BO432">
        <f t="shared" si="93"/>
        <v>1</v>
      </c>
      <c r="BP432" s="37">
        <f>IF($F432="","",IFERROR(INDEX(Familias!$C$5:$C$300,MATCH($F432,Familias!$A$5:$A$300,0)),""))</f>
        <v>2520</v>
      </c>
      <c r="BQ432" s="37">
        <f t="shared" si="94"/>
        <v>12070</v>
      </c>
      <c r="BR432" s="36">
        <f t="shared" si="95"/>
        <v>6.3682999999999996</v>
      </c>
      <c r="BS432" s="36">
        <f t="shared" si="96"/>
        <v>1.1497999999999999</v>
      </c>
      <c r="BT432" s="36">
        <f t="shared" si="97"/>
        <v>5.2184999999999997</v>
      </c>
      <c r="BU432" s="36">
        <f t="shared" si="98"/>
        <v>4.7896999999999998</v>
      </c>
      <c r="BV432" s="39">
        <f t="shared" si="99"/>
        <v>0.91783079428954684</v>
      </c>
      <c r="BW432" s="39">
        <f t="shared" si="100"/>
        <v>0.9983429991714996</v>
      </c>
      <c r="BX432" s="40">
        <f t="shared" si="101"/>
        <v>1.9054100034025179E-2</v>
      </c>
      <c r="BY432" s="40">
        <f t="shared" si="102"/>
        <v>5.6141544743109902E-2</v>
      </c>
      <c r="BZ432" t="str">
        <f t="shared" si="103"/>
        <v>OK</v>
      </c>
      <c r="CA432">
        <f t="shared" si="104"/>
        <v>1</v>
      </c>
    </row>
    <row r="433" spans="1:80" x14ac:dyDescent="0.25">
      <c r="A433" s="35">
        <v>46020</v>
      </c>
      <c r="B433" s="36">
        <v>5.6317000000000004</v>
      </c>
      <c r="C433" t="s">
        <v>119</v>
      </c>
      <c r="D433" t="s">
        <v>6</v>
      </c>
      <c r="E433" t="s">
        <v>114</v>
      </c>
      <c r="F433" t="s">
        <v>210</v>
      </c>
      <c r="G433">
        <v>2860</v>
      </c>
      <c r="H433">
        <v>2140110708</v>
      </c>
      <c r="I433" t="s">
        <v>212</v>
      </c>
      <c r="J433" s="37">
        <v>10659</v>
      </c>
      <c r="K433" s="37">
        <v>15</v>
      </c>
      <c r="M433">
        <v>2551</v>
      </c>
      <c r="O433">
        <v>40</v>
      </c>
      <c r="P433">
        <v>14</v>
      </c>
      <c r="Q433">
        <v>60</v>
      </c>
      <c r="R433">
        <v>60</v>
      </c>
      <c r="T433">
        <v>3</v>
      </c>
      <c r="V433" t="s">
        <v>116</v>
      </c>
      <c r="Y433" s="38">
        <v>5.6944444444444443E-2</v>
      </c>
      <c r="Z433" s="38">
        <v>0.29166666666666669</v>
      </c>
      <c r="AA433" t="s">
        <v>117</v>
      </c>
      <c r="AC433" t="s">
        <v>121</v>
      </c>
      <c r="AD433">
        <v>0.15640000000000001</v>
      </c>
      <c r="AE433">
        <v>0.3911</v>
      </c>
      <c r="AQ433">
        <v>0.1173</v>
      </c>
      <c r="AR433">
        <v>0.35199999999999998</v>
      </c>
      <c r="BK433">
        <f>0</f>
        <v>0</v>
      </c>
      <c r="BL433">
        <f t="shared" si="90"/>
        <v>1.0167999999999999</v>
      </c>
      <c r="BM433">
        <f t="shared" si="91"/>
        <v>0</v>
      </c>
      <c r="BN433">
        <f t="shared" si="92"/>
        <v>0</v>
      </c>
      <c r="BO433">
        <f t="shared" si="93"/>
        <v>1</v>
      </c>
      <c r="BP433" s="37">
        <f>IF($F433="","",IFERROR(INDEX(Familias!$C$5:$C$300,MATCH($F433,Familias!$A$5:$A$300,0)),""))</f>
        <v>2520</v>
      </c>
      <c r="BQ433" s="37">
        <f t="shared" si="94"/>
        <v>10674</v>
      </c>
      <c r="BR433" s="36">
        <f t="shared" si="95"/>
        <v>5.6317000000000004</v>
      </c>
      <c r="BS433" s="36">
        <f t="shared" si="96"/>
        <v>1.0167999999999999</v>
      </c>
      <c r="BT433" s="36">
        <f t="shared" si="97"/>
        <v>4.6148999999999996</v>
      </c>
      <c r="BU433" s="36">
        <f t="shared" si="98"/>
        <v>4.2356999999999996</v>
      </c>
      <c r="BV433" s="39">
        <f t="shared" si="99"/>
        <v>0.91783137229409084</v>
      </c>
      <c r="BW433" s="39">
        <f t="shared" si="100"/>
        <v>0.99859471613265882</v>
      </c>
      <c r="BX433" s="40">
        <f t="shared" si="101"/>
        <v>4.4688357506860052E-2</v>
      </c>
      <c r="BY433" s="40">
        <f t="shared" si="102"/>
        <v>2.3520188161505293E-2</v>
      </c>
      <c r="BZ433" t="str">
        <f t="shared" si="103"/>
        <v>OK</v>
      </c>
      <c r="CA433">
        <f t="shared" si="104"/>
        <v>1</v>
      </c>
    </row>
    <row r="434" spans="1:80" x14ac:dyDescent="0.25">
      <c r="A434" s="35">
        <v>46021</v>
      </c>
      <c r="B434" s="36">
        <v>0.78469999999999995</v>
      </c>
      <c r="C434" t="s">
        <v>113</v>
      </c>
      <c r="D434" t="s">
        <v>6</v>
      </c>
      <c r="E434" t="s">
        <v>114</v>
      </c>
      <c r="F434" t="s">
        <v>210</v>
      </c>
      <c r="G434">
        <v>2860</v>
      </c>
      <c r="H434">
        <v>2140110708</v>
      </c>
      <c r="I434" t="s">
        <v>212</v>
      </c>
      <c r="J434" s="37">
        <v>1400</v>
      </c>
      <c r="K434" s="37"/>
      <c r="M434">
        <v>421</v>
      </c>
      <c r="O434">
        <v>5</v>
      </c>
      <c r="P434">
        <v>7</v>
      </c>
      <c r="T434">
        <v>1</v>
      </c>
      <c r="V434" t="s">
        <v>120</v>
      </c>
      <c r="Y434" s="38">
        <v>0.29166666666666669</v>
      </c>
      <c r="Z434" s="38">
        <v>0.32430555555555562</v>
      </c>
      <c r="AA434" t="s">
        <v>117</v>
      </c>
      <c r="AC434" t="s">
        <v>121</v>
      </c>
      <c r="AD434">
        <v>2.18E-2</v>
      </c>
      <c r="AQ434">
        <v>1.6299999999999999E-2</v>
      </c>
      <c r="AR434">
        <v>4.9000000000000002E-2</v>
      </c>
      <c r="BJ434">
        <v>2.18E-2</v>
      </c>
      <c r="BK434">
        <f>0</f>
        <v>0</v>
      </c>
      <c r="BL434">
        <f t="shared" si="90"/>
        <v>0.1089</v>
      </c>
      <c r="BM434">
        <f t="shared" si="91"/>
        <v>0</v>
      </c>
      <c r="BN434">
        <f t="shared" si="92"/>
        <v>0</v>
      </c>
      <c r="BO434">
        <f t="shared" si="93"/>
        <v>1</v>
      </c>
      <c r="BP434" s="37">
        <f>IF($F434="","",IFERROR(INDEX(Familias!$C$5:$C$300,MATCH($F434,Familias!$A$5:$A$300,0)),""))</f>
        <v>2520</v>
      </c>
      <c r="BQ434" s="37">
        <f t="shared" si="94"/>
        <v>1400</v>
      </c>
      <c r="BR434" s="36">
        <f t="shared" si="95"/>
        <v>0.78469999999999995</v>
      </c>
      <c r="BS434" s="36">
        <f t="shared" si="96"/>
        <v>0.1089</v>
      </c>
      <c r="BT434" s="36">
        <f t="shared" si="97"/>
        <v>0.67579999999999996</v>
      </c>
      <c r="BU434" s="36">
        <f t="shared" si="98"/>
        <v>0.55559999999999998</v>
      </c>
      <c r="BV434" s="39">
        <f t="shared" si="99"/>
        <v>0.82213672684226102</v>
      </c>
      <c r="BW434" s="39">
        <f t="shared" si="100"/>
        <v>1</v>
      </c>
      <c r="BX434" s="40">
        <f t="shared" si="101"/>
        <v>2.8503562945368172E-2</v>
      </c>
      <c r="BY434" s="40">
        <f t="shared" si="102"/>
        <v>0</v>
      </c>
      <c r="BZ434" t="str">
        <f t="shared" si="103"/>
        <v>OK</v>
      </c>
      <c r="CA434">
        <f t="shared" si="104"/>
        <v>1</v>
      </c>
    </row>
    <row r="435" spans="1:80" x14ac:dyDescent="0.25">
      <c r="A435" s="35">
        <v>46021</v>
      </c>
      <c r="B435" s="36">
        <v>11.215299999999999</v>
      </c>
      <c r="C435" t="s">
        <v>113</v>
      </c>
      <c r="D435" t="s">
        <v>6</v>
      </c>
      <c r="E435" t="s">
        <v>114</v>
      </c>
      <c r="F435" t="s">
        <v>210</v>
      </c>
      <c r="G435">
        <v>2859</v>
      </c>
      <c r="H435">
        <v>2140110704</v>
      </c>
      <c r="I435" t="s">
        <v>217</v>
      </c>
      <c r="J435" s="37">
        <v>20000</v>
      </c>
      <c r="K435" s="37">
        <v>10</v>
      </c>
      <c r="M435">
        <v>5334</v>
      </c>
      <c r="O435">
        <v>35</v>
      </c>
      <c r="P435">
        <v>49</v>
      </c>
      <c r="Q435">
        <v>58</v>
      </c>
      <c r="T435">
        <v>7</v>
      </c>
      <c r="V435" t="s">
        <v>120</v>
      </c>
      <c r="Y435" s="38">
        <v>0.32430555555555562</v>
      </c>
      <c r="Z435" s="38">
        <v>0.79166666666666663</v>
      </c>
      <c r="AA435" t="s">
        <v>117</v>
      </c>
      <c r="AC435" t="s">
        <v>121</v>
      </c>
      <c r="AD435">
        <v>0.3115</v>
      </c>
      <c r="AQ435">
        <v>0.23369999999999999</v>
      </c>
      <c r="AR435">
        <v>0.70099999999999996</v>
      </c>
      <c r="BJ435">
        <v>0.3115</v>
      </c>
      <c r="BK435">
        <f>0</f>
        <v>0</v>
      </c>
      <c r="BL435">
        <f t="shared" si="90"/>
        <v>1.5577000000000001</v>
      </c>
      <c r="BM435">
        <f t="shared" si="91"/>
        <v>0</v>
      </c>
      <c r="BN435">
        <f t="shared" si="92"/>
        <v>0</v>
      </c>
      <c r="BO435">
        <f t="shared" si="93"/>
        <v>1</v>
      </c>
      <c r="BP435" s="37">
        <f>IF($F435="","",IFERROR(INDEX(Familias!$C$5:$C$300,MATCH($F435,Familias!$A$5:$A$300,0)),""))</f>
        <v>2520</v>
      </c>
      <c r="BQ435" s="37">
        <f t="shared" si="94"/>
        <v>20010</v>
      </c>
      <c r="BR435" s="36">
        <f t="shared" si="95"/>
        <v>11.215299999999999</v>
      </c>
      <c r="BS435" s="36">
        <f t="shared" si="96"/>
        <v>1.5577000000000001</v>
      </c>
      <c r="BT435" s="36">
        <f t="shared" si="97"/>
        <v>9.6576000000000004</v>
      </c>
      <c r="BU435" s="36">
        <f t="shared" si="98"/>
        <v>7.9405000000000001</v>
      </c>
      <c r="BV435" s="39">
        <f t="shared" si="99"/>
        <v>0.82220220344599071</v>
      </c>
      <c r="BW435" s="39">
        <f t="shared" si="100"/>
        <v>0.99950024987506247</v>
      </c>
      <c r="BX435" s="40">
        <f t="shared" si="101"/>
        <v>1.5748031496062992E-2</v>
      </c>
      <c r="BY435" s="40">
        <f t="shared" si="102"/>
        <v>1.0873640794900637E-2</v>
      </c>
      <c r="BZ435" t="str">
        <f t="shared" si="103"/>
        <v>OK</v>
      </c>
      <c r="CA435">
        <f t="shared" si="104"/>
        <v>1</v>
      </c>
    </row>
    <row r="436" spans="1:80" x14ac:dyDescent="0.25">
      <c r="A436" s="35">
        <v>46021</v>
      </c>
      <c r="B436" s="36">
        <v>6.5731000000000002</v>
      </c>
      <c r="C436" t="s">
        <v>119</v>
      </c>
      <c r="D436" t="s">
        <v>6</v>
      </c>
      <c r="E436" t="s">
        <v>114</v>
      </c>
      <c r="F436" t="s">
        <v>210</v>
      </c>
      <c r="G436">
        <v>2862</v>
      </c>
      <c r="H436">
        <v>2140110709</v>
      </c>
      <c r="I436" t="s">
        <v>213</v>
      </c>
      <c r="J436" s="37">
        <v>10050</v>
      </c>
      <c r="K436" s="37">
        <v>15</v>
      </c>
      <c r="M436">
        <v>2018</v>
      </c>
      <c r="O436">
        <v>35</v>
      </c>
      <c r="P436">
        <v>21</v>
      </c>
      <c r="R436">
        <v>45</v>
      </c>
      <c r="T436">
        <v>3</v>
      </c>
      <c r="V436" t="s">
        <v>116</v>
      </c>
      <c r="Y436" s="38">
        <v>0.79166666666666663</v>
      </c>
      <c r="Z436" s="38">
        <v>6.5277777777777782E-2</v>
      </c>
      <c r="AA436" t="s">
        <v>117</v>
      </c>
      <c r="AC436" t="s">
        <v>121</v>
      </c>
      <c r="AD436">
        <v>0.54779999999999995</v>
      </c>
      <c r="AQ436">
        <v>1.0954999999999999</v>
      </c>
      <c r="AR436">
        <v>0.4108</v>
      </c>
      <c r="BJ436">
        <v>9.1300000000000006E-2</v>
      </c>
      <c r="BK436">
        <f>0</f>
        <v>0</v>
      </c>
      <c r="BL436">
        <f t="shared" si="90"/>
        <v>2.1454</v>
      </c>
      <c r="BM436">
        <f t="shared" si="91"/>
        <v>0</v>
      </c>
      <c r="BN436">
        <f t="shared" si="92"/>
        <v>0</v>
      </c>
      <c r="BO436">
        <f t="shared" si="93"/>
        <v>1</v>
      </c>
      <c r="BP436" s="37">
        <f>IF($F436="","",IFERROR(INDEX(Familias!$C$5:$C$300,MATCH($F436,Familias!$A$5:$A$300,0)),""))</f>
        <v>2520</v>
      </c>
      <c r="BQ436" s="37">
        <f t="shared" si="94"/>
        <v>10065</v>
      </c>
      <c r="BR436" s="36">
        <f t="shared" si="95"/>
        <v>6.5731000000000002</v>
      </c>
      <c r="BS436" s="36">
        <f t="shared" si="96"/>
        <v>2.1454</v>
      </c>
      <c r="BT436" s="36">
        <f t="shared" si="97"/>
        <v>4.4276999999999997</v>
      </c>
      <c r="BU436" s="36">
        <f t="shared" si="98"/>
        <v>3.9940000000000002</v>
      </c>
      <c r="BV436" s="39">
        <f t="shared" si="99"/>
        <v>0.90204846760168944</v>
      </c>
      <c r="BW436" s="39">
        <f t="shared" si="100"/>
        <v>0.99850968703427723</v>
      </c>
      <c r="BX436" s="40">
        <f t="shared" si="101"/>
        <v>5.0049554013875126E-2</v>
      </c>
      <c r="BY436" s="40">
        <f t="shared" si="102"/>
        <v>0</v>
      </c>
      <c r="BZ436" t="str">
        <f t="shared" si="103"/>
        <v>OK</v>
      </c>
      <c r="CA436">
        <f t="shared" si="104"/>
        <v>1</v>
      </c>
    </row>
    <row r="437" spans="1:80" x14ac:dyDescent="0.25">
      <c r="A437" s="35">
        <v>46021</v>
      </c>
      <c r="B437" s="36">
        <v>5.4268999999999998</v>
      </c>
      <c r="C437" t="s">
        <v>119</v>
      </c>
      <c r="D437" t="s">
        <v>6</v>
      </c>
      <c r="E437" t="s">
        <v>114</v>
      </c>
      <c r="F437" t="s">
        <v>210</v>
      </c>
      <c r="G437">
        <v>2861</v>
      </c>
      <c r="H437">
        <v>2140110705</v>
      </c>
      <c r="I437" t="s">
        <v>218</v>
      </c>
      <c r="J437" s="37">
        <v>8300</v>
      </c>
      <c r="K437" s="37">
        <v>10</v>
      </c>
      <c r="M437">
        <v>2530</v>
      </c>
      <c r="O437">
        <v>20</v>
      </c>
      <c r="P437">
        <v>13</v>
      </c>
      <c r="V437" t="s">
        <v>116</v>
      </c>
      <c r="Y437" s="38">
        <v>6.5277777777777782E-2</v>
      </c>
      <c r="Z437" s="38">
        <v>0.29166666666666669</v>
      </c>
      <c r="AA437" t="s">
        <v>117</v>
      </c>
      <c r="AC437" t="s">
        <v>121</v>
      </c>
      <c r="AD437">
        <v>0.45219999999999999</v>
      </c>
      <c r="AQ437">
        <v>0.90449999999999997</v>
      </c>
      <c r="AR437">
        <v>0.3392</v>
      </c>
      <c r="BJ437">
        <v>7.5399999999999995E-2</v>
      </c>
      <c r="BK437">
        <f>0</f>
        <v>0</v>
      </c>
      <c r="BL437">
        <f t="shared" si="90"/>
        <v>1.7712999999999999</v>
      </c>
      <c r="BM437">
        <f t="shared" si="91"/>
        <v>0</v>
      </c>
      <c r="BN437">
        <f t="shared" si="92"/>
        <v>0</v>
      </c>
      <c r="BO437">
        <f t="shared" si="93"/>
        <v>1</v>
      </c>
      <c r="BP437" s="37">
        <f>IF($F437="","",IFERROR(INDEX(Familias!$C$5:$C$300,MATCH($F437,Familias!$A$5:$A$300,0)),""))</f>
        <v>2520</v>
      </c>
      <c r="BQ437" s="37">
        <f t="shared" si="94"/>
        <v>8310</v>
      </c>
      <c r="BR437" s="36">
        <f t="shared" si="95"/>
        <v>5.4268999999999998</v>
      </c>
      <c r="BS437" s="36">
        <f t="shared" si="96"/>
        <v>1.7713000000000001</v>
      </c>
      <c r="BT437" s="36">
        <f t="shared" si="97"/>
        <v>3.6556000000000002</v>
      </c>
      <c r="BU437" s="36">
        <f t="shared" si="98"/>
        <v>3.2976000000000001</v>
      </c>
      <c r="BV437" s="39">
        <f t="shared" si="99"/>
        <v>0.90206805996279682</v>
      </c>
      <c r="BW437" s="39">
        <f t="shared" si="100"/>
        <v>0.99879663056558365</v>
      </c>
      <c r="BX437" s="40">
        <f t="shared" si="101"/>
        <v>1.3043478260869565E-2</v>
      </c>
      <c r="BY437" s="40">
        <f t="shared" si="102"/>
        <v>0</v>
      </c>
      <c r="BZ437" t="str">
        <f t="shared" si="103"/>
        <v>OK</v>
      </c>
      <c r="CA437">
        <f t="shared" si="104"/>
        <v>1</v>
      </c>
    </row>
    <row r="438" spans="1:80" x14ac:dyDescent="0.25">
      <c r="A438" s="35">
        <v>46024</v>
      </c>
      <c r="B438" s="36">
        <v>12</v>
      </c>
      <c r="C438" t="s">
        <v>113</v>
      </c>
      <c r="D438" t="s">
        <v>6</v>
      </c>
      <c r="E438" t="s">
        <v>114</v>
      </c>
      <c r="F438" t="s">
        <v>210</v>
      </c>
      <c r="G438">
        <v>2861</v>
      </c>
      <c r="H438">
        <v>2140110705</v>
      </c>
      <c r="I438" t="s">
        <v>218</v>
      </c>
      <c r="J438" s="37">
        <v>6700</v>
      </c>
      <c r="K438" s="37">
        <v>8</v>
      </c>
      <c r="M438">
        <v>1489</v>
      </c>
      <c r="O438">
        <v>20</v>
      </c>
      <c r="P438">
        <v>14</v>
      </c>
      <c r="Q438">
        <v>49</v>
      </c>
      <c r="T438">
        <v>2</v>
      </c>
      <c r="V438" t="s">
        <v>120</v>
      </c>
      <c r="Y438" s="38">
        <v>0.29166666666666669</v>
      </c>
      <c r="Z438" s="38">
        <v>0.79166666666666663</v>
      </c>
      <c r="AA438" t="s">
        <v>117</v>
      </c>
      <c r="AC438" t="s">
        <v>118</v>
      </c>
      <c r="AD438">
        <v>1.3332999999999999</v>
      </c>
      <c r="AQ438">
        <v>0.25</v>
      </c>
      <c r="AR438">
        <v>0.75</v>
      </c>
      <c r="BK438">
        <f>0</f>
        <v>0</v>
      </c>
      <c r="BL438">
        <f t="shared" si="90"/>
        <v>2.3332999999999999</v>
      </c>
      <c r="BM438">
        <f t="shared" si="91"/>
        <v>0</v>
      </c>
      <c r="BN438">
        <f t="shared" si="92"/>
        <v>0</v>
      </c>
      <c r="BO438">
        <f t="shared" si="93"/>
        <v>1</v>
      </c>
      <c r="BP438" s="37">
        <f>IF($F438="","",IFERROR(INDEX(Familias!$C$5:$C$300,MATCH($F438,Familias!$A$5:$A$300,0)),""))</f>
        <v>2520</v>
      </c>
      <c r="BQ438" s="37">
        <f t="shared" si="94"/>
        <v>6708</v>
      </c>
      <c r="BR438" s="36">
        <f t="shared" si="95"/>
        <v>12</v>
      </c>
      <c r="BS438" s="36">
        <f t="shared" si="96"/>
        <v>2.3332999999999999</v>
      </c>
      <c r="BT438" s="36">
        <f t="shared" si="97"/>
        <v>9.6667000000000005</v>
      </c>
      <c r="BU438" s="36">
        <f t="shared" si="98"/>
        <v>2.6619000000000002</v>
      </c>
      <c r="BV438" s="39">
        <f t="shared" si="99"/>
        <v>0.27536801597235872</v>
      </c>
      <c r="BW438" s="39">
        <f t="shared" si="100"/>
        <v>0.99880739415623132</v>
      </c>
      <c r="BX438" s="40">
        <f t="shared" si="101"/>
        <v>2.2834116856950974E-2</v>
      </c>
      <c r="BY438" s="40">
        <f t="shared" si="102"/>
        <v>3.2907991940899932E-2</v>
      </c>
      <c r="BZ438" t="str">
        <f t="shared" si="103"/>
        <v>OK</v>
      </c>
      <c r="CA438">
        <f t="shared" si="104"/>
        <v>1</v>
      </c>
    </row>
    <row r="439" spans="1:80" x14ac:dyDescent="0.25">
      <c r="A439" s="35">
        <v>46024</v>
      </c>
      <c r="B439" s="36">
        <v>12</v>
      </c>
      <c r="C439" t="s">
        <v>119</v>
      </c>
      <c r="D439" t="s">
        <v>6</v>
      </c>
      <c r="E439" t="s">
        <v>126</v>
      </c>
      <c r="F439" t="s">
        <v>191</v>
      </c>
      <c r="G439">
        <v>2853</v>
      </c>
      <c r="H439">
        <v>2140110533</v>
      </c>
      <c r="I439" t="s">
        <v>192</v>
      </c>
      <c r="J439" s="37">
        <v>17250</v>
      </c>
      <c r="K439" s="37">
        <v>20</v>
      </c>
      <c r="M439">
        <v>3551</v>
      </c>
      <c r="O439">
        <v>60</v>
      </c>
      <c r="P439">
        <v>24</v>
      </c>
      <c r="Q439">
        <v>70</v>
      </c>
      <c r="R439">
        <v>80</v>
      </c>
      <c r="T439">
        <v>6</v>
      </c>
      <c r="V439" t="s">
        <v>116</v>
      </c>
      <c r="Y439" s="38">
        <v>0.79166666666666663</v>
      </c>
      <c r="Z439" s="38">
        <v>0.29166666666666669</v>
      </c>
      <c r="AA439" t="s">
        <v>117</v>
      </c>
      <c r="AC439" t="s">
        <v>118</v>
      </c>
      <c r="AD439">
        <v>1</v>
      </c>
      <c r="AQ439">
        <v>0.25</v>
      </c>
      <c r="AR439">
        <v>0.75</v>
      </c>
      <c r="BJ439">
        <v>6.9166999999999996</v>
      </c>
      <c r="BK439">
        <f>0</f>
        <v>0</v>
      </c>
      <c r="BL439">
        <f t="shared" si="90"/>
        <v>8.9166999999999987</v>
      </c>
      <c r="BM439">
        <f t="shared" si="91"/>
        <v>0</v>
      </c>
      <c r="BN439">
        <f t="shared" si="92"/>
        <v>0</v>
      </c>
      <c r="BO439">
        <f t="shared" si="93"/>
        <v>1</v>
      </c>
      <c r="BP439" s="37">
        <f>IF($F439="","",IFERROR(INDEX(Familias!$C$5:$C$300,MATCH($F439,Familias!$A$5:$A$300,0)),""))</f>
        <v>3710</v>
      </c>
      <c r="BQ439" s="37">
        <f t="shared" si="94"/>
        <v>17270</v>
      </c>
      <c r="BR439" s="36">
        <f t="shared" si="95"/>
        <v>12</v>
      </c>
      <c r="BS439" s="36">
        <f t="shared" si="96"/>
        <v>8.9167000000000005</v>
      </c>
      <c r="BT439" s="36">
        <f t="shared" si="97"/>
        <v>3.0832999999999999</v>
      </c>
      <c r="BU439" s="36">
        <f t="shared" si="98"/>
        <v>4.6550000000000002</v>
      </c>
      <c r="BV439" s="39">
        <f t="shared" si="99"/>
        <v>1.5097460513086629</v>
      </c>
      <c r="BW439" s="39">
        <f t="shared" si="100"/>
        <v>0.99884192240880143</v>
      </c>
      <c r="BX439" s="40">
        <f t="shared" si="101"/>
        <v>4.6184173472261336E-2</v>
      </c>
      <c r="BY439" s="40">
        <f t="shared" si="102"/>
        <v>1.9712756969867642E-2</v>
      </c>
      <c r="BZ439" t="str">
        <f t="shared" si="103"/>
        <v>Revisar rendimiento</v>
      </c>
      <c r="CA439">
        <f t="shared" si="104"/>
        <v>1</v>
      </c>
    </row>
    <row r="440" spans="1:80" x14ac:dyDescent="0.25">
      <c r="A440" s="35">
        <v>46025</v>
      </c>
      <c r="B440" s="36">
        <v>12</v>
      </c>
      <c r="C440" t="s">
        <v>113</v>
      </c>
      <c r="D440" t="s">
        <v>6</v>
      </c>
      <c r="E440" t="s">
        <v>126</v>
      </c>
      <c r="F440" t="s">
        <v>191</v>
      </c>
      <c r="G440">
        <v>2853</v>
      </c>
      <c r="H440">
        <v>2140110533</v>
      </c>
      <c r="I440" t="s">
        <v>192</v>
      </c>
      <c r="J440" s="37">
        <v>32700</v>
      </c>
      <c r="K440" s="37">
        <v>10</v>
      </c>
      <c r="M440">
        <v>5949</v>
      </c>
      <c r="O440">
        <v>45</v>
      </c>
      <c r="T440">
        <v>10</v>
      </c>
      <c r="V440" t="s">
        <v>120</v>
      </c>
      <c r="Y440" s="38">
        <v>0.29166666666666669</v>
      </c>
      <c r="Z440" s="38">
        <v>0.79166666666666663</v>
      </c>
      <c r="AA440" t="s">
        <v>117</v>
      </c>
      <c r="AC440" t="s">
        <v>118</v>
      </c>
      <c r="AD440">
        <v>0.33329999999999999</v>
      </c>
      <c r="AQ440">
        <v>0.25</v>
      </c>
      <c r="AR440">
        <v>0.75</v>
      </c>
      <c r="BK440">
        <f>0</f>
        <v>0</v>
      </c>
      <c r="BL440">
        <f t="shared" si="90"/>
        <v>1.3332999999999999</v>
      </c>
      <c r="BM440">
        <f t="shared" si="91"/>
        <v>0</v>
      </c>
      <c r="BN440">
        <f t="shared" si="92"/>
        <v>0</v>
      </c>
      <c r="BO440">
        <f t="shared" si="93"/>
        <v>1</v>
      </c>
      <c r="BP440" s="37">
        <f>IF($F440="","",IFERROR(INDEX(Familias!$C$5:$C$300,MATCH($F440,Familias!$A$5:$A$300,0)),""))</f>
        <v>3710</v>
      </c>
      <c r="BQ440" s="37">
        <f t="shared" si="94"/>
        <v>32710</v>
      </c>
      <c r="BR440" s="36">
        <f t="shared" si="95"/>
        <v>12</v>
      </c>
      <c r="BS440" s="36">
        <f t="shared" si="96"/>
        <v>1.3332999999999999</v>
      </c>
      <c r="BT440" s="36">
        <f t="shared" si="97"/>
        <v>10.666700000000001</v>
      </c>
      <c r="BU440" s="36">
        <f t="shared" si="98"/>
        <v>8.8167000000000009</v>
      </c>
      <c r="BV440" s="39">
        <f t="shared" si="99"/>
        <v>0.8265630419904938</v>
      </c>
      <c r="BW440" s="39">
        <f t="shared" si="100"/>
        <v>0.99969428309385511</v>
      </c>
      <c r="BX440" s="40">
        <f t="shared" si="101"/>
        <v>7.5642965204236008E-3</v>
      </c>
      <c r="BY440" s="40">
        <f t="shared" si="102"/>
        <v>0</v>
      </c>
      <c r="BZ440" t="str">
        <f t="shared" si="103"/>
        <v>OK</v>
      </c>
      <c r="CA440">
        <f t="shared" si="104"/>
        <v>1</v>
      </c>
    </row>
    <row r="441" spans="1:80" x14ac:dyDescent="0.25">
      <c r="A441" s="35">
        <v>46025</v>
      </c>
      <c r="B441" s="36">
        <v>12</v>
      </c>
      <c r="C441" t="s">
        <v>119</v>
      </c>
      <c r="D441" t="s">
        <v>6</v>
      </c>
      <c r="E441" t="s">
        <v>126</v>
      </c>
      <c r="F441" t="s">
        <v>191</v>
      </c>
      <c r="G441">
        <v>2853</v>
      </c>
      <c r="H441">
        <v>2140110533</v>
      </c>
      <c r="I441" t="s">
        <v>192</v>
      </c>
      <c r="J441" s="37">
        <v>27100</v>
      </c>
      <c r="K441" s="37">
        <v>25</v>
      </c>
      <c r="M441">
        <v>5089</v>
      </c>
      <c r="O441">
        <v>35</v>
      </c>
      <c r="Q441">
        <v>92</v>
      </c>
      <c r="T441">
        <v>9</v>
      </c>
      <c r="V441" t="s">
        <v>116</v>
      </c>
      <c r="Y441" s="38">
        <v>0.79166666666666663</v>
      </c>
      <c r="Z441" s="38">
        <v>0.29166666666666669</v>
      </c>
      <c r="AA441" t="s">
        <v>117</v>
      </c>
      <c r="AC441" t="s">
        <v>118</v>
      </c>
      <c r="AD441">
        <v>0.5</v>
      </c>
      <c r="AQ441">
        <v>2</v>
      </c>
      <c r="AR441">
        <v>0.75</v>
      </c>
      <c r="BK441">
        <f>0</f>
        <v>0</v>
      </c>
      <c r="BL441">
        <f t="shared" si="90"/>
        <v>3.25</v>
      </c>
      <c r="BM441">
        <f t="shared" si="91"/>
        <v>0</v>
      </c>
      <c r="BN441">
        <f t="shared" si="92"/>
        <v>0</v>
      </c>
      <c r="BO441">
        <f t="shared" si="93"/>
        <v>1</v>
      </c>
      <c r="BP441" s="37">
        <f>IF($F441="","",IFERROR(INDEX(Familias!$C$5:$C$300,MATCH($F441,Familias!$A$5:$A$300,0)),""))</f>
        <v>3710</v>
      </c>
      <c r="BQ441" s="37">
        <f t="shared" si="94"/>
        <v>27125</v>
      </c>
      <c r="BR441" s="36">
        <f t="shared" si="95"/>
        <v>12</v>
      </c>
      <c r="BS441" s="36">
        <f t="shared" si="96"/>
        <v>3.25</v>
      </c>
      <c r="BT441" s="36">
        <f t="shared" si="97"/>
        <v>8.75</v>
      </c>
      <c r="BU441" s="36">
        <f t="shared" si="98"/>
        <v>7.3113000000000001</v>
      </c>
      <c r="BV441" s="39">
        <f t="shared" si="99"/>
        <v>0.83557714285714291</v>
      </c>
      <c r="BW441" s="39">
        <f t="shared" si="100"/>
        <v>0.99907834101382487</v>
      </c>
      <c r="BX441" s="40">
        <f t="shared" si="101"/>
        <v>6.8775790921595595E-3</v>
      </c>
      <c r="BY441" s="40">
        <f t="shared" si="102"/>
        <v>1.8078207899390842E-2</v>
      </c>
      <c r="BZ441" t="str">
        <f t="shared" si="103"/>
        <v>OK</v>
      </c>
      <c r="CA441">
        <f t="shared" si="104"/>
        <v>1</v>
      </c>
    </row>
    <row r="442" spans="1:80" x14ac:dyDescent="0.25">
      <c r="A442" s="35">
        <v>46027</v>
      </c>
      <c r="B442" s="36">
        <v>12</v>
      </c>
      <c r="C442" t="s">
        <v>113</v>
      </c>
      <c r="D442" t="s">
        <v>6</v>
      </c>
      <c r="E442" t="s">
        <v>126</v>
      </c>
      <c r="F442" t="s">
        <v>191</v>
      </c>
      <c r="G442">
        <v>2853</v>
      </c>
      <c r="H442">
        <v>2140110533</v>
      </c>
      <c r="I442" t="s">
        <v>192</v>
      </c>
      <c r="J442" s="37">
        <v>21250</v>
      </c>
      <c r="K442" s="37">
        <v>20</v>
      </c>
      <c r="M442">
        <v>4193</v>
      </c>
      <c r="O442">
        <v>45</v>
      </c>
      <c r="Q442">
        <v>65</v>
      </c>
      <c r="T442">
        <v>8</v>
      </c>
      <c r="V442" t="s">
        <v>116</v>
      </c>
      <c r="Y442" s="38">
        <v>0.29166666666666669</v>
      </c>
      <c r="Z442" s="38">
        <v>0.79166666666666663</v>
      </c>
      <c r="AA442" t="s">
        <v>117</v>
      </c>
      <c r="AC442" t="s">
        <v>118</v>
      </c>
      <c r="AD442">
        <v>1</v>
      </c>
      <c r="AQ442">
        <v>0.25</v>
      </c>
      <c r="AR442">
        <v>0.75</v>
      </c>
      <c r="BJ442">
        <v>4</v>
      </c>
      <c r="BK442">
        <f>0</f>
        <v>0</v>
      </c>
      <c r="BL442">
        <f t="shared" si="90"/>
        <v>6</v>
      </c>
      <c r="BM442">
        <f t="shared" si="91"/>
        <v>0</v>
      </c>
      <c r="BN442">
        <f t="shared" si="92"/>
        <v>0</v>
      </c>
      <c r="BO442">
        <f t="shared" si="93"/>
        <v>1</v>
      </c>
      <c r="BP442" s="37">
        <f>IF($F442="","",IFERROR(INDEX(Familias!$C$5:$C$300,MATCH($F442,Familias!$A$5:$A$300,0)),""))</f>
        <v>3710</v>
      </c>
      <c r="BQ442" s="37">
        <f t="shared" si="94"/>
        <v>21270</v>
      </c>
      <c r="BR442" s="36">
        <f t="shared" si="95"/>
        <v>12</v>
      </c>
      <c r="BS442" s="36">
        <f t="shared" si="96"/>
        <v>6</v>
      </c>
      <c r="BT442" s="36">
        <f t="shared" si="97"/>
        <v>6</v>
      </c>
      <c r="BU442" s="36">
        <f t="shared" si="98"/>
        <v>5.7332000000000001</v>
      </c>
      <c r="BV442" s="39">
        <f t="shared" si="99"/>
        <v>0.95553333333333335</v>
      </c>
      <c r="BW442" s="39">
        <f t="shared" si="100"/>
        <v>0.99905970850963799</v>
      </c>
      <c r="BX442" s="40">
        <f t="shared" si="101"/>
        <v>1.0732172668733603E-2</v>
      </c>
      <c r="BY442" s="40">
        <f t="shared" si="102"/>
        <v>1.550202718817076E-2</v>
      </c>
      <c r="BZ442" t="str">
        <f t="shared" si="103"/>
        <v>OK</v>
      </c>
      <c r="CA442">
        <f t="shared" si="104"/>
        <v>1</v>
      </c>
    </row>
    <row r="443" spans="1:80" x14ac:dyDescent="0.25">
      <c r="A443" s="35">
        <v>46027</v>
      </c>
      <c r="B443" s="36">
        <v>12</v>
      </c>
      <c r="C443" t="s">
        <v>119</v>
      </c>
      <c r="D443" t="s">
        <v>6</v>
      </c>
      <c r="E443" t="s">
        <v>126</v>
      </c>
      <c r="F443" t="s">
        <v>191</v>
      </c>
      <c r="G443">
        <v>2853</v>
      </c>
      <c r="H443">
        <v>2140110533</v>
      </c>
      <c r="I443" t="s">
        <v>192</v>
      </c>
      <c r="J443" s="37">
        <v>21700</v>
      </c>
      <c r="K443" s="37">
        <v>10</v>
      </c>
      <c r="M443">
        <v>3939</v>
      </c>
      <c r="O443">
        <v>40</v>
      </c>
      <c r="T443">
        <v>6</v>
      </c>
      <c r="V443" t="s">
        <v>120</v>
      </c>
      <c r="Y443" s="38">
        <v>0.79166666666666663</v>
      </c>
      <c r="Z443" s="38">
        <v>0.29166666666666669</v>
      </c>
      <c r="AA443" t="s">
        <v>117</v>
      </c>
      <c r="AC443" t="s">
        <v>118</v>
      </c>
      <c r="AQ443">
        <v>2</v>
      </c>
      <c r="AR443">
        <v>0.75</v>
      </c>
      <c r="AU443">
        <v>1</v>
      </c>
      <c r="BJ443">
        <v>0.75</v>
      </c>
      <c r="BK443">
        <f>0</f>
        <v>0</v>
      </c>
      <c r="BL443">
        <f t="shared" si="90"/>
        <v>4.5</v>
      </c>
      <c r="BM443">
        <f t="shared" si="91"/>
        <v>0</v>
      </c>
      <c r="BN443">
        <f t="shared" si="92"/>
        <v>0</v>
      </c>
      <c r="BO443">
        <f t="shared" si="93"/>
        <v>1</v>
      </c>
      <c r="BP443" s="37">
        <f>IF($F443="","",IFERROR(INDEX(Familias!$C$5:$C$300,MATCH($F443,Familias!$A$5:$A$300,0)),""))</f>
        <v>3710</v>
      </c>
      <c r="BQ443" s="37">
        <f t="shared" si="94"/>
        <v>21710</v>
      </c>
      <c r="BR443" s="36">
        <f t="shared" si="95"/>
        <v>12</v>
      </c>
      <c r="BS443" s="36">
        <f t="shared" si="96"/>
        <v>4.5</v>
      </c>
      <c r="BT443" s="36">
        <f t="shared" si="97"/>
        <v>7.5</v>
      </c>
      <c r="BU443" s="36">
        <f t="shared" si="98"/>
        <v>5.8517999999999999</v>
      </c>
      <c r="BV443" s="39">
        <f t="shared" si="99"/>
        <v>0.78023999999999993</v>
      </c>
      <c r="BW443" s="39">
        <f t="shared" si="100"/>
        <v>0.99953938277291565</v>
      </c>
      <c r="BX443" s="40">
        <f t="shared" si="101"/>
        <v>1.0154861640010155E-2</v>
      </c>
      <c r="BY443" s="40">
        <f t="shared" si="102"/>
        <v>0</v>
      </c>
      <c r="BZ443" t="str">
        <f t="shared" si="103"/>
        <v>OK</v>
      </c>
      <c r="CA443">
        <f t="shared" si="104"/>
        <v>1</v>
      </c>
    </row>
    <row r="444" spans="1:80" x14ac:dyDescent="0.25">
      <c r="A444" s="35">
        <v>46028</v>
      </c>
      <c r="B444" s="36">
        <v>12</v>
      </c>
      <c r="C444" t="s">
        <v>113</v>
      </c>
      <c r="D444" t="s">
        <v>6</v>
      </c>
      <c r="E444" t="s">
        <v>126</v>
      </c>
      <c r="F444" t="s">
        <v>133</v>
      </c>
      <c r="G444">
        <v>2997</v>
      </c>
      <c r="H444">
        <v>2140110604</v>
      </c>
      <c r="I444" t="s">
        <v>139</v>
      </c>
      <c r="J444" s="37">
        <v>12800</v>
      </c>
      <c r="K444" s="37">
        <v>20</v>
      </c>
      <c r="M444">
        <v>5277</v>
      </c>
      <c r="O444">
        <v>70</v>
      </c>
      <c r="P444">
        <v>22</v>
      </c>
      <c r="Q444">
        <v>345</v>
      </c>
      <c r="R444">
        <v>100</v>
      </c>
      <c r="T444">
        <v>7</v>
      </c>
      <c r="V444" t="s">
        <v>116</v>
      </c>
      <c r="Y444" s="38">
        <v>0.29166666666666669</v>
      </c>
      <c r="Z444" s="38">
        <v>0.79166666666666663</v>
      </c>
      <c r="AA444" t="s">
        <v>117</v>
      </c>
      <c r="AC444" t="s">
        <v>118</v>
      </c>
      <c r="AD444">
        <v>0.33329999999999999</v>
      </c>
      <c r="AO444">
        <v>2.5</v>
      </c>
      <c r="AQ444">
        <v>0.25</v>
      </c>
      <c r="AR444">
        <v>0.75</v>
      </c>
      <c r="BK444">
        <f>0</f>
        <v>0</v>
      </c>
      <c r="BL444">
        <f t="shared" si="90"/>
        <v>3.8332999999999999</v>
      </c>
      <c r="BM444">
        <f t="shared" si="91"/>
        <v>0</v>
      </c>
      <c r="BN444">
        <f t="shared" si="92"/>
        <v>0</v>
      </c>
      <c r="BO444">
        <f t="shared" si="93"/>
        <v>1</v>
      </c>
      <c r="BP444" s="37">
        <f>IF($F444="","",IFERROR(INDEX(Familias!$C$5:$C$300,MATCH($F444,Familias!$A$5:$A$300,0)),""))</f>
        <v>2320</v>
      </c>
      <c r="BQ444" s="37">
        <f t="shared" si="94"/>
        <v>12820</v>
      </c>
      <c r="BR444" s="36">
        <f t="shared" si="95"/>
        <v>12</v>
      </c>
      <c r="BS444" s="36">
        <f t="shared" si="96"/>
        <v>3.8332999999999999</v>
      </c>
      <c r="BT444" s="36">
        <f t="shared" si="97"/>
        <v>8.1667000000000005</v>
      </c>
      <c r="BU444" s="36">
        <f t="shared" si="98"/>
        <v>5.5259</v>
      </c>
      <c r="BV444" s="39">
        <f t="shared" si="99"/>
        <v>0.67663805453855286</v>
      </c>
      <c r="BW444" s="39">
        <f t="shared" si="100"/>
        <v>0.99843993759750393</v>
      </c>
      <c r="BX444" s="40">
        <f t="shared" si="101"/>
        <v>3.6384309266628764E-2</v>
      </c>
      <c r="BY444" s="40">
        <f t="shared" si="102"/>
        <v>6.5378055713473562E-2</v>
      </c>
      <c r="BZ444" t="str">
        <f t="shared" si="103"/>
        <v>OK</v>
      </c>
      <c r="CA444">
        <f t="shared" si="104"/>
        <v>1</v>
      </c>
    </row>
    <row r="445" spans="1:80" x14ac:dyDescent="0.25">
      <c r="A445" s="35">
        <v>46028</v>
      </c>
      <c r="B445" s="36">
        <v>12</v>
      </c>
      <c r="C445" t="s">
        <v>119</v>
      </c>
      <c r="D445" t="s">
        <v>6</v>
      </c>
      <c r="E445" t="s">
        <v>126</v>
      </c>
      <c r="F445" t="s">
        <v>133</v>
      </c>
      <c r="G445">
        <v>2997</v>
      </c>
      <c r="H445">
        <v>2140110604</v>
      </c>
      <c r="I445" t="s">
        <v>139</v>
      </c>
      <c r="J445" s="37">
        <v>15525</v>
      </c>
      <c r="K445" s="37">
        <v>20</v>
      </c>
      <c r="V445" t="s">
        <v>120</v>
      </c>
      <c r="Y445" s="38">
        <v>0.79166666666666663</v>
      </c>
      <c r="Z445" s="38">
        <v>0.29166666666666669</v>
      </c>
      <c r="AA445" t="s">
        <v>161</v>
      </c>
      <c r="AB445" t="s">
        <v>162</v>
      </c>
      <c r="AC445" t="s">
        <v>118</v>
      </c>
      <c r="BK445">
        <f>0</f>
        <v>0</v>
      </c>
      <c r="BL445">
        <f t="shared" si="90"/>
        <v>0</v>
      </c>
      <c r="BM445">
        <f t="shared" si="91"/>
        <v>0</v>
      </c>
      <c r="BN445">
        <f t="shared" si="92"/>
        <v>0</v>
      </c>
      <c r="BO445">
        <f t="shared" si="93"/>
        <v>1</v>
      </c>
      <c r="BP445" s="37">
        <f>IF($F445="","",IFERROR(INDEX(Familias!$C$5:$C$300,MATCH($F445,Familias!$A$5:$A$300,0)),""))</f>
        <v>2320</v>
      </c>
      <c r="BQ445" s="37">
        <f t="shared" si="94"/>
        <v>15545</v>
      </c>
      <c r="BR445" s="36">
        <f t="shared" si="95"/>
        <v>12</v>
      </c>
      <c r="BS445" s="36">
        <f t="shared" si="96"/>
        <v>0</v>
      </c>
      <c r="BT445" s="36">
        <f t="shared" si="97"/>
        <v>12</v>
      </c>
      <c r="BU445" s="36">
        <f t="shared" si="98"/>
        <v>6.7004000000000001</v>
      </c>
      <c r="BV445" s="39">
        <f t="shared" si="99"/>
        <v>0.55836666666666668</v>
      </c>
      <c r="BW445" s="39">
        <f t="shared" si="100"/>
        <v>0.99871341267288516</v>
      </c>
      <c r="BX445" s="40" t="str">
        <f t="shared" si="101"/>
        <v/>
      </c>
      <c r="BY445" s="40" t="str">
        <f t="shared" si="102"/>
        <v/>
      </c>
      <c r="BZ445" t="str">
        <f t="shared" si="103"/>
        <v>Paradas no digitadas</v>
      </c>
      <c r="CA445">
        <f t="shared" si="104"/>
        <v>0</v>
      </c>
    </row>
    <row r="446" spans="1:80" x14ac:dyDescent="0.25">
      <c r="A446" s="35">
        <v>46029</v>
      </c>
      <c r="B446" s="36">
        <v>12</v>
      </c>
      <c r="C446" t="s">
        <v>113</v>
      </c>
      <c r="D446" t="s">
        <v>6</v>
      </c>
      <c r="E446" t="s">
        <v>126</v>
      </c>
      <c r="F446" t="s">
        <v>133</v>
      </c>
      <c r="G446">
        <v>2997</v>
      </c>
      <c r="H446">
        <v>2140110604</v>
      </c>
      <c r="I446" t="s">
        <v>139</v>
      </c>
      <c r="J446" s="37">
        <v>21250</v>
      </c>
      <c r="K446" s="37">
        <v>20</v>
      </c>
      <c r="M446">
        <v>8149</v>
      </c>
      <c r="O446">
        <v>157</v>
      </c>
      <c r="P446">
        <v>15</v>
      </c>
      <c r="Q446">
        <v>674</v>
      </c>
      <c r="T446">
        <v>10</v>
      </c>
      <c r="V446" t="s">
        <v>116</v>
      </c>
      <c r="Y446" s="38">
        <v>0.29166666666666669</v>
      </c>
      <c r="Z446" s="38">
        <v>0.79166666666666663</v>
      </c>
      <c r="AA446" t="s">
        <v>117</v>
      </c>
      <c r="AC446" t="s">
        <v>118</v>
      </c>
      <c r="AD446">
        <v>0.33329999999999999</v>
      </c>
      <c r="AQ446">
        <v>0.25</v>
      </c>
      <c r="AR446">
        <v>0.75</v>
      </c>
      <c r="BK446">
        <f>0</f>
        <v>0</v>
      </c>
      <c r="BL446">
        <f t="shared" si="90"/>
        <v>1.3332999999999999</v>
      </c>
      <c r="BM446">
        <f t="shared" si="91"/>
        <v>0</v>
      </c>
      <c r="BN446">
        <f t="shared" si="92"/>
        <v>0</v>
      </c>
      <c r="BO446">
        <f t="shared" si="93"/>
        <v>1</v>
      </c>
      <c r="BP446" s="37">
        <f>IF($F446="","",IFERROR(INDEX(Familias!$C$5:$C$300,MATCH($F446,Familias!$A$5:$A$300,0)),""))</f>
        <v>2320</v>
      </c>
      <c r="BQ446" s="37">
        <f t="shared" si="94"/>
        <v>21270</v>
      </c>
      <c r="BR446" s="36">
        <f t="shared" si="95"/>
        <v>12</v>
      </c>
      <c r="BS446" s="36">
        <f t="shared" si="96"/>
        <v>1.3332999999999999</v>
      </c>
      <c r="BT446" s="36">
        <f t="shared" si="97"/>
        <v>10.666700000000001</v>
      </c>
      <c r="BU446" s="36">
        <f t="shared" si="98"/>
        <v>9.1681000000000008</v>
      </c>
      <c r="BV446" s="39">
        <f t="shared" si="99"/>
        <v>0.85950668904159677</v>
      </c>
      <c r="BW446" s="39">
        <f t="shared" si="100"/>
        <v>0.99905970850963799</v>
      </c>
      <c r="BX446" s="40">
        <f t="shared" si="101"/>
        <v>2.1106884280279788E-2</v>
      </c>
      <c r="BY446" s="40">
        <f t="shared" si="102"/>
        <v>8.2709534912259172E-2</v>
      </c>
      <c r="BZ446" t="str">
        <f t="shared" si="103"/>
        <v>OK</v>
      </c>
      <c r="CA446">
        <f t="shared" si="104"/>
        <v>1</v>
      </c>
    </row>
    <row r="447" spans="1:80" x14ac:dyDescent="0.25">
      <c r="A447" s="35">
        <v>46029</v>
      </c>
      <c r="B447" s="36">
        <v>12</v>
      </c>
      <c r="C447" t="s">
        <v>119</v>
      </c>
      <c r="D447" t="s">
        <v>6</v>
      </c>
      <c r="E447" t="s">
        <v>126</v>
      </c>
      <c r="F447" t="s">
        <v>133</v>
      </c>
      <c r="G447">
        <v>2997</v>
      </c>
      <c r="H447">
        <v>2140110604</v>
      </c>
      <c r="I447" t="s">
        <v>139</v>
      </c>
      <c r="J447" s="37">
        <v>18525</v>
      </c>
      <c r="K447" s="37">
        <v>10</v>
      </c>
      <c r="M447">
        <v>6457</v>
      </c>
      <c r="O447">
        <v>75</v>
      </c>
      <c r="P447">
        <v>42</v>
      </c>
      <c r="Q447">
        <v>103</v>
      </c>
      <c r="T447">
        <v>8</v>
      </c>
      <c r="V447" t="s">
        <v>224</v>
      </c>
      <c r="Y447" s="38">
        <v>0.79166666666666663</v>
      </c>
      <c r="Z447" s="38">
        <v>0.29166666666666669</v>
      </c>
      <c r="AA447" t="s">
        <v>117</v>
      </c>
      <c r="AC447" t="s">
        <v>118</v>
      </c>
      <c r="AD447">
        <v>0.5</v>
      </c>
      <c r="AQ447">
        <v>0.25</v>
      </c>
      <c r="AR447">
        <v>0.75</v>
      </c>
      <c r="BE447">
        <v>1.1667000000000001</v>
      </c>
      <c r="BK447">
        <f>0</f>
        <v>0</v>
      </c>
      <c r="BL447">
        <f t="shared" si="90"/>
        <v>2.6667000000000001</v>
      </c>
      <c r="BM447">
        <f t="shared" si="91"/>
        <v>0</v>
      </c>
      <c r="BN447">
        <f t="shared" si="92"/>
        <v>0</v>
      </c>
      <c r="BO447">
        <f t="shared" si="93"/>
        <v>1</v>
      </c>
      <c r="BP447" s="37">
        <f>IF($F447="","",IFERROR(INDEX(Familias!$C$5:$C$300,MATCH($F447,Familias!$A$5:$A$300,0)),""))</f>
        <v>2320</v>
      </c>
      <c r="BQ447" s="37">
        <f t="shared" si="94"/>
        <v>18535</v>
      </c>
      <c r="BR447" s="36">
        <f t="shared" si="95"/>
        <v>12</v>
      </c>
      <c r="BS447" s="36">
        <f t="shared" si="96"/>
        <v>2.6667000000000001</v>
      </c>
      <c r="BT447" s="36">
        <f t="shared" si="97"/>
        <v>9.3332999999999995</v>
      </c>
      <c r="BU447" s="36">
        <f t="shared" si="98"/>
        <v>7.9892000000000003</v>
      </c>
      <c r="BV447" s="39">
        <f t="shared" si="99"/>
        <v>0.85598877138846929</v>
      </c>
      <c r="BW447" s="39">
        <f t="shared" si="100"/>
        <v>0.99946048017264633</v>
      </c>
      <c r="BX447" s="40">
        <f t="shared" si="101"/>
        <v>1.8119869908626296E-2</v>
      </c>
      <c r="BY447" s="40">
        <f t="shared" si="102"/>
        <v>1.595168034691033E-2</v>
      </c>
      <c r="BZ447" t="str">
        <f t="shared" si="103"/>
        <v>OK</v>
      </c>
      <c r="CA447">
        <f t="shared" si="104"/>
        <v>1</v>
      </c>
    </row>
    <row r="448" spans="1:80" x14ac:dyDescent="0.25">
      <c r="A448" s="35">
        <v>46030</v>
      </c>
      <c r="B448" s="36">
        <v>12</v>
      </c>
      <c r="C448" t="s">
        <v>113</v>
      </c>
      <c r="D448" t="s">
        <v>6</v>
      </c>
      <c r="E448" t="s">
        <v>126</v>
      </c>
      <c r="F448" t="s">
        <v>133</v>
      </c>
      <c r="G448">
        <v>2997</v>
      </c>
      <c r="H448">
        <v>2140110604</v>
      </c>
      <c r="I448" t="s">
        <v>139</v>
      </c>
      <c r="J448" s="37">
        <v>19225</v>
      </c>
      <c r="K448" s="37">
        <v>20</v>
      </c>
      <c r="M448">
        <v>7145</v>
      </c>
      <c r="O448">
        <v>137</v>
      </c>
      <c r="P448">
        <v>43</v>
      </c>
      <c r="Q448">
        <v>296</v>
      </c>
      <c r="T448">
        <v>9</v>
      </c>
      <c r="V448" t="s">
        <v>116</v>
      </c>
      <c r="Y448" s="38">
        <v>0.29166666666666669</v>
      </c>
      <c r="Z448" s="38">
        <v>0.79166666666666663</v>
      </c>
      <c r="AA448" t="s">
        <v>117</v>
      </c>
      <c r="AC448" t="s">
        <v>118</v>
      </c>
      <c r="AD448">
        <v>0.33329999999999999</v>
      </c>
      <c r="AO448">
        <v>0.25</v>
      </c>
      <c r="AQ448">
        <v>0.25</v>
      </c>
      <c r="AR448">
        <v>0.75</v>
      </c>
      <c r="BJ448">
        <v>4</v>
      </c>
      <c r="BK448">
        <f>0</f>
        <v>0</v>
      </c>
      <c r="BL448">
        <f t="shared" si="90"/>
        <v>5.5832999999999995</v>
      </c>
      <c r="BM448">
        <f t="shared" si="91"/>
        <v>0</v>
      </c>
      <c r="BN448">
        <f t="shared" si="92"/>
        <v>0</v>
      </c>
      <c r="BO448">
        <f t="shared" si="93"/>
        <v>1</v>
      </c>
      <c r="BP448" s="37">
        <f>IF($F448="","",IFERROR(INDEX(Familias!$C$5:$C$300,MATCH($F448,Familias!$A$5:$A$300,0)),""))</f>
        <v>2320</v>
      </c>
      <c r="BQ448" s="37">
        <f t="shared" si="94"/>
        <v>19245</v>
      </c>
      <c r="BR448" s="36">
        <f t="shared" si="95"/>
        <v>12</v>
      </c>
      <c r="BS448" s="36">
        <f t="shared" si="96"/>
        <v>5.5833000000000004</v>
      </c>
      <c r="BT448" s="36">
        <f t="shared" si="97"/>
        <v>6.4166999999999996</v>
      </c>
      <c r="BU448" s="36">
        <f t="shared" si="98"/>
        <v>8.2952999999999992</v>
      </c>
      <c r="BV448" s="39">
        <f t="shared" si="99"/>
        <v>1.2927673102996866</v>
      </c>
      <c r="BW448" s="39">
        <f t="shared" si="100"/>
        <v>0.99896076903091713</v>
      </c>
      <c r="BX448" s="40">
        <f t="shared" si="101"/>
        <v>2.5192442267319804E-2</v>
      </c>
      <c r="BY448" s="40">
        <f t="shared" si="102"/>
        <v>4.1427571728481459E-2</v>
      </c>
      <c r="BZ448" t="str">
        <f t="shared" si="103"/>
        <v>Revisar rendimiento</v>
      </c>
      <c r="CA448">
        <f t="shared" si="104"/>
        <v>1</v>
      </c>
    </row>
    <row r="449" spans="1:80" x14ac:dyDescent="0.25">
      <c r="A449" s="35">
        <v>46030</v>
      </c>
      <c r="B449" s="36">
        <v>12</v>
      </c>
      <c r="C449" t="s">
        <v>119</v>
      </c>
      <c r="D449" t="s">
        <v>6</v>
      </c>
      <c r="E449" t="s">
        <v>126</v>
      </c>
      <c r="F449" t="s">
        <v>133</v>
      </c>
      <c r="G449">
        <v>2997</v>
      </c>
      <c r="H449">
        <v>2140110604</v>
      </c>
      <c r="I449" t="s">
        <v>139</v>
      </c>
      <c r="J449" s="37">
        <v>16950</v>
      </c>
      <c r="K449" s="37">
        <v>20</v>
      </c>
      <c r="M449">
        <v>5897</v>
      </c>
      <c r="O449">
        <v>80</v>
      </c>
      <c r="P449">
        <v>36</v>
      </c>
      <c r="Q449">
        <v>108</v>
      </c>
      <c r="T449">
        <v>7</v>
      </c>
      <c r="V449" t="s">
        <v>224</v>
      </c>
      <c r="Y449" s="38">
        <v>0.79166666666666663</v>
      </c>
      <c r="Z449" s="38">
        <v>0.29166666666666669</v>
      </c>
      <c r="AA449" t="s">
        <v>117</v>
      </c>
      <c r="AC449" t="s">
        <v>118</v>
      </c>
      <c r="AD449">
        <v>0.5</v>
      </c>
      <c r="AJ449">
        <v>0.5</v>
      </c>
      <c r="AQ449">
        <v>0.25</v>
      </c>
      <c r="AR449">
        <v>0.75</v>
      </c>
      <c r="BE449">
        <v>0.91669999999999996</v>
      </c>
      <c r="BJ449">
        <v>0.75</v>
      </c>
      <c r="BK449">
        <f>0</f>
        <v>0</v>
      </c>
      <c r="BL449">
        <f t="shared" si="90"/>
        <v>3.6667000000000001</v>
      </c>
      <c r="BM449">
        <f t="shared" si="91"/>
        <v>0</v>
      </c>
      <c r="BN449">
        <f t="shared" si="92"/>
        <v>0</v>
      </c>
      <c r="BO449">
        <f t="shared" si="93"/>
        <v>1</v>
      </c>
      <c r="BP449" s="37">
        <f>IF($F449="","",IFERROR(INDEX(Familias!$C$5:$C$300,MATCH($F449,Familias!$A$5:$A$300,0)),""))</f>
        <v>2320</v>
      </c>
      <c r="BQ449" s="37">
        <f t="shared" si="94"/>
        <v>16970</v>
      </c>
      <c r="BR449" s="36">
        <f t="shared" si="95"/>
        <v>12</v>
      </c>
      <c r="BS449" s="36">
        <f t="shared" si="96"/>
        <v>3.6667000000000001</v>
      </c>
      <c r="BT449" s="36">
        <f t="shared" si="97"/>
        <v>8.3332999999999995</v>
      </c>
      <c r="BU449" s="36">
        <f t="shared" si="98"/>
        <v>7.3147000000000002</v>
      </c>
      <c r="BV449" s="39">
        <f t="shared" si="99"/>
        <v>0.87776751107004436</v>
      </c>
      <c r="BW449" s="39">
        <f t="shared" si="100"/>
        <v>0.99882144961697117</v>
      </c>
      <c r="BX449" s="40">
        <f t="shared" si="101"/>
        <v>1.9671019162285908E-2</v>
      </c>
      <c r="BY449" s="40">
        <f t="shared" si="102"/>
        <v>1.8314397151093776E-2</v>
      </c>
      <c r="BZ449" t="str">
        <f t="shared" si="103"/>
        <v>OK</v>
      </c>
      <c r="CA449">
        <f t="shared" si="104"/>
        <v>1</v>
      </c>
    </row>
    <row r="450" spans="1:80" x14ac:dyDescent="0.25">
      <c r="A450" s="35">
        <v>46031</v>
      </c>
      <c r="B450" s="36">
        <v>12</v>
      </c>
      <c r="C450" t="s">
        <v>113</v>
      </c>
      <c r="D450" t="s">
        <v>6</v>
      </c>
      <c r="E450" t="s">
        <v>126</v>
      </c>
      <c r="F450" t="s">
        <v>133</v>
      </c>
      <c r="G450">
        <v>2997</v>
      </c>
      <c r="H450">
        <v>2140110604</v>
      </c>
      <c r="I450" t="s">
        <v>139</v>
      </c>
      <c r="J450" s="37">
        <v>20825</v>
      </c>
      <c r="K450" s="37">
        <v>15</v>
      </c>
      <c r="M450">
        <v>7212</v>
      </c>
      <c r="O450">
        <v>69</v>
      </c>
      <c r="Q450">
        <v>57</v>
      </c>
      <c r="T450">
        <v>9</v>
      </c>
      <c r="V450" t="s">
        <v>116</v>
      </c>
      <c r="Y450" s="38">
        <v>0.29166666666666669</v>
      </c>
      <c r="Z450" s="38">
        <v>0.79166666666666663</v>
      </c>
      <c r="AA450" t="s">
        <v>117</v>
      </c>
      <c r="AC450" t="s">
        <v>118</v>
      </c>
      <c r="AD450">
        <v>0.33329999999999999</v>
      </c>
      <c r="AQ450">
        <v>0.25</v>
      </c>
      <c r="AR450">
        <v>0.75</v>
      </c>
      <c r="BB450">
        <v>0.83330000000000004</v>
      </c>
      <c r="BK450">
        <f>0</f>
        <v>0</v>
      </c>
      <c r="BL450">
        <f t="shared" ref="BL450:BL513" si="105">N(AD450)+N(AE450)+N(AF450)+N(AG450)+N(AH450)+N(AI450)+N(AJ450)+N(AK450)+N(AL450)+N(AM450)+N(AN450)+N(AO450)+N(AP450)+N(AQ450)+N(AR450)+N(AS450)+N(AT450)+N(AU450)+N(AW450)+N(AX450)+N(AY450)+N(BC450)+N(BE450)+N(BF450)+N(BH450)+N(BI450)+N(BJ450)</f>
        <v>1.3332999999999999</v>
      </c>
      <c r="BM450">
        <f t="shared" ref="BM450:BM513" si="106">N(AZ450)+N(BA450)+N(BB450)+N(BD450)</f>
        <v>0.83330000000000004</v>
      </c>
      <c r="BN450">
        <f t="shared" ref="BN450:BN513" si="107">N(AV450)+N(BG450)</f>
        <v>0</v>
      </c>
      <c r="BO450">
        <f t="shared" ref="BO450:BO513" si="108">IF($A450="","",IF(WEEKDAY($A450,2)=7,0,1))</f>
        <v>1</v>
      </c>
      <c r="BP450" s="37">
        <f>IF($F450="","",IFERROR(INDEX(Familias!$C$5:$C$300,MATCH($F450,Familias!$A$5:$A$300,0)),""))</f>
        <v>2320</v>
      </c>
      <c r="BQ450" s="37">
        <f t="shared" ref="BQ450:BQ513" si="109">IF(AND($J450="",$K450=""),"",N($J450)+N($K450))</f>
        <v>20840</v>
      </c>
      <c r="BR450" s="36">
        <f t="shared" ref="BR450:BR513" si="110">IF($A450="","",ROUND(N($B450),4))</f>
        <v>12</v>
      </c>
      <c r="BS450" s="36">
        <f t="shared" ref="BS450:BS513" si="111">IF($A450="","",ROUND(SUM($AD450:$BJ450),4))</f>
        <v>2.1665999999999999</v>
      </c>
      <c r="BT450" s="36">
        <f t="shared" ref="BT450:BT513" si="112">IF($A450="","",ROUND(MAX(0,$BR450-$BS450),4))</f>
        <v>9.8333999999999993</v>
      </c>
      <c r="BU450" s="36">
        <f t="shared" ref="BU450:BU513" si="113">IF(OR($BQ450="",$BP450="",N($BP450)=0),"",ROUND($BQ450/$BP450,4))</f>
        <v>8.9827999999999992</v>
      </c>
      <c r="BV450" s="39">
        <f t="shared" ref="BV450:BV513" si="114">IF(OR($BU450="",N($BT450)=0),"",$BU450/$BT450)</f>
        <v>0.91349889153293873</v>
      </c>
      <c r="BW450" s="39">
        <f t="shared" ref="BW450:BW513" si="115">IF(N($BQ450)&gt;0,N($J450)/$BQ450,"")</f>
        <v>0.99928023032629554</v>
      </c>
      <c r="BX450" s="40">
        <f t="shared" ref="BX450:BX513" si="116">IF(N($M450)&gt;0,(N($P450)+N($O450)+N($R450))/$M450,"")</f>
        <v>9.5673876871880201E-3</v>
      </c>
      <c r="BY450" s="40">
        <f t="shared" ref="BY450:BY513" si="117">IF(N($M450)&gt;0,N($Q450)/$M450,"")</f>
        <v>7.9034941763727121E-3</v>
      </c>
      <c r="BZ450" t="str">
        <f t="shared" ref="BZ450:BZ513" si="118">IF($A450="","",IF($BO450=0,"Domingo",IF($AA450&lt;&gt;"Sí","Paradas no digitadas",IF($BQ450="",IF(N($BT450)&gt;0,"Sin producción","Parada total"),IF($F450="","Sin familia",IF($BP450="","Familia sin estándar",IF(AND($BV450&lt;&gt;"",N($BV450)&gt;1.1),"Revisar rendimiento","OK")))))))</f>
        <v>OK</v>
      </c>
      <c r="CA450">
        <f t="shared" ref="CA450:CA513" si="119">IF(OR($BU450="",$BO450&lt;&gt;1,$AA450&lt;&gt;"Sí"),0,1)</f>
        <v>1</v>
      </c>
    </row>
    <row r="451" spans="1:80" x14ac:dyDescent="0.25">
      <c r="A451" s="35">
        <v>46031</v>
      </c>
      <c r="B451" s="36">
        <v>12</v>
      </c>
      <c r="C451" t="s">
        <v>119</v>
      </c>
      <c r="D451" t="s">
        <v>6</v>
      </c>
      <c r="E451" t="s">
        <v>126</v>
      </c>
      <c r="F451" t="s">
        <v>133</v>
      </c>
      <c r="G451">
        <v>2997</v>
      </c>
      <c r="H451">
        <v>2140110604</v>
      </c>
      <c r="I451" t="s">
        <v>139</v>
      </c>
      <c r="J451" s="37">
        <v>17100</v>
      </c>
      <c r="K451" s="37">
        <v>10</v>
      </c>
      <c r="M451">
        <v>6084</v>
      </c>
      <c r="O451">
        <v>90</v>
      </c>
      <c r="T451">
        <v>8</v>
      </c>
      <c r="V451" t="s">
        <v>224</v>
      </c>
      <c r="Y451" s="38">
        <v>0.79166666666666663</v>
      </c>
      <c r="Z451" s="38">
        <v>0.29166666666666669</v>
      </c>
      <c r="AA451" t="s">
        <v>117</v>
      </c>
      <c r="AC451" t="s">
        <v>118</v>
      </c>
      <c r="AD451">
        <v>0.5</v>
      </c>
      <c r="AQ451">
        <v>0.25</v>
      </c>
      <c r="AR451">
        <v>0.75</v>
      </c>
      <c r="BE451">
        <v>1.5</v>
      </c>
      <c r="BK451">
        <f>0</f>
        <v>0</v>
      </c>
      <c r="BL451">
        <f t="shared" si="105"/>
        <v>3</v>
      </c>
      <c r="BM451">
        <f t="shared" si="106"/>
        <v>0</v>
      </c>
      <c r="BN451">
        <f t="shared" si="107"/>
        <v>0</v>
      </c>
      <c r="BO451">
        <f t="shared" si="108"/>
        <v>1</v>
      </c>
      <c r="BP451" s="37">
        <f>IF($F451="","",IFERROR(INDEX(Familias!$C$5:$C$300,MATCH($F451,Familias!$A$5:$A$300,0)),""))</f>
        <v>2320</v>
      </c>
      <c r="BQ451" s="37">
        <f t="shared" si="109"/>
        <v>17110</v>
      </c>
      <c r="BR451" s="36">
        <f t="shared" si="110"/>
        <v>12</v>
      </c>
      <c r="BS451" s="36">
        <f t="shared" si="111"/>
        <v>3</v>
      </c>
      <c r="BT451" s="36">
        <f t="shared" si="112"/>
        <v>9</v>
      </c>
      <c r="BU451" s="36">
        <f t="shared" si="113"/>
        <v>7.375</v>
      </c>
      <c r="BV451" s="39">
        <f t="shared" si="114"/>
        <v>0.81944444444444442</v>
      </c>
      <c r="BW451" s="39">
        <f t="shared" si="115"/>
        <v>0.99941554646405606</v>
      </c>
      <c r="BX451" s="40">
        <f t="shared" si="116"/>
        <v>1.4792899408284023E-2</v>
      </c>
      <c r="BY451" s="40">
        <f t="shared" si="117"/>
        <v>0</v>
      </c>
      <c r="BZ451" t="str">
        <f t="shared" si="118"/>
        <v>OK</v>
      </c>
      <c r="CA451">
        <f t="shared" si="119"/>
        <v>1</v>
      </c>
    </row>
    <row r="452" spans="1:80" x14ac:dyDescent="0.25">
      <c r="A452" s="35">
        <v>46032</v>
      </c>
      <c r="B452" s="36">
        <v>12</v>
      </c>
      <c r="C452" t="s">
        <v>113</v>
      </c>
      <c r="D452" t="s">
        <v>6</v>
      </c>
      <c r="E452" t="s">
        <v>126</v>
      </c>
      <c r="F452" t="s">
        <v>133</v>
      </c>
      <c r="G452">
        <v>2997</v>
      </c>
      <c r="H452">
        <v>2140110604</v>
      </c>
      <c r="I452" t="s">
        <v>139</v>
      </c>
      <c r="J452" s="37">
        <v>18375</v>
      </c>
      <c r="K452" s="37">
        <v>15</v>
      </c>
      <c r="M452">
        <v>6563</v>
      </c>
      <c r="O452">
        <v>116</v>
      </c>
      <c r="P452">
        <v>54</v>
      </c>
      <c r="Q452">
        <v>153</v>
      </c>
      <c r="V452" t="s">
        <v>116</v>
      </c>
      <c r="Y452" s="38">
        <v>0.29166666666666669</v>
      </c>
      <c r="Z452" s="38">
        <v>0.79166666666666663</v>
      </c>
      <c r="AA452" t="s">
        <v>117</v>
      </c>
      <c r="AC452" t="s">
        <v>118</v>
      </c>
      <c r="AD452">
        <v>0.33329999999999999</v>
      </c>
      <c r="AQ452">
        <v>0.25</v>
      </c>
      <c r="AR452">
        <v>0.75</v>
      </c>
      <c r="BK452">
        <f>0</f>
        <v>0</v>
      </c>
      <c r="BL452">
        <f t="shared" si="105"/>
        <v>1.3332999999999999</v>
      </c>
      <c r="BM452">
        <f t="shared" si="106"/>
        <v>0</v>
      </c>
      <c r="BN452">
        <f t="shared" si="107"/>
        <v>0</v>
      </c>
      <c r="BO452">
        <f t="shared" si="108"/>
        <v>1</v>
      </c>
      <c r="BP452" s="37">
        <f>IF($F452="","",IFERROR(INDEX(Familias!$C$5:$C$300,MATCH($F452,Familias!$A$5:$A$300,0)),""))</f>
        <v>2320</v>
      </c>
      <c r="BQ452" s="37">
        <f t="shared" si="109"/>
        <v>18390</v>
      </c>
      <c r="BR452" s="36">
        <f t="shared" si="110"/>
        <v>12</v>
      </c>
      <c r="BS452" s="36">
        <f t="shared" si="111"/>
        <v>1.3332999999999999</v>
      </c>
      <c r="BT452" s="36">
        <f t="shared" si="112"/>
        <v>10.666700000000001</v>
      </c>
      <c r="BU452" s="36">
        <f t="shared" si="113"/>
        <v>7.9267000000000003</v>
      </c>
      <c r="BV452" s="39">
        <f t="shared" si="114"/>
        <v>0.74312580273186646</v>
      </c>
      <c r="BW452" s="39">
        <f t="shared" si="115"/>
        <v>0.99918433931484507</v>
      </c>
      <c r="BX452" s="40">
        <f t="shared" si="116"/>
        <v>2.5902788358982173E-2</v>
      </c>
      <c r="BY452" s="40">
        <f t="shared" si="117"/>
        <v>2.3312509523083957E-2</v>
      </c>
      <c r="BZ452" t="str">
        <f t="shared" si="118"/>
        <v>OK</v>
      </c>
      <c r="CA452">
        <f t="shared" si="119"/>
        <v>1</v>
      </c>
    </row>
    <row r="453" spans="1:80" x14ac:dyDescent="0.25">
      <c r="A453" s="35">
        <v>46032</v>
      </c>
      <c r="B453" s="36">
        <v>12</v>
      </c>
      <c r="C453" t="s">
        <v>119</v>
      </c>
      <c r="D453" t="s">
        <v>6</v>
      </c>
      <c r="E453" t="s">
        <v>126</v>
      </c>
      <c r="F453" t="s">
        <v>133</v>
      </c>
      <c r="G453">
        <v>2997</v>
      </c>
      <c r="H453">
        <v>2140110604</v>
      </c>
      <c r="I453" t="s">
        <v>139</v>
      </c>
      <c r="J453" s="37">
        <v>15825</v>
      </c>
      <c r="K453" s="37">
        <v>5</v>
      </c>
      <c r="M453">
        <v>5633</v>
      </c>
      <c r="O453">
        <v>65</v>
      </c>
      <c r="T453">
        <v>7</v>
      </c>
      <c r="V453" t="s">
        <v>224</v>
      </c>
      <c r="Y453" s="38">
        <v>0.79166666666666663</v>
      </c>
      <c r="Z453" s="38">
        <v>0.29166666666666669</v>
      </c>
      <c r="AA453" t="s">
        <v>117</v>
      </c>
      <c r="AC453" t="s">
        <v>118</v>
      </c>
      <c r="AQ453">
        <v>2</v>
      </c>
      <c r="AR453">
        <v>0.75</v>
      </c>
      <c r="BI453">
        <v>0.5</v>
      </c>
      <c r="BK453">
        <f>0</f>
        <v>0</v>
      </c>
      <c r="BL453">
        <f t="shared" si="105"/>
        <v>3.25</v>
      </c>
      <c r="BM453">
        <f t="shared" si="106"/>
        <v>0</v>
      </c>
      <c r="BN453">
        <f t="shared" si="107"/>
        <v>0</v>
      </c>
      <c r="BO453">
        <f t="shared" si="108"/>
        <v>1</v>
      </c>
      <c r="BP453" s="37">
        <f>IF($F453="","",IFERROR(INDEX(Familias!$C$5:$C$300,MATCH($F453,Familias!$A$5:$A$300,0)),""))</f>
        <v>2320</v>
      </c>
      <c r="BQ453" s="37">
        <f t="shared" si="109"/>
        <v>15830</v>
      </c>
      <c r="BR453" s="36">
        <f t="shared" si="110"/>
        <v>12</v>
      </c>
      <c r="BS453" s="36">
        <f t="shared" si="111"/>
        <v>3.25</v>
      </c>
      <c r="BT453" s="36">
        <f t="shared" si="112"/>
        <v>8.75</v>
      </c>
      <c r="BU453" s="36">
        <f t="shared" si="113"/>
        <v>6.8232999999999997</v>
      </c>
      <c r="BV453" s="39">
        <f t="shared" si="114"/>
        <v>0.77980571428571421</v>
      </c>
      <c r="BW453" s="39">
        <f t="shared" si="115"/>
        <v>0.99968414403032213</v>
      </c>
      <c r="BX453" s="40">
        <f t="shared" si="116"/>
        <v>1.153914432806675E-2</v>
      </c>
      <c r="BY453" s="40">
        <f t="shared" si="117"/>
        <v>0</v>
      </c>
      <c r="BZ453" t="str">
        <f t="shared" si="118"/>
        <v>OK</v>
      </c>
      <c r="CA453">
        <f t="shared" si="119"/>
        <v>1</v>
      </c>
    </row>
    <row r="454" spans="1:80" x14ac:dyDescent="0.25">
      <c r="A454" s="35">
        <v>46034</v>
      </c>
      <c r="B454" s="36">
        <v>12</v>
      </c>
      <c r="C454" t="s">
        <v>113</v>
      </c>
      <c r="D454" t="s">
        <v>6</v>
      </c>
      <c r="E454" t="s">
        <v>126</v>
      </c>
      <c r="F454" t="s">
        <v>133</v>
      </c>
      <c r="G454">
        <v>2997</v>
      </c>
      <c r="H454">
        <v>2140110604</v>
      </c>
      <c r="I454" t="s">
        <v>139</v>
      </c>
      <c r="J454" s="37">
        <v>16200</v>
      </c>
      <c r="K454" s="37">
        <v>20</v>
      </c>
      <c r="M454">
        <v>5647</v>
      </c>
      <c r="O454">
        <v>80</v>
      </c>
      <c r="P454">
        <v>21</v>
      </c>
      <c r="Q454">
        <v>34</v>
      </c>
      <c r="T454">
        <v>7</v>
      </c>
      <c r="V454" t="s">
        <v>120</v>
      </c>
      <c r="Y454" s="38">
        <v>0.29166666666666669</v>
      </c>
      <c r="Z454" s="38">
        <v>0.79166666666666663</v>
      </c>
      <c r="AA454" t="s">
        <v>117</v>
      </c>
      <c r="AC454" t="s">
        <v>118</v>
      </c>
      <c r="AD454">
        <v>1</v>
      </c>
      <c r="AQ454">
        <v>0.25</v>
      </c>
      <c r="AR454">
        <v>5.25</v>
      </c>
      <c r="BA454">
        <v>2.5</v>
      </c>
      <c r="BJ454">
        <v>0.75</v>
      </c>
      <c r="BK454">
        <f>0</f>
        <v>0</v>
      </c>
      <c r="BL454">
        <f t="shared" si="105"/>
        <v>7.25</v>
      </c>
      <c r="BM454">
        <f t="shared" si="106"/>
        <v>2.5</v>
      </c>
      <c r="BN454">
        <f t="shared" si="107"/>
        <v>0</v>
      </c>
      <c r="BO454">
        <f t="shared" si="108"/>
        <v>1</v>
      </c>
      <c r="BP454" s="37">
        <f>IF($F454="","",IFERROR(INDEX(Familias!$C$5:$C$300,MATCH($F454,Familias!$A$5:$A$300,0)),""))</f>
        <v>2320</v>
      </c>
      <c r="BQ454" s="37">
        <f t="shared" si="109"/>
        <v>16220</v>
      </c>
      <c r="BR454" s="36">
        <f t="shared" si="110"/>
        <v>12</v>
      </c>
      <c r="BS454" s="36">
        <f t="shared" si="111"/>
        <v>9.75</v>
      </c>
      <c r="BT454" s="36">
        <f t="shared" si="112"/>
        <v>2.25</v>
      </c>
      <c r="BU454" s="36">
        <f t="shared" si="113"/>
        <v>6.9913999999999996</v>
      </c>
      <c r="BV454" s="39">
        <f t="shared" si="114"/>
        <v>3.1072888888888888</v>
      </c>
      <c r="BW454" s="39">
        <f t="shared" si="115"/>
        <v>0.998766954377312</v>
      </c>
      <c r="BX454" s="40">
        <f t="shared" si="116"/>
        <v>1.788560297503099E-2</v>
      </c>
      <c r="BY454" s="40">
        <f t="shared" si="117"/>
        <v>6.0208960510005315E-3</v>
      </c>
      <c r="BZ454" t="str">
        <f t="shared" si="118"/>
        <v>Revisar rendimiento</v>
      </c>
      <c r="CA454">
        <f t="shared" si="119"/>
        <v>1</v>
      </c>
    </row>
    <row r="455" spans="1:80" x14ac:dyDescent="0.25">
      <c r="A455" s="35">
        <v>46034</v>
      </c>
      <c r="B455" s="36">
        <v>4.6271000000000004</v>
      </c>
      <c r="C455" t="s">
        <v>119</v>
      </c>
      <c r="D455" t="s">
        <v>6</v>
      </c>
      <c r="E455" t="s">
        <v>126</v>
      </c>
      <c r="F455" t="s">
        <v>133</v>
      </c>
      <c r="G455">
        <v>2997</v>
      </c>
      <c r="H455">
        <v>2140110604</v>
      </c>
      <c r="I455" t="s">
        <v>139</v>
      </c>
      <c r="J455" s="37">
        <v>6250</v>
      </c>
      <c r="K455" s="37">
        <v>15</v>
      </c>
      <c r="M455">
        <v>2197</v>
      </c>
      <c r="O455">
        <v>40</v>
      </c>
      <c r="P455">
        <v>15</v>
      </c>
      <c r="Q455">
        <v>85</v>
      </c>
      <c r="T455">
        <v>3</v>
      </c>
      <c r="V455" t="s">
        <v>116</v>
      </c>
      <c r="Y455" s="38">
        <v>0.79166666666666663</v>
      </c>
      <c r="Z455" s="38">
        <v>0.98472222222222228</v>
      </c>
      <c r="AA455" t="s">
        <v>117</v>
      </c>
      <c r="AC455" t="s">
        <v>121</v>
      </c>
      <c r="AD455">
        <v>0.1928</v>
      </c>
      <c r="AQ455">
        <v>9.64E-2</v>
      </c>
      <c r="AR455">
        <v>0.28920000000000001</v>
      </c>
      <c r="BE455">
        <v>0.3856</v>
      </c>
      <c r="BJ455">
        <v>0.16070000000000001</v>
      </c>
      <c r="BK455">
        <f>0</f>
        <v>0</v>
      </c>
      <c r="BL455">
        <f t="shared" si="105"/>
        <v>1.1247</v>
      </c>
      <c r="BM455">
        <f t="shared" si="106"/>
        <v>0</v>
      </c>
      <c r="BN455">
        <f t="shared" si="107"/>
        <v>0</v>
      </c>
      <c r="BO455">
        <f t="shared" si="108"/>
        <v>1</v>
      </c>
      <c r="BP455" s="37">
        <f>IF($F455="","",IFERROR(INDEX(Familias!$C$5:$C$300,MATCH($F455,Familias!$A$5:$A$300,0)),""))</f>
        <v>2320</v>
      </c>
      <c r="BQ455" s="37">
        <f t="shared" si="109"/>
        <v>6265</v>
      </c>
      <c r="BR455" s="36">
        <f t="shared" si="110"/>
        <v>4.6271000000000004</v>
      </c>
      <c r="BS455" s="36">
        <f t="shared" si="111"/>
        <v>1.1247</v>
      </c>
      <c r="BT455" s="36">
        <f t="shared" si="112"/>
        <v>3.5024000000000002</v>
      </c>
      <c r="BU455" s="36">
        <f t="shared" si="113"/>
        <v>2.7004000000000001</v>
      </c>
      <c r="BV455" s="39">
        <f t="shared" si="114"/>
        <v>0.77101416171767934</v>
      </c>
      <c r="BW455" s="39">
        <f t="shared" si="115"/>
        <v>0.99760574620909814</v>
      </c>
      <c r="BX455" s="40">
        <f t="shared" si="116"/>
        <v>2.5034137460172964E-2</v>
      </c>
      <c r="BY455" s="40">
        <f t="shared" si="117"/>
        <v>3.8689121529358217E-2</v>
      </c>
      <c r="BZ455" t="str">
        <f t="shared" si="118"/>
        <v>OK</v>
      </c>
      <c r="CA455">
        <f t="shared" si="119"/>
        <v>1</v>
      </c>
    </row>
    <row r="456" spans="1:80" x14ac:dyDescent="0.25">
      <c r="A456" s="35">
        <v>46034</v>
      </c>
      <c r="B456" s="36">
        <v>7.3728999999999996</v>
      </c>
      <c r="C456" t="s">
        <v>119</v>
      </c>
      <c r="D456" t="s">
        <v>6</v>
      </c>
      <c r="E456" t="s">
        <v>126</v>
      </c>
      <c r="F456" t="s">
        <v>127</v>
      </c>
      <c r="G456">
        <v>3146</v>
      </c>
      <c r="H456">
        <v>2140110610</v>
      </c>
      <c r="I456" t="s">
        <v>128</v>
      </c>
      <c r="J456" s="37">
        <v>10522</v>
      </c>
      <c r="K456" s="37">
        <v>20</v>
      </c>
      <c r="M456">
        <v>3953</v>
      </c>
      <c r="O456">
        <v>70</v>
      </c>
      <c r="P456">
        <v>25</v>
      </c>
      <c r="Q456">
        <v>25</v>
      </c>
      <c r="T456">
        <v>5</v>
      </c>
      <c r="V456" t="s">
        <v>116</v>
      </c>
      <c r="Y456" s="38">
        <v>0.98472222222222228</v>
      </c>
      <c r="Z456" s="38">
        <v>0.29166666666666669</v>
      </c>
      <c r="AA456" t="s">
        <v>117</v>
      </c>
      <c r="AC456" t="s">
        <v>121</v>
      </c>
      <c r="AD456">
        <v>0.30719999999999997</v>
      </c>
      <c r="AQ456">
        <v>0.15359999999999999</v>
      </c>
      <c r="AR456">
        <v>0.46079999999999999</v>
      </c>
      <c r="BE456">
        <v>0.61439999999999995</v>
      </c>
      <c r="BJ456">
        <v>0.25600000000000001</v>
      </c>
      <c r="BK456">
        <f>0</f>
        <v>0</v>
      </c>
      <c r="BL456">
        <f t="shared" si="105"/>
        <v>1.792</v>
      </c>
      <c r="BM456">
        <f t="shared" si="106"/>
        <v>0</v>
      </c>
      <c r="BN456">
        <f t="shared" si="107"/>
        <v>0</v>
      </c>
      <c r="BO456">
        <f t="shared" si="108"/>
        <v>1</v>
      </c>
      <c r="BP456" s="37">
        <f>IF($F456="","",IFERROR(INDEX(Familias!$C$5:$C$300,MATCH($F456,Familias!$A$5:$A$300,0)),""))</f>
        <v>2450</v>
      </c>
      <c r="BQ456" s="37">
        <f t="shared" si="109"/>
        <v>10542</v>
      </c>
      <c r="BR456" s="36">
        <f t="shared" si="110"/>
        <v>7.3728999999999996</v>
      </c>
      <c r="BS456" s="36">
        <f t="shared" si="111"/>
        <v>1.792</v>
      </c>
      <c r="BT456" s="36">
        <f t="shared" si="112"/>
        <v>5.5808999999999997</v>
      </c>
      <c r="BU456" s="36">
        <f t="shared" si="113"/>
        <v>4.3029000000000002</v>
      </c>
      <c r="BV456" s="39">
        <f t="shared" si="114"/>
        <v>0.77100467666505412</v>
      </c>
      <c r="BW456" s="39">
        <f t="shared" si="115"/>
        <v>0.99810282678808571</v>
      </c>
      <c r="BX456" s="40">
        <f t="shared" si="116"/>
        <v>2.4032380470528712E-2</v>
      </c>
      <c r="BY456" s="40">
        <f t="shared" si="117"/>
        <v>6.3243106501391349E-3</v>
      </c>
      <c r="BZ456" t="str">
        <f t="shared" si="118"/>
        <v>OK</v>
      </c>
      <c r="CA456">
        <f t="shared" si="119"/>
        <v>1</v>
      </c>
    </row>
    <row r="457" spans="1:80" x14ac:dyDescent="0.25">
      <c r="A457" s="35">
        <v>46035</v>
      </c>
      <c r="B457" s="36">
        <v>12</v>
      </c>
      <c r="C457" t="s">
        <v>113</v>
      </c>
      <c r="D457" t="s">
        <v>6</v>
      </c>
      <c r="E457" t="s">
        <v>126</v>
      </c>
      <c r="F457" t="s">
        <v>127</v>
      </c>
      <c r="G457">
        <v>3146</v>
      </c>
      <c r="H457">
        <v>2140110610</v>
      </c>
      <c r="I457" t="s">
        <v>128</v>
      </c>
      <c r="J457" s="37">
        <v>13600</v>
      </c>
      <c r="K457" s="37">
        <v>20</v>
      </c>
      <c r="M457">
        <v>5209</v>
      </c>
      <c r="O457">
        <v>140</v>
      </c>
      <c r="P457">
        <v>18</v>
      </c>
      <c r="Q457">
        <v>42</v>
      </c>
      <c r="T457">
        <v>6</v>
      </c>
      <c r="V457" t="s">
        <v>120</v>
      </c>
      <c r="Y457" s="38">
        <v>0.29166666666666669</v>
      </c>
      <c r="Z457" s="38">
        <v>0.79166666666666663</v>
      </c>
      <c r="AA457" t="s">
        <v>117</v>
      </c>
      <c r="AC457" t="s">
        <v>118</v>
      </c>
      <c r="AD457">
        <v>1</v>
      </c>
      <c r="AK457">
        <v>1.8332999999999999</v>
      </c>
      <c r="AO457">
        <v>1</v>
      </c>
      <c r="AQ457">
        <v>0.25</v>
      </c>
      <c r="AR457">
        <v>0.75</v>
      </c>
      <c r="BK457">
        <f>0</f>
        <v>0</v>
      </c>
      <c r="BL457">
        <f t="shared" si="105"/>
        <v>4.8332999999999995</v>
      </c>
      <c r="BM457">
        <f t="shared" si="106"/>
        <v>0</v>
      </c>
      <c r="BN457">
        <f t="shared" si="107"/>
        <v>0</v>
      </c>
      <c r="BO457">
        <f t="shared" si="108"/>
        <v>1</v>
      </c>
      <c r="BP457" s="37">
        <f>IF($F457="","",IFERROR(INDEX(Familias!$C$5:$C$300,MATCH($F457,Familias!$A$5:$A$300,0)),""))</f>
        <v>2450</v>
      </c>
      <c r="BQ457" s="37">
        <f t="shared" si="109"/>
        <v>13620</v>
      </c>
      <c r="BR457" s="36">
        <f t="shared" si="110"/>
        <v>12</v>
      </c>
      <c r="BS457" s="36">
        <f t="shared" si="111"/>
        <v>4.8333000000000004</v>
      </c>
      <c r="BT457" s="36">
        <f t="shared" si="112"/>
        <v>7.1666999999999996</v>
      </c>
      <c r="BU457" s="36">
        <f t="shared" si="113"/>
        <v>5.5591999999999997</v>
      </c>
      <c r="BV457" s="39">
        <f t="shared" si="114"/>
        <v>0.7756987176803829</v>
      </c>
      <c r="BW457" s="39">
        <f t="shared" si="115"/>
        <v>0.99853157121879588</v>
      </c>
      <c r="BX457" s="40">
        <f t="shared" si="116"/>
        <v>3.0332117488961412E-2</v>
      </c>
      <c r="BY457" s="40">
        <f t="shared" si="117"/>
        <v>8.0629679401036675E-3</v>
      </c>
      <c r="BZ457" t="str">
        <f t="shared" si="118"/>
        <v>OK</v>
      </c>
      <c r="CA457">
        <f t="shared" si="119"/>
        <v>1</v>
      </c>
    </row>
    <row r="458" spans="1:80" x14ac:dyDescent="0.25">
      <c r="A458" s="35">
        <v>46035</v>
      </c>
      <c r="B458" s="36">
        <v>12</v>
      </c>
      <c r="C458" t="s">
        <v>119</v>
      </c>
      <c r="D458" t="s">
        <v>6</v>
      </c>
      <c r="E458" t="s">
        <v>126</v>
      </c>
      <c r="F458" t="s">
        <v>127</v>
      </c>
      <c r="G458">
        <v>3146</v>
      </c>
      <c r="H458">
        <v>2140110610</v>
      </c>
      <c r="I458" t="s">
        <v>128</v>
      </c>
      <c r="J458" s="37">
        <v>17500</v>
      </c>
      <c r="K458" s="37">
        <v>20</v>
      </c>
      <c r="M458">
        <v>6364</v>
      </c>
      <c r="P458">
        <v>120</v>
      </c>
      <c r="T458">
        <v>7</v>
      </c>
      <c r="V458" t="s">
        <v>116</v>
      </c>
      <c r="Y458" s="38">
        <v>0.79166666666666663</v>
      </c>
      <c r="Z458" s="38">
        <v>0.29166666666666669</v>
      </c>
      <c r="AA458" t="s">
        <v>117</v>
      </c>
      <c r="AC458" t="s">
        <v>118</v>
      </c>
      <c r="AD458">
        <v>0.5</v>
      </c>
      <c r="AO458">
        <v>0.66669999999999996</v>
      </c>
      <c r="AQ458">
        <v>0.25</v>
      </c>
      <c r="AR458">
        <v>0.75</v>
      </c>
      <c r="BE458">
        <v>1.5</v>
      </c>
      <c r="BK458">
        <f>0</f>
        <v>0</v>
      </c>
      <c r="BL458">
        <f t="shared" si="105"/>
        <v>3.6667000000000001</v>
      </c>
      <c r="BM458">
        <f t="shared" si="106"/>
        <v>0</v>
      </c>
      <c r="BN458">
        <f t="shared" si="107"/>
        <v>0</v>
      </c>
      <c r="BO458">
        <f t="shared" si="108"/>
        <v>1</v>
      </c>
      <c r="BP458" s="37">
        <f>IF($F458="","",IFERROR(INDEX(Familias!$C$5:$C$300,MATCH($F458,Familias!$A$5:$A$300,0)),""))</f>
        <v>2450</v>
      </c>
      <c r="BQ458" s="37">
        <f t="shared" si="109"/>
        <v>17520</v>
      </c>
      <c r="BR458" s="36">
        <f t="shared" si="110"/>
        <v>12</v>
      </c>
      <c r="BS458" s="36">
        <f t="shared" si="111"/>
        <v>3.6667000000000001</v>
      </c>
      <c r="BT458" s="36">
        <f t="shared" si="112"/>
        <v>8.3332999999999995</v>
      </c>
      <c r="BU458" s="36">
        <f t="shared" si="113"/>
        <v>7.1509999999999998</v>
      </c>
      <c r="BV458" s="39">
        <f t="shared" si="114"/>
        <v>0.85812343249373002</v>
      </c>
      <c r="BW458" s="39">
        <f t="shared" si="115"/>
        <v>0.99885844748858443</v>
      </c>
      <c r="BX458" s="40">
        <f t="shared" si="116"/>
        <v>1.8856065367693273E-2</v>
      </c>
      <c r="BY458" s="40">
        <f t="shared" si="117"/>
        <v>0</v>
      </c>
      <c r="BZ458" t="str">
        <f t="shared" si="118"/>
        <v>OK</v>
      </c>
      <c r="CA458">
        <f t="shared" si="119"/>
        <v>1</v>
      </c>
    </row>
    <row r="459" spans="1:80" x14ac:dyDescent="0.25">
      <c r="A459" s="35">
        <v>46036</v>
      </c>
      <c r="B459" s="36">
        <v>12</v>
      </c>
      <c r="C459" t="s">
        <v>113</v>
      </c>
      <c r="D459" t="s">
        <v>6</v>
      </c>
      <c r="E459" t="s">
        <v>126</v>
      </c>
      <c r="F459" t="s">
        <v>127</v>
      </c>
      <c r="G459">
        <v>3146</v>
      </c>
      <c r="H459">
        <v>2140110610</v>
      </c>
      <c r="I459" t="s">
        <v>128</v>
      </c>
      <c r="J459" s="37">
        <v>17300</v>
      </c>
      <c r="K459" s="37">
        <v>20</v>
      </c>
      <c r="M459">
        <v>6381</v>
      </c>
      <c r="O459">
        <v>140</v>
      </c>
      <c r="P459">
        <v>24</v>
      </c>
      <c r="Q459">
        <v>7</v>
      </c>
      <c r="T459">
        <v>8</v>
      </c>
      <c r="V459" t="s">
        <v>120</v>
      </c>
      <c r="Y459" s="38">
        <v>0.29166666666666669</v>
      </c>
      <c r="Z459" s="38">
        <v>0.79166666666666663</v>
      </c>
      <c r="AA459" t="s">
        <v>117</v>
      </c>
      <c r="AC459" t="s">
        <v>118</v>
      </c>
      <c r="AD459">
        <v>0.33329999999999999</v>
      </c>
      <c r="AQ459">
        <v>0.25</v>
      </c>
      <c r="AR459">
        <v>0.75</v>
      </c>
      <c r="AU459">
        <v>4.4166999999999996</v>
      </c>
      <c r="BK459">
        <f>0</f>
        <v>0</v>
      </c>
      <c r="BL459">
        <f t="shared" si="105"/>
        <v>5.75</v>
      </c>
      <c r="BM459">
        <f t="shared" si="106"/>
        <v>0</v>
      </c>
      <c r="BN459">
        <f t="shared" si="107"/>
        <v>0</v>
      </c>
      <c r="BO459">
        <f t="shared" si="108"/>
        <v>1</v>
      </c>
      <c r="BP459" s="37">
        <f>IF($F459="","",IFERROR(INDEX(Familias!$C$5:$C$300,MATCH($F459,Familias!$A$5:$A$300,0)),""))</f>
        <v>2450</v>
      </c>
      <c r="BQ459" s="37">
        <f t="shared" si="109"/>
        <v>17320</v>
      </c>
      <c r="BR459" s="36">
        <f t="shared" si="110"/>
        <v>12</v>
      </c>
      <c r="BS459" s="36">
        <f t="shared" si="111"/>
        <v>5.75</v>
      </c>
      <c r="BT459" s="36">
        <f t="shared" si="112"/>
        <v>6.25</v>
      </c>
      <c r="BU459" s="36">
        <f t="shared" si="113"/>
        <v>7.0693999999999999</v>
      </c>
      <c r="BV459" s="39">
        <f t="shared" si="114"/>
        <v>1.1311039999999999</v>
      </c>
      <c r="BW459" s="39">
        <f t="shared" si="115"/>
        <v>0.99884526558891451</v>
      </c>
      <c r="BX459" s="40">
        <f t="shared" si="116"/>
        <v>2.5701300736561669E-2</v>
      </c>
      <c r="BY459" s="40">
        <f t="shared" si="117"/>
        <v>1.097006738755681E-3</v>
      </c>
      <c r="BZ459" t="str">
        <f t="shared" si="118"/>
        <v>Revisar rendimiento</v>
      </c>
      <c r="CA459">
        <f t="shared" si="119"/>
        <v>1</v>
      </c>
    </row>
    <row r="460" spans="1:80" x14ac:dyDescent="0.25">
      <c r="A460" s="35">
        <v>46036</v>
      </c>
      <c r="B460" s="36">
        <v>12</v>
      </c>
      <c r="C460" t="s">
        <v>119</v>
      </c>
      <c r="D460" t="s">
        <v>6</v>
      </c>
      <c r="E460" t="s">
        <v>126</v>
      </c>
      <c r="F460" t="s">
        <v>127</v>
      </c>
      <c r="G460">
        <v>3146</v>
      </c>
      <c r="H460">
        <v>2140110610</v>
      </c>
      <c r="I460" t="s">
        <v>128</v>
      </c>
      <c r="J460" s="37">
        <v>13225</v>
      </c>
      <c r="K460" s="37">
        <v>20</v>
      </c>
      <c r="M460">
        <v>5124</v>
      </c>
      <c r="O460">
        <v>110</v>
      </c>
      <c r="P460">
        <v>28</v>
      </c>
      <c r="Q460">
        <v>115</v>
      </c>
      <c r="T460">
        <v>7</v>
      </c>
      <c r="V460" t="s">
        <v>116</v>
      </c>
      <c r="Y460" s="38">
        <v>0.79166666666666663</v>
      </c>
      <c r="Z460" s="38">
        <v>0.29166666666666669</v>
      </c>
      <c r="AA460" t="s">
        <v>117</v>
      </c>
      <c r="AC460" t="s">
        <v>118</v>
      </c>
      <c r="AD460">
        <v>0.5</v>
      </c>
      <c r="AQ460">
        <v>0.25</v>
      </c>
      <c r="AR460">
        <v>0.75</v>
      </c>
      <c r="BK460">
        <f>0</f>
        <v>0</v>
      </c>
      <c r="BL460">
        <f t="shared" si="105"/>
        <v>1.5</v>
      </c>
      <c r="BM460">
        <f t="shared" si="106"/>
        <v>0</v>
      </c>
      <c r="BN460">
        <f t="shared" si="107"/>
        <v>0</v>
      </c>
      <c r="BO460">
        <f t="shared" si="108"/>
        <v>1</v>
      </c>
      <c r="BP460" s="37">
        <f>IF($F460="","",IFERROR(INDEX(Familias!$C$5:$C$300,MATCH($F460,Familias!$A$5:$A$300,0)),""))</f>
        <v>2450</v>
      </c>
      <c r="BQ460" s="37">
        <f t="shared" si="109"/>
        <v>13245</v>
      </c>
      <c r="BR460" s="36">
        <f t="shared" si="110"/>
        <v>12</v>
      </c>
      <c r="BS460" s="36">
        <f t="shared" si="111"/>
        <v>1.5</v>
      </c>
      <c r="BT460" s="36">
        <f t="shared" si="112"/>
        <v>10.5</v>
      </c>
      <c r="BU460" s="36">
        <f t="shared" si="113"/>
        <v>5.4061000000000003</v>
      </c>
      <c r="BV460" s="39">
        <f t="shared" si="114"/>
        <v>0.51486666666666669</v>
      </c>
      <c r="BW460" s="39">
        <f t="shared" si="115"/>
        <v>0.99848999622499057</v>
      </c>
      <c r="BX460" s="40">
        <f t="shared" si="116"/>
        <v>2.6932084309133488E-2</v>
      </c>
      <c r="BY460" s="40">
        <f t="shared" si="117"/>
        <v>2.2443403590944575E-2</v>
      </c>
      <c r="BZ460" t="str">
        <f t="shared" si="118"/>
        <v>OK</v>
      </c>
      <c r="CA460">
        <f t="shared" si="119"/>
        <v>1</v>
      </c>
    </row>
    <row r="461" spans="1:80" x14ac:dyDescent="0.25">
      <c r="A461" s="35">
        <v>46037</v>
      </c>
      <c r="B461" s="36">
        <v>12</v>
      </c>
      <c r="C461" t="s">
        <v>113</v>
      </c>
      <c r="D461" t="s">
        <v>6</v>
      </c>
      <c r="E461" t="s">
        <v>126</v>
      </c>
      <c r="F461" t="s">
        <v>127</v>
      </c>
      <c r="G461">
        <v>3146</v>
      </c>
      <c r="H461">
        <v>2140110610</v>
      </c>
      <c r="I461" t="s">
        <v>128</v>
      </c>
      <c r="J461" s="37">
        <v>20225</v>
      </c>
      <c r="K461" s="37">
        <v>20</v>
      </c>
      <c r="M461">
        <v>7411</v>
      </c>
      <c r="O461">
        <v>87</v>
      </c>
      <c r="P461">
        <v>27</v>
      </c>
      <c r="Q461">
        <v>50</v>
      </c>
      <c r="T461">
        <v>9</v>
      </c>
      <c r="V461" t="s">
        <v>120</v>
      </c>
      <c r="Y461" s="38">
        <v>0.29166666666666669</v>
      </c>
      <c r="Z461" s="38">
        <v>0.79166666666666663</v>
      </c>
      <c r="AA461" t="s">
        <v>117</v>
      </c>
      <c r="AC461" t="s">
        <v>118</v>
      </c>
      <c r="AD461">
        <v>0.33329999999999999</v>
      </c>
      <c r="AQ461">
        <v>0.25</v>
      </c>
      <c r="AR461">
        <v>0.75</v>
      </c>
      <c r="BE461">
        <v>4.4166999999999996</v>
      </c>
      <c r="BK461">
        <f>0</f>
        <v>0</v>
      </c>
      <c r="BL461">
        <f t="shared" si="105"/>
        <v>5.75</v>
      </c>
      <c r="BM461">
        <f t="shared" si="106"/>
        <v>0</v>
      </c>
      <c r="BN461">
        <f t="shared" si="107"/>
        <v>0</v>
      </c>
      <c r="BO461">
        <f t="shared" si="108"/>
        <v>1</v>
      </c>
      <c r="BP461" s="37">
        <f>IF($F461="","",IFERROR(INDEX(Familias!$C$5:$C$300,MATCH($F461,Familias!$A$5:$A$300,0)),""))</f>
        <v>2450</v>
      </c>
      <c r="BQ461" s="37">
        <f t="shared" si="109"/>
        <v>20245</v>
      </c>
      <c r="BR461" s="36">
        <f t="shared" si="110"/>
        <v>12</v>
      </c>
      <c r="BS461" s="36">
        <f t="shared" si="111"/>
        <v>5.75</v>
      </c>
      <c r="BT461" s="36">
        <f t="shared" si="112"/>
        <v>6.25</v>
      </c>
      <c r="BU461" s="36">
        <f t="shared" si="113"/>
        <v>8.2632999999999992</v>
      </c>
      <c r="BV461" s="39">
        <f t="shared" si="114"/>
        <v>1.322128</v>
      </c>
      <c r="BW461" s="39">
        <f t="shared" si="115"/>
        <v>0.9990121017535194</v>
      </c>
      <c r="BX461" s="40">
        <f t="shared" si="116"/>
        <v>1.5382539468357846E-2</v>
      </c>
      <c r="BY461" s="40">
        <f t="shared" si="117"/>
        <v>6.7467278369990552E-3</v>
      </c>
      <c r="BZ461" t="str">
        <f t="shared" si="118"/>
        <v>Revisar rendimiento</v>
      </c>
      <c r="CA461">
        <f t="shared" si="119"/>
        <v>1</v>
      </c>
    </row>
    <row r="462" spans="1:80" x14ac:dyDescent="0.25">
      <c r="A462" s="35">
        <v>46037</v>
      </c>
      <c r="B462" s="36">
        <v>12</v>
      </c>
      <c r="C462" t="s">
        <v>119</v>
      </c>
      <c r="D462" t="s">
        <v>6</v>
      </c>
      <c r="E462" t="s">
        <v>126</v>
      </c>
      <c r="F462" t="s">
        <v>127</v>
      </c>
      <c r="G462">
        <v>3146</v>
      </c>
      <c r="H462">
        <v>2140110610</v>
      </c>
      <c r="I462" t="s">
        <v>128</v>
      </c>
      <c r="J462" s="37">
        <v>19575</v>
      </c>
      <c r="K462" s="37">
        <v>15</v>
      </c>
      <c r="M462">
        <v>7090</v>
      </c>
      <c r="O462">
        <v>65</v>
      </c>
      <c r="P462">
        <v>43</v>
      </c>
      <c r="Q462">
        <v>50</v>
      </c>
      <c r="T462">
        <v>9</v>
      </c>
      <c r="V462" t="s">
        <v>116</v>
      </c>
      <c r="Y462" s="38">
        <v>0.79166666666666663</v>
      </c>
      <c r="Z462" s="38">
        <v>0.29166666666666669</v>
      </c>
      <c r="AA462" t="s">
        <v>117</v>
      </c>
      <c r="AC462" t="s">
        <v>118</v>
      </c>
      <c r="AD462">
        <v>0.5</v>
      </c>
      <c r="AQ462">
        <v>0.25</v>
      </c>
      <c r="AR462">
        <v>0.75</v>
      </c>
      <c r="BE462">
        <v>0.5</v>
      </c>
      <c r="BK462">
        <f>0</f>
        <v>0</v>
      </c>
      <c r="BL462">
        <f t="shared" si="105"/>
        <v>2</v>
      </c>
      <c r="BM462">
        <f t="shared" si="106"/>
        <v>0</v>
      </c>
      <c r="BN462">
        <f t="shared" si="107"/>
        <v>0</v>
      </c>
      <c r="BO462">
        <f t="shared" si="108"/>
        <v>1</v>
      </c>
      <c r="BP462" s="37">
        <f>IF($F462="","",IFERROR(INDEX(Familias!$C$5:$C$300,MATCH($F462,Familias!$A$5:$A$300,0)),""))</f>
        <v>2450</v>
      </c>
      <c r="BQ462" s="37">
        <f t="shared" si="109"/>
        <v>19590</v>
      </c>
      <c r="BR462" s="36">
        <f t="shared" si="110"/>
        <v>12</v>
      </c>
      <c r="BS462" s="36">
        <f t="shared" si="111"/>
        <v>2</v>
      </c>
      <c r="BT462" s="36">
        <f t="shared" si="112"/>
        <v>10</v>
      </c>
      <c r="BU462" s="36">
        <f t="shared" si="113"/>
        <v>7.9958999999999998</v>
      </c>
      <c r="BV462" s="39">
        <f t="shared" si="114"/>
        <v>0.79959000000000002</v>
      </c>
      <c r="BW462" s="39">
        <f t="shared" si="115"/>
        <v>0.99923430321592654</v>
      </c>
      <c r="BX462" s="40">
        <f t="shared" si="116"/>
        <v>1.5232722143864598E-2</v>
      </c>
      <c r="BY462" s="40">
        <f t="shared" si="117"/>
        <v>7.052186177715092E-3</v>
      </c>
      <c r="BZ462" t="str">
        <f t="shared" si="118"/>
        <v>OK</v>
      </c>
      <c r="CA462">
        <f t="shared" si="119"/>
        <v>1</v>
      </c>
    </row>
    <row r="463" spans="1:80" x14ac:dyDescent="0.25">
      <c r="A463" s="35">
        <v>46038</v>
      </c>
      <c r="B463" s="36">
        <v>12</v>
      </c>
      <c r="C463" t="s">
        <v>113</v>
      </c>
      <c r="D463" t="s">
        <v>6</v>
      </c>
      <c r="E463" t="s">
        <v>126</v>
      </c>
      <c r="F463" t="s">
        <v>127</v>
      </c>
      <c r="G463">
        <v>3146</v>
      </c>
      <c r="H463">
        <v>2140110610</v>
      </c>
      <c r="I463" t="s">
        <v>128</v>
      </c>
      <c r="J463" s="37">
        <v>18250</v>
      </c>
      <c r="K463" s="37">
        <v>15</v>
      </c>
      <c r="M463">
        <v>7070</v>
      </c>
      <c r="O463">
        <v>90</v>
      </c>
      <c r="P463">
        <v>27</v>
      </c>
      <c r="Q463">
        <v>73</v>
      </c>
      <c r="T463">
        <v>9</v>
      </c>
      <c r="V463" t="s">
        <v>120</v>
      </c>
      <c r="Y463" s="38">
        <v>0.29166666666666669</v>
      </c>
      <c r="Z463" s="38">
        <v>0.79166666666666663</v>
      </c>
      <c r="AA463" t="s">
        <v>117</v>
      </c>
      <c r="AC463" t="s">
        <v>118</v>
      </c>
      <c r="AD463">
        <v>0.33329999999999999</v>
      </c>
      <c r="AQ463">
        <v>0.25</v>
      </c>
      <c r="AR463">
        <v>0.75</v>
      </c>
      <c r="BE463">
        <v>4.4166999999999996</v>
      </c>
      <c r="BK463">
        <f>0</f>
        <v>0</v>
      </c>
      <c r="BL463">
        <f t="shared" si="105"/>
        <v>5.75</v>
      </c>
      <c r="BM463">
        <f t="shared" si="106"/>
        <v>0</v>
      </c>
      <c r="BN463">
        <f t="shared" si="107"/>
        <v>0</v>
      </c>
      <c r="BO463">
        <f t="shared" si="108"/>
        <v>1</v>
      </c>
      <c r="BP463" s="37">
        <f>IF($F463="","",IFERROR(INDEX(Familias!$C$5:$C$300,MATCH($F463,Familias!$A$5:$A$300,0)),""))</f>
        <v>2450</v>
      </c>
      <c r="BQ463" s="37">
        <f t="shared" si="109"/>
        <v>18265</v>
      </c>
      <c r="BR463" s="36">
        <f t="shared" si="110"/>
        <v>12</v>
      </c>
      <c r="BS463" s="36">
        <f t="shared" si="111"/>
        <v>5.75</v>
      </c>
      <c r="BT463" s="36">
        <f t="shared" si="112"/>
        <v>6.25</v>
      </c>
      <c r="BU463" s="36">
        <f t="shared" si="113"/>
        <v>7.4550999999999998</v>
      </c>
      <c r="BV463" s="39">
        <f t="shared" si="114"/>
        <v>1.1928159999999999</v>
      </c>
      <c r="BW463" s="39">
        <f t="shared" si="115"/>
        <v>0.99917875718587468</v>
      </c>
      <c r="BX463" s="40">
        <f t="shared" si="116"/>
        <v>1.6548797736916549E-2</v>
      </c>
      <c r="BY463" s="40">
        <f t="shared" si="117"/>
        <v>1.0325318246110325E-2</v>
      </c>
      <c r="BZ463" t="str">
        <f t="shared" si="118"/>
        <v>Revisar rendimiento</v>
      </c>
      <c r="CA463">
        <f t="shared" si="119"/>
        <v>1</v>
      </c>
    </row>
    <row r="464" spans="1:80" x14ac:dyDescent="0.25">
      <c r="A464" s="35">
        <v>46038</v>
      </c>
      <c r="B464" s="36">
        <v>8.7058</v>
      </c>
      <c r="C464" t="s">
        <v>119</v>
      </c>
      <c r="D464" t="s">
        <v>6</v>
      </c>
      <c r="E464" t="s">
        <v>126</v>
      </c>
      <c r="F464" t="s">
        <v>127</v>
      </c>
      <c r="G464">
        <v>3146</v>
      </c>
      <c r="H464">
        <v>2140110610</v>
      </c>
      <c r="I464" t="s">
        <v>128</v>
      </c>
      <c r="J464" s="37">
        <v>14975</v>
      </c>
      <c r="K464" s="37">
        <v>10</v>
      </c>
      <c r="M464">
        <v>5443</v>
      </c>
      <c r="O464">
        <v>70</v>
      </c>
      <c r="P464">
        <v>31</v>
      </c>
      <c r="T464">
        <v>7</v>
      </c>
      <c r="V464" t="s">
        <v>116</v>
      </c>
      <c r="Y464" s="38">
        <v>0.79166666666666663</v>
      </c>
      <c r="Z464" s="38">
        <v>0.1541666666666667</v>
      </c>
      <c r="AA464" t="s">
        <v>117</v>
      </c>
      <c r="AC464" t="s">
        <v>121</v>
      </c>
      <c r="AD464">
        <v>0.36270000000000002</v>
      </c>
      <c r="AQ464">
        <v>0.18140000000000001</v>
      </c>
      <c r="AR464">
        <v>0.54410000000000003</v>
      </c>
      <c r="BK464">
        <f>0</f>
        <v>0</v>
      </c>
      <c r="BL464">
        <f t="shared" si="105"/>
        <v>1.0882000000000001</v>
      </c>
      <c r="BM464">
        <f t="shared" si="106"/>
        <v>0</v>
      </c>
      <c r="BN464">
        <f t="shared" si="107"/>
        <v>0</v>
      </c>
      <c r="BO464">
        <f t="shared" si="108"/>
        <v>1</v>
      </c>
      <c r="BP464" s="37">
        <f>IF($F464="","",IFERROR(INDEX(Familias!$C$5:$C$300,MATCH($F464,Familias!$A$5:$A$300,0)),""))</f>
        <v>2450</v>
      </c>
      <c r="BQ464" s="37">
        <f t="shared" si="109"/>
        <v>14985</v>
      </c>
      <c r="BR464" s="36">
        <f t="shared" si="110"/>
        <v>8.7058</v>
      </c>
      <c r="BS464" s="36">
        <f t="shared" si="111"/>
        <v>1.0882000000000001</v>
      </c>
      <c r="BT464" s="36">
        <f t="shared" si="112"/>
        <v>7.6176000000000004</v>
      </c>
      <c r="BU464" s="36">
        <f t="shared" si="113"/>
        <v>6.1162999999999998</v>
      </c>
      <c r="BV464" s="39">
        <f t="shared" si="114"/>
        <v>0.80291692921655111</v>
      </c>
      <c r="BW464" s="39">
        <f t="shared" si="115"/>
        <v>0.99933266599933268</v>
      </c>
      <c r="BX464" s="40">
        <f t="shared" si="116"/>
        <v>1.85559434135587E-2</v>
      </c>
      <c r="BY464" s="40">
        <f t="shared" si="117"/>
        <v>0</v>
      </c>
      <c r="BZ464" t="str">
        <f t="shared" si="118"/>
        <v>OK</v>
      </c>
      <c r="CA464">
        <f t="shared" si="119"/>
        <v>1</v>
      </c>
    </row>
    <row r="465" spans="1:80" x14ac:dyDescent="0.25">
      <c r="A465" s="35">
        <v>46038</v>
      </c>
      <c r="B465" s="36">
        <v>3.2942</v>
      </c>
      <c r="C465" t="s">
        <v>119</v>
      </c>
      <c r="D465" t="s">
        <v>6</v>
      </c>
      <c r="E465" t="s">
        <v>147</v>
      </c>
      <c r="F465" t="s">
        <v>175</v>
      </c>
      <c r="G465">
        <v>3279</v>
      </c>
      <c r="H465">
        <v>2140110666</v>
      </c>
      <c r="I465" t="s">
        <v>176</v>
      </c>
      <c r="J465" s="37">
        <v>5475</v>
      </c>
      <c r="K465" s="37">
        <v>10</v>
      </c>
      <c r="M465">
        <v>1700</v>
      </c>
      <c r="O465">
        <v>25</v>
      </c>
      <c r="P465">
        <v>16</v>
      </c>
      <c r="R465">
        <v>45</v>
      </c>
      <c r="T465">
        <v>3</v>
      </c>
      <c r="V465" t="s">
        <v>116</v>
      </c>
      <c r="Y465" s="38">
        <v>0.1541666666666667</v>
      </c>
      <c r="Z465" s="38">
        <v>0.29166666666666669</v>
      </c>
      <c r="AA465" t="s">
        <v>117</v>
      </c>
      <c r="AC465" t="s">
        <v>121</v>
      </c>
      <c r="AD465">
        <v>0.13730000000000001</v>
      </c>
      <c r="AQ465">
        <v>6.8599999999999994E-2</v>
      </c>
      <c r="AR465">
        <v>0.2059</v>
      </c>
      <c r="BK465">
        <f>0</f>
        <v>0</v>
      </c>
      <c r="BL465">
        <f t="shared" si="105"/>
        <v>0.4118</v>
      </c>
      <c r="BM465">
        <f t="shared" si="106"/>
        <v>0</v>
      </c>
      <c r="BN465">
        <f t="shared" si="107"/>
        <v>0</v>
      </c>
      <c r="BO465">
        <f t="shared" si="108"/>
        <v>1</v>
      </c>
      <c r="BP465" s="37">
        <f>IF($F465="","",IFERROR(INDEX(Familias!$C$5:$C$300,MATCH($F465,Familias!$A$5:$A$300,0)),""))</f>
        <v>2370</v>
      </c>
      <c r="BQ465" s="37">
        <f t="shared" si="109"/>
        <v>5485</v>
      </c>
      <c r="BR465" s="36">
        <f t="shared" si="110"/>
        <v>3.2942</v>
      </c>
      <c r="BS465" s="36">
        <f t="shared" si="111"/>
        <v>0.4118</v>
      </c>
      <c r="BT465" s="36">
        <f t="shared" si="112"/>
        <v>2.8824000000000001</v>
      </c>
      <c r="BU465" s="36">
        <f t="shared" si="113"/>
        <v>2.3142999999999998</v>
      </c>
      <c r="BV465" s="39">
        <f t="shared" si="114"/>
        <v>0.8029072994726616</v>
      </c>
      <c r="BW465" s="39">
        <f t="shared" si="115"/>
        <v>0.99817684594348222</v>
      </c>
      <c r="BX465" s="40">
        <f t="shared" si="116"/>
        <v>5.0588235294117649E-2</v>
      </c>
      <c r="BY465" s="40">
        <f t="shared" si="117"/>
        <v>0</v>
      </c>
      <c r="BZ465" t="str">
        <f t="shared" si="118"/>
        <v>OK</v>
      </c>
      <c r="CA465">
        <f t="shared" si="119"/>
        <v>1</v>
      </c>
    </row>
    <row r="466" spans="1:80" x14ac:dyDescent="0.25">
      <c r="A466" s="35">
        <v>46039</v>
      </c>
      <c r="B466" s="36">
        <v>12</v>
      </c>
      <c r="C466" t="s">
        <v>113</v>
      </c>
      <c r="D466" t="s">
        <v>6</v>
      </c>
      <c r="J466" s="37"/>
      <c r="K466" s="37"/>
      <c r="V466" t="s">
        <v>120</v>
      </c>
      <c r="Y466" s="38">
        <v>0.29166666666666669</v>
      </c>
      <c r="Z466" s="38">
        <v>0.79166666666666663</v>
      </c>
      <c r="AA466" t="s">
        <v>200</v>
      </c>
      <c r="AB466" t="s">
        <v>225</v>
      </c>
      <c r="AC466" t="s">
        <v>118</v>
      </c>
      <c r="AD466">
        <v>0.33329999999999999</v>
      </c>
      <c r="AE466">
        <v>1.8332999999999999</v>
      </c>
      <c r="AF466">
        <v>2.5832999999999999</v>
      </c>
      <c r="AQ466">
        <v>0.25</v>
      </c>
      <c r="AR466">
        <v>0.75</v>
      </c>
      <c r="BK466">
        <f>0</f>
        <v>0</v>
      </c>
      <c r="BL466">
        <f t="shared" si="105"/>
        <v>5.7499000000000002</v>
      </c>
      <c r="BM466">
        <f t="shared" si="106"/>
        <v>0</v>
      </c>
      <c r="BN466">
        <f t="shared" si="107"/>
        <v>0</v>
      </c>
      <c r="BO466">
        <f t="shared" si="108"/>
        <v>1</v>
      </c>
      <c r="BP466" s="37" t="str">
        <f>IF($F466="","",IFERROR(INDEX(Familias!$C$5:$C$300,MATCH($F466,Familias!$A$5:$A$300,0)),""))</f>
        <v/>
      </c>
      <c r="BQ466" s="37" t="str">
        <f t="shared" si="109"/>
        <v/>
      </c>
      <c r="BR466" s="36">
        <f t="shared" si="110"/>
        <v>12</v>
      </c>
      <c r="BS466" s="36">
        <f t="shared" si="111"/>
        <v>5.7499000000000002</v>
      </c>
      <c r="BT466" s="36">
        <f t="shared" si="112"/>
        <v>6.2500999999999998</v>
      </c>
      <c r="BU466" s="36" t="str">
        <f t="shared" si="113"/>
        <v/>
      </c>
      <c r="BV466" s="39" t="str">
        <f t="shared" si="114"/>
        <v/>
      </c>
      <c r="BW466" s="39" t="str">
        <f t="shared" si="115"/>
        <v/>
      </c>
      <c r="BX466" s="40" t="str">
        <f t="shared" si="116"/>
        <v/>
      </c>
      <c r="BY466" s="40" t="str">
        <f t="shared" si="117"/>
        <v/>
      </c>
      <c r="BZ466" t="str">
        <f t="shared" si="118"/>
        <v>Paradas no digitadas</v>
      </c>
      <c r="CA466">
        <f t="shared" si="119"/>
        <v>0</v>
      </c>
    </row>
    <row r="467" spans="1:80" x14ac:dyDescent="0.25">
      <c r="A467" s="35">
        <v>46039</v>
      </c>
      <c r="B467" s="36">
        <v>12</v>
      </c>
      <c r="C467" t="s">
        <v>119</v>
      </c>
      <c r="D467" t="s">
        <v>6</v>
      </c>
      <c r="E467" t="s">
        <v>147</v>
      </c>
      <c r="F467" t="s">
        <v>175</v>
      </c>
      <c r="G467">
        <v>3280</v>
      </c>
      <c r="H467">
        <v>2140110669</v>
      </c>
      <c r="I467" t="s">
        <v>177</v>
      </c>
      <c r="J467" s="37">
        <v>18552</v>
      </c>
      <c r="K467" s="37">
        <v>15</v>
      </c>
      <c r="M467">
        <v>5581</v>
      </c>
      <c r="O467">
        <v>65</v>
      </c>
      <c r="P467">
        <v>45</v>
      </c>
      <c r="Q467">
        <v>45</v>
      </c>
      <c r="T467">
        <v>10</v>
      </c>
      <c r="V467" t="s">
        <v>116</v>
      </c>
      <c r="Y467" s="38">
        <v>0.79166666666666663</v>
      </c>
      <c r="Z467" s="38">
        <v>0.29166666666666669</v>
      </c>
      <c r="AA467" t="s">
        <v>117</v>
      </c>
      <c r="AC467" t="s">
        <v>118</v>
      </c>
      <c r="AD467">
        <v>0.5</v>
      </c>
      <c r="AQ467">
        <v>0.25</v>
      </c>
      <c r="AR467">
        <v>0.75</v>
      </c>
      <c r="BK467">
        <f>0</f>
        <v>0</v>
      </c>
      <c r="BL467">
        <f t="shared" si="105"/>
        <v>1.5</v>
      </c>
      <c r="BM467">
        <f t="shared" si="106"/>
        <v>0</v>
      </c>
      <c r="BN467">
        <f t="shared" si="107"/>
        <v>0</v>
      </c>
      <c r="BO467">
        <f t="shared" si="108"/>
        <v>1</v>
      </c>
      <c r="BP467" s="37">
        <f>IF($F467="","",IFERROR(INDEX(Familias!$C$5:$C$300,MATCH($F467,Familias!$A$5:$A$300,0)),""))</f>
        <v>2370</v>
      </c>
      <c r="BQ467" s="37">
        <f t="shared" si="109"/>
        <v>18567</v>
      </c>
      <c r="BR467" s="36">
        <f t="shared" si="110"/>
        <v>12</v>
      </c>
      <c r="BS467" s="36">
        <f t="shared" si="111"/>
        <v>1.5</v>
      </c>
      <c r="BT467" s="36">
        <f t="shared" si="112"/>
        <v>10.5</v>
      </c>
      <c r="BU467" s="36">
        <f t="shared" si="113"/>
        <v>7.8342000000000001</v>
      </c>
      <c r="BV467" s="39">
        <f t="shared" si="114"/>
        <v>0.74611428571428573</v>
      </c>
      <c r="BW467" s="39">
        <f t="shared" si="115"/>
        <v>0.99919211504281791</v>
      </c>
      <c r="BX467" s="40">
        <f t="shared" si="116"/>
        <v>1.9709729439168606E-2</v>
      </c>
      <c r="BY467" s="40">
        <f t="shared" si="117"/>
        <v>8.0630711342053393E-3</v>
      </c>
      <c r="BZ467" t="str">
        <f t="shared" si="118"/>
        <v>OK</v>
      </c>
      <c r="CA467">
        <f t="shared" si="119"/>
        <v>1</v>
      </c>
    </row>
    <row r="468" spans="1:80" x14ac:dyDescent="0.25">
      <c r="A468" s="35">
        <v>46041</v>
      </c>
      <c r="B468" s="36">
        <v>12</v>
      </c>
      <c r="C468" t="s">
        <v>113</v>
      </c>
      <c r="D468" t="s">
        <v>6</v>
      </c>
      <c r="E468" t="s">
        <v>147</v>
      </c>
      <c r="F468" t="s">
        <v>175</v>
      </c>
      <c r="G468">
        <v>3280</v>
      </c>
      <c r="H468">
        <v>2140110669</v>
      </c>
      <c r="I468" t="s">
        <v>177</v>
      </c>
      <c r="J468" s="37">
        <v>17575</v>
      </c>
      <c r="K468" s="37">
        <v>15</v>
      </c>
      <c r="M468">
        <v>5252</v>
      </c>
      <c r="O468">
        <v>130</v>
      </c>
      <c r="P468">
        <v>36</v>
      </c>
      <c r="Q468">
        <v>35</v>
      </c>
      <c r="T468">
        <v>9</v>
      </c>
      <c r="V468" t="s">
        <v>116</v>
      </c>
      <c r="Y468" s="38">
        <v>0.29166666666666669</v>
      </c>
      <c r="Z468" s="38">
        <v>0.79166666666666663</v>
      </c>
      <c r="AA468" t="s">
        <v>117</v>
      </c>
      <c r="AC468" t="s">
        <v>118</v>
      </c>
      <c r="AD468">
        <v>0.33329999999999999</v>
      </c>
      <c r="AO468">
        <v>0.5</v>
      </c>
      <c r="AQ468">
        <v>0.25</v>
      </c>
      <c r="AR468">
        <v>0.75</v>
      </c>
      <c r="BE468">
        <v>0.66669999999999996</v>
      </c>
      <c r="BJ468">
        <v>2</v>
      </c>
      <c r="BK468">
        <f>0</f>
        <v>0</v>
      </c>
      <c r="BL468">
        <f t="shared" si="105"/>
        <v>4.5</v>
      </c>
      <c r="BM468">
        <f t="shared" si="106"/>
        <v>0</v>
      </c>
      <c r="BN468">
        <f t="shared" si="107"/>
        <v>0</v>
      </c>
      <c r="BO468">
        <f t="shared" si="108"/>
        <v>1</v>
      </c>
      <c r="BP468" s="37">
        <f>IF($F468="","",IFERROR(INDEX(Familias!$C$5:$C$300,MATCH($F468,Familias!$A$5:$A$300,0)),""))</f>
        <v>2370</v>
      </c>
      <c r="BQ468" s="37">
        <f t="shared" si="109"/>
        <v>17590</v>
      </c>
      <c r="BR468" s="36">
        <f t="shared" si="110"/>
        <v>12</v>
      </c>
      <c r="BS468" s="36">
        <f t="shared" si="111"/>
        <v>4.5</v>
      </c>
      <c r="BT468" s="36">
        <f t="shared" si="112"/>
        <v>7.5</v>
      </c>
      <c r="BU468" s="36">
        <f t="shared" si="113"/>
        <v>7.4218999999999999</v>
      </c>
      <c r="BV468" s="39">
        <f t="shared" si="114"/>
        <v>0.98958666666666661</v>
      </c>
      <c r="BW468" s="39">
        <f t="shared" si="115"/>
        <v>0.99914724275156341</v>
      </c>
      <c r="BX468" s="40">
        <f t="shared" si="116"/>
        <v>3.1607006854531605E-2</v>
      </c>
      <c r="BY468" s="40">
        <f t="shared" si="117"/>
        <v>6.6641279512566643E-3</v>
      </c>
      <c r="BZ468" t="str">
        <f t="shared" si="118"/>
        <v>OK</v>
      </c>
      <c r="CA468">
        <f t="shared" si="119"/>
        <v>1</v>
      </c>
    </row>
    <row r="469" spans="1:80" x14ac:dyDescent="0.25">
      <c r="A469" s="35">
        <v>46041</v>
      </c>
      <c r="B469" s="36">
        <v>12</v>
      </c>
      <c r="C469" t="s">
        <v>119</v>
      </c>
      <c r="D469" t="s">
        <v>6</v>
      </c>
      <c r="E469" t="s">
        <v>126</v>
      </c>
      <c r="F469" t="s">
        <v>133</v>
      </c>
      <c r="G469">
        <v>3281</v>
      </c>
      <c r="H469">
        <v>2140110606</v>
      </c>
      <c r="I469" t="s">
        <v>141</v>
      </c>
      <c r="J469" s="37">
        <v>15800</v>
      </c>
      <c r="K469" s="37">
        <v>20</v>
      </c>
      <c r="M469">
        <v>5693</v>
      </c>
      <c r="O469">
        <v>72</v>
      </c>
      <c r="P469">
        <v>21</v>
      </c>
      <c r="Q469">
        <v>70</v>
      </c>
      <c r="R469">
        <v>30</v>
      </c>
      <c r="T469">
        <v>7</v>
      </c>
      <c r="V469" t="s">
        <v>120</v>
      </c>
      <c r="Y469" s="38">
        <v>0.79166666666666663</v>
      </c>
      <c r="Z469" s="38">
        <v>0.29166666666666669</v>
      </c>
      <c r="AA469" t="s">
        <v>117</v>
      </c>
      <c r="AC469" t="s">
        <v>118</v>
      </c>
      <c r="AD469">
        <v>0.5</v>
      </c>
      <c r="AQ469">
        <v>0.25</v>
      </c>
      <c r="AR469">
        <v>0.75</v>
      </c>
      <c r="BK469">
        <f>0</f>
        <v>0</v>
      </c>
      <c r="BL469">
        <f t="shared" si="105"/>
        <v>1.5</v>
      </c>
      <c r="BM469">
        <f t="shared" si="106"/>
        <v>0</v>
      </c>
      <c r="BN469">
        <f t="shared" si="107"/>
        <v>0</v>
      </c>
      <c r="BO469">
        <f t="shared" si="108"/>
        <v>1</v>
      </c>
      <c r="BP469" s="37">
        <f>IF($F469="","",IFERROR(INDEX(Familias!$C$5:$C$300,MATCH($F469,Familias!$A$5:$A$300,0)),""))</f>
        <v>2320</v>
      </c>
      <c r="BQ469" s="37">
        <f t="shared" si="109"/>
        <v>15820</v>
      </c>
      <c r="BR469" s="36">
        <f t="shared" si="110"/>
        <v>12</v>
      </c>
      <c r="BS469" s="36">
        <f t="shared" si="111"/>
        <v>1.5</v>
      </c>
      <c r="BT469" s="36">
        <f t="shared" si="112"/>
        <v>10.5</v>
      </c>
      <c r="BU469" s="36">
        <f t="shared" si="113"/>
        <v>6.819</v>
      </c>
      <c r="BV469" s="39">
        <f t="shared" si="114"/>
        <v>0.64942857142857147</v>
      </c>
      <c r="BW469" s="39">
        <f t="shared" si="115"/>
        <v>0.99873577749683939</v>
      </c>
      <c r="BX469" s="40">
        <f t="shared" si="116"/>
        <v>2.1605480414544177E-2</v>
      </c>
      <c r="BY469" s="40">
        <f t="shared" si="117"/>
        <v>1.2295801861935711E-2</v>
      </c>
      <c r="BZ469" t="str">
        <f t="shared" si="118"/>
        <v>OK</v>
      </c>
      <c r="CA469">
        <f t="shared" si="119"/>
        <v>1</v>
      </c>
    </row>
    <row r="470" spans="1:80" x14ac:dyDescent="0.25">
      <c r="A470" s="35">
        <v>46042</v>
      </c>
      <c r="B470" s="36">
        <v>12</v>
      </c>
      <c r="C470" t="s">
        <v>113</v>
      </c>
      <c r="D470" t="s">
        <v>6</v>
      </c>
      <c r="E470" t="s">
        <v>126</v>
      </c>
      <c r="F470" t="s">
        <v>133</v>
      </c>
      <c r="G470">
        <v>3281</v>
      </c>
      <c r="H470">
        <v>2140110606</v>
      </c>
      <c r="I470" t="s">
        <v>141</v>
      </c>
      <c r="J470" s="37">
        <v>17475</v>
      </c>
      <c r="K470" s="37">
        <v>20</v>
      </c>
      <c r="M470">
        <v>6387</v>
      </c>
      <c r="O470">
        <v>90</v>
      </c>
      <c r="P470">
        <v>38</v>
      </c>
      <c r="Q470">
        <v>216</v>
      </c>
      <c r="T470">
        <v>8</v>
      </c>
      <c r="V470" t="s">
        <v>116</v>
      </c>
      <c r="Y470" s="38">
        <v>0.29166666666666669</v>
      </c>
      <c r="Z470" s="38">
        <v>0.79166666666666663</v>
      </c>
      <c r="AA470" t="s">
        <v>117</v>
      </c>
      <c r="AC470" t="s">
        <v>118</v>
      </c>
      <c r="AD470">
        <v>0.33329999999999999</v>
      </c>
      <c r="AQ470">
        <v>0.25</v>
      </c>
      <c r="AR470">
        <v>0.75</v>
      </c>
      <c r="AW470">
        <v>4.1666999999999996</v>
      </c>
      <c r="BE470">
        <v>4.25</v>
      </c>
      <c r="BJ470">
        <v>0.33329999999999999</v>
      </c>
      <c r="BK470">
        <f>0</f>
        <v>0</v>
      </c>
      <c r="BL470">
        <f t="shared" si="105"/>
        <v>10.083299999999999</v>
      </c>
      <c r="BM470">
        <f t="shared" si="106"/>
        <v>0</v>
      </c>
      <c r="BN470">
        <f t="shared" si="107"/>
        <v>0</v>
      </c>
      <c r="BO470">
        <f t="shared" si="108"/>
        <v>1</v>
      </c>
      <c r="BP470" s="37">
        <f>IF($F470="","",IFERROR(INDEX(Familias!$C$5:$C$300,MATCH($F470,Familias!$A$5:$A$300,0)),""))</f>
        <v>2320</v>
      </c>
      <c r="BQ470" s="37">
        <f t="shared" si="109"/>
        <v>17495</v>
      </c>
      <c r="BR470" s="36">
        <f t="shared" si="110"/>
        <v>12</v>
      </c>
      <c r="BS470" s="36">
        <f t="shared" si="111"/>
        <v>10.083299999999999</v>
      </c>
      <c r="BT470" s="36">
        <f t="shared" si="112"/>
        <v>1.9167000000000001</v>
      </c>
      <c r="BU470" s="36">
        <f t="shared" si="113"/>
        <v>7.5408999999999997</v>
      </c>
      <c r="BV470" s="39">
        <f t="shared" si="114"/>
        <v>3.9343141858402459</v>
      </c>
      <c r="BW470" s="39">
        <f t="shared" si="115"/>
        <v>0.99885681623320954</v>
      </c>
      <c r="BX470" s="40">
        <f t="shared" si="116"/>
        <v>2.0040707687490215E-2</v>
      </c>
      <c r="BY470" s="40">
        <f t="shared" si="117"/>
        <v>3.3818694222639736E-2</v>
      </c>
      <c r="BZ470" t="str">
        <f t="shared" si="118"/>
        <v>Revisar rendimiento</v>
      </c>
      <c r="CA470">
        <f t="shared" si="119"/>
        <v>1</v>
      </c>
    </row>
    <row r="471" spans="1:80" x14ac:dyDescent="0.25">
      <c r="A471" s="35">
        <v>46042</v>
      </c>
      <c r="B471" s="36">
        <v>12</v>
      </c>
      <c r="C471" t="s">
        <v>119</v>
      </c>
      <c r="D471" t="s">
        <v>6</v>
      </c>
      <c r="E471" t="s">
        <v>126</v>
      </c>
      <c r="F471" t="s">
        <v>133</v>
      </c>
      <c r="G471">
        <v>3281</v>
      </c>
      <c r="H471">
        <v>2140110606</v>
      </c>
      <c r="I471" t="s">
        <v>141</v>
      </c>
      <c r="J471" s="37">
        <v>20225</v>
      </c>
      <c r="K471" s="37">
        <v>20</v>
      </c>
      <c r="M471">
        <v>7061</v>
      </c>
      <c r="O471">
        <v>75</v>
      </c>
      <c r="P471">
        <v>27</v>
      </c>
      <c r="Q471">
        <v>38</v>
      </c>
      <c r="T471">
        <v>9</v>
      </c>
      <c r="V471" t="s">
        <v>120</v>
      </c>
      <c r="Y471" s="38">
        <v>0.79166666666666663</v>
      </c>
      <c r="Z471" s="38">
        <v>0.29166666666666669</v>
      </c>
      <c r="AA471" t="s">
        <v>117</v>
      </c>
      <c r="AC471" t="s">
        <v>118</v>
      </c>
      <c r="AD471">
        <v>0.5</v>
      </c>
      <c r="AQ471">
        <v>0.25</v>
      </c>
      <c r="AR471">
        <v>0.75</v>
      </c>
      <c r="BE471">
        <v>1</v>
      </c>
      <c r="BK471">
        <f>0</f>
        <v>0</v>
      </c>
      <c r="BL471">
        <f t="shared" si="105"/>
        <v>2.5</v>
      </c>
      <c r="BM471">
        <f t="shared" si="106"/>
        <v>0</v>
      </c>
      <c r="BN471">
        <f t="shared" si="107"/>
        <v>0</v>
      </c>
      <c r="BO471">
        <f t="shared" si="108"/>
        <v>1</v>
      </c>
      <c r="BP471" s="37">
        <f>IF($F471="","",IFERROR(INDEX(Familias!$C$5:$C$300,MATCH($F471,Familias!$A$5:$A$300,0)),""))</f>
        <v>2320</v>
      </c>
      <c r="BQ471" s="37">
        <f t="shared" si="109"/>
        <v>20245</v>
      </c>
      <c r="BR471" s="36">
        <f t="shared" si="110"/>
        <v>12</v>
      </c>
      <c r="BS471" s="36">
        <f t="shared" si="111"/>
        <v>2.5</v>
      </c>
      <c r="BT471" s="36">
        <f t="shared" si="112"/>
        <v>9.5</v>
      </c>
      <c r="BU471" s="36">
        <f t="shared" si="113"/>
        <v>8.7263000000000002</v>
      </c>
      <c r="BV471" s="39">
        <f t="shared" si="114"/>
        <v>0.91855789473684213</v>
      </c>
      <c r="BW471" s="39">
        <f t="shared" si="115"/>
        <v>0.9990121017535194</v>
      </c>
      <c r="BX471" s="40">
        <f t="shared" si="116"/>
        <v>1.4445545956663362E-2</v>
      </c>
      <c r="BY471" s="40">
        <f t="shared" si="117"/>
        <v>5.3816739838549784E-3</v>
      </c>
      <c r="BZ471" t="str">
        <f t="shared" si="118"/>
        <v>OK</v>
      </c>
      <c r="CA471">
        <f t="shared" si="119"/>
        <v>1</v>
      </c>
    </row>
    <row r="472" spans="1:80" x14ac:dyDescent="0.25">
      <c r="A472" s="35">
        <v>46043</v>
      </c>
      <c r="B472" s="36">
        <v>4.8875000000000002</v>
      </c>
      <c r="C472" t="s">
        <v>113</v>
      </c>
      <c r="D472" t="s">
        <v>6</v>
      </c>
      <c r="E472" t="s">
        <v>126</v>
      </c>
      <c r="F472" t="s">
        <v>133</v>
      </c>
      <c r="G472">
        <v>3281</v>
      </c>
      <c r="H472">
        <v>2140110606</v>
      </c>
      <c r="I472" t="s">
        <v>141</v>
      </c>
      <c r="J472" s="37">
        <v>6525</v>
      </c>
      <c r="K472" s="37">
        <v>10</v>
      </c>
      <c r="M472">
        <v>3201</v>
      </c>
      <c r="O472">
        <v>70</v>
      </c>
      <c r="P472">
        <v>21</v>
      </c>
      <c r="Q472">
        <v>20</v>
      </c>
      <c r="T472">
        <v>6</v>
      </c>
      <c r="V472" t="s">
        <v>116</v>
      </c>
      <c r="Y472" s="38">
        <v>0.29166666666666669</v>
      </c>
      <c r="Z472" s="38">
        <v>0.49513888888888891</v>
      </c>
      <c r="AA472" t="s">
        <v>117</v>
      </c>
      <c r="AC472" t="s">
        <v>121</v>
      </c>
      <c r="AD472">
        <v>0.4073</v>
      </c>
      <c r="AE472">
        <v>0.57699999999999996</v>
      </c>
      <c r="AQ472">
        <v>0.1018</v>
      </c>
      <c r="AR472">
        <v>0.30549999999999999</v>
      </c>
      <c r="AW472">
        <v>0.27150000000000002</v>
      </c>
      <c r="BK472">
        <f>0</f>
        <v>0</v>
      </c>
      <c r="BL472">
        <f t="shared" si="105"/>
        <v>1.6631</v>
      </c>
      <c r="BM472">
        <f t="shared" si="106"/>
        <v>0</v>
      </c>
      <c r="BN472">
        <f t="shared" si="107"/>
        <v>0</v>
      </c>
      <c r="BO472">
        <f t="shared" si="108"/>
        <v>1</v>
      </c>
      <c r="BP472" s="37">
        <f>IF($F472="","",IFERROR(INDEX(Familias!$C$5:$C$300,MATCH($F472,Familias!$A$5:$A$300,0)),""))</f>
        <v>2320</v>
      </c>
      <c r="BQ472" s="37">
        <f t="shared" si="109"/>
        <v>6535</v>
      </c>
      <c r="BR472" s="36">
        <f t="shared" si="110"/>
        <v>4.8875000000000002</v>
      </c>
      <c r="BS472" s="36">
        <f t="shared" si="111"/>
        <v>1.6631</v>
      </c>
      <c r="BT472" s="36">
        <f t="shared" si="112"/>
        <v>3.2244000000000002</v>
      </c>
      <c r="BU472" s="36">
        <f t="shared" si="113"/>
        <v>2.8168000000000002</v>
      </c>
      <c r="BV472" s="39">
        <f t="shared" si="114"/>
        <v>0.87358888475375263</v>
      </c>
      <c r="BW472" s="39">
        <f t="shared" si="115"/>
        <v>0.99846977811782711</v>
      </c>
      <c r="BX472" s="40">
        <f t="shared" si="116"/>
        <v>2.8428616057482037E-2</v>
      </c>
      <c r="BY472" s="40">
        <f t="shared" si="117"/>
        <v>6.2480474851608877E-3</v>
      </c>
      <c r="BZ472" t="str">
        <f t="shared" si="118"/>
        <v>OK</v>
      </c>
      <c r="CA472">
        <f t="shared" si="119"/>
        <v>1</v>
      </c>
    </row>
    <row r="473" spans="1:80" x14ac:dyDescent="0.25">
      <c r="A473" s="35">
        <v>46043</v>
      </c>
      <c r="B473" s="36">
        <v>7.1124999999999998</v>
      </c>
      <c r="C473" t="s">
        <v>113</v>
      </c>
      <c r="D473" t="s">
        <v>6</v>
      </c>
      <c r="E473" t="s">
        <v>147</v>
      </c>
      <c r="F473" t="s">
        <v>175</v>
      </c>
      <c r="G473">
        <v>3282</v>
      </c>
      <c r="H473">
        <v>2140110671</v>
      </c>
      <c r="I473" t="s">
        <v>180</v>
      </c>
      <c r="J473" s="37">
        <v>9700</v>
      </c>
      <c r="K473" s="37">
        <v>15</v>
      </c>
      <c r="M473">
        <v>2160</v>
      </c>
      <c r="O473">
        <v>40</v>
      </c>
      <c r="P473">
        <v>20</v>
      </c>
      <c r="R473">
        <v>60</v>
      </c>
      <c r="T473">
        <v>6</v>
      </c>
      <c r="V473" t="s">
        <v>116</v>
      </c>
      <c r="Y473" s="38">
        <v>0.49513888888888891</v>
      </c>
      <c r="Z473" s="38">
        <v>0.79166666666666663</v>
      </c>
      <c r="AA473" t="s">
        <v>117</v>
      </c>
      <c r="AC473" t="s">
        <v>121</v>
      </c>
      <c r="AD473">
        <v>0.5927</v>
      </c>
      <c r="AE473">
        <v>0.8397</v>
      </c>
      <c r="AQ473">
        <v>0.1482</v>
      </c>
      <c r="AR473">
        <v>0.44450000000000001</v>
      </c>
      <c r="AW473">
        <v>0.39510000000000001</v>
      </c>
      <c r="BK473">
        <f>0</f>
        <v>0</v>
      </c>
      <c r="BL473">
        <f t="shared" si="105"/>
        <v>2.4202000000000004</v>
      </c>
      <c r="BM473">
        <f t="shared" si="106"/>
        <v>0</v>
      </c>
      <c r="BN473">
        <f t="shared" si="107"/>
        <v>0</v>
      </c>
      <c r="BO473">
        <f t="shared" si="108"/>
        <v>1</v>
      </c>
      <c r="BP473" s="37">
        <f>IF($F473="","",IFERROR(INDEX(Familias!$C$5:$C$300,MATCH($F473,Familias!$A$5:$A$300,0)),""))</f>
        <v>2370</v>
      </c>
      <c r="BQ473" s="37">
        <f t="shared" si="109"/>
        <v>9715</v>
      </c>
      <c r="BR473" s="36">
        <f t="shared" si="110"/>
        <v>7.1124999999999998</v>
      </c>
      <c r="BS473" s="36">
        <f t="shared" si="111"/>
        <v>2.4201999999999999</v>
      </c>
      <c r="BT473" s="36">
        <f t="shared" si="112"/>
        <v>4.6923000000000004</v>
      </c>
      <c r="BU473" s="36">
        <f t="shared" si="113"/>
        <v>4.0991999999999997</v>
      </c>
      <c r="BV473" s="39">
        <f t="shared" si="114"/>
        <v>0.87360143213349517</v>
      </c>
      <c r="BW473" s="39">
        <f t="shared" si="115"/>
        <v>0.99845599588265566</v>
      </c>
      <c r="BX473" s="40">
        <f t="shared" si="116"/>
        <v>5.5555555555555552E-2</v>
      </c>
      <c r="BY473" s="40">
        <f t="shared" si="117"/>
        <v>0</v>
      </c>
      <c r="BZ473" t="str">
        <f t="shared" si="118"/>
        <v>OK</v>
      </c>
      <c r="CA473">
        <f t="shared" si="119"/>
        <v>1</v>
      </c>
    </row>
    <row r="474" spans="1:80" x14ac:dyDescent="0.25">
      <c r="A474" s="35">
        <v>46043</v>
      </c>
      <c r="B474" s="36">
        <v>2.6265000000000001</v>
      </c>
      <c r="C474" t="s">
        <v>119</v>
      </c>
      <c r="D474" t="s">
        <v>6</v>
      </c>
      <c r="E474" t="s">
        <v>147</v>
      </c>
      <c r="F474" t="s">
        <v>175</v>
      </c>
      <c r="G474">
        <v>3282</v>
      </c>
      <c r="H474">
        <v>2140110671</v>
      </c>
      <c r="I474" t="s">
        <v>180</v>
      </c>
      <c r="J474" s="37">
        <v>4325</v>
      </c>
      <c r="K474" s="37"/>
      <c r="M474">
        <v>804</v>
      </c>
      <c r="O474">
        <v>20</v>
      </c>
      <c r="P474">
        <v>6</v>
      </c>
      <c r="Q474">
        <v>14</v>
      </c>
      <c r="T474">
        <v>2</v>
      </c>
      <c r="V474" t="s">
        <v>120</v>
      </c>
      <c r="Y474" s="38">
        <v>0.79166666666666663</v>
      </c>
      <c r="Z474" s="38">
        <v>0.90138888888888891</v>
      </c>
      <c r="AA474" t="s">
        <v>117</v>
      </c>
      <c r="AC474" t="s">
        <v>136</v>
      </c>
      <c r="AD474">
        <v>5.4699999999999999E-2</v>
      </c>
      <c r="AF474">
        <v>1.3132999999999999</v>
      </c>
      <c r="AG474">
        <v>3.6499999999999998E-2</v>
      </c>
      <c r="AQ474">
        <v>5.4699999999999999E-2</v>
      </c>
      <c r="AR474">
        <v>0.16420000000000001</v>
      </c>
      <c r="BJ474">
        <v>0.38300000000000001</v>
      </c>
      <c r="BK474">
        <f>0</f>
        <v>0</v>
      </c>
      <c r="BL474">
        <f t="shared" si="105"/>
        <v>2.0063999999999997</v>
      </c>
      <c r="BM474">
        <f t="shared" si="106"/>
        <v>0</v>
      </c>
      <c r="BN474">
        <f t="shared" si="107"/>
        <v>0</v>
      </c>
      <c r="BO474">
        <f t="shared" si="108"/>
        <v>1</v>
      </c>
      <c r="BP474" s="37">
        <f>IF($F474="","",IFERROR(INDEX(Familias!$C$5:$C$300,MATCH($F474,Familias!$A$5:$A$300,0)),""))</f>
        <v>2370</v>
      </c>
      <c r="BQ474" s="37">
        <f t="shared" si="109"/>
        <v>4325</v>
      </c>
      <c r="BR474" s="36">
        <f t="shared" si="110"/>
        <v>2.6265000000000001</v>
      </c>
      <c r="BS474" s="36">
        <f t="shared" si="111"/>
        <v>2.0064000000000002</v>
      </c>
      <c r="BT474" s="36">
        <f t="shared" si="112"/>
        <v>0.62009999999999998</v>
      </c>
      <c r="BU474" s="36">
        <f t="shared" si="113"/>
        <v>1.8249</v>
      </c>
      <c r="BV474" s="39">
        <f t="shared" si="114"/>
        <v>2.9429124334784711</v>
      </c>
      <c r="BW474" s="39">
        <f t="shared" si="115"/>
        <v>1</v>
      </c>
      <c r="BX474" s="40">
        <f t="shared" si="116"/>
        <v>3.2338308457711441E-2</v>
      </c>
      <c r="BY474" s="40">
        <f t="shared" si="117"/>
        <v>1.7412935323383085E-2</v>
      </c>
      <c r="BZ474" t="str">
        <f t="shared" si="118"/>
        <v>Revisar rendimiento</v>
      </c>
      <c r="CA474">
        <f t="shared" si="119"/>
        <v>1</v>
      </c>
    </row>
    <row r="475" spans="1:80" x14ac:dyDescent="0.25">
      <c r="A475" s="35">
        <v>46043</v>
      </c>
      <c r="B475" s="36">
        <v>6.6984000000000004</v>
      </c>
      <c r="C475" t="s">
        <v>119</v>
      </c>
      <c r="D475" t="s">
        <v>6</v>
      </c>
      <c r="E475" t="s">
        <v>147</v>
      </c>
      <c r="F475" t="s">
        <v>175</v>
      </c>
      <c r="G475">
        <v>3283</v>
      </c>
      <c r="H475">
        <v>2140110668</v>
      </c>
      <c r="I475" t="s">
        <v>181</v>
      </c>
      <c r="J475" s="37">
        <v>11025</v>
      </c>
      <c r="K475" s="37">
        <v>5</v>
      </c>
      <c r="M475">
        <v>2758</v>
      </c>
      <c r="O475">
        <v>40</v>
      </c>
      <c r="P475">
        <v>15</v>
      </c>
      <c r="T475">
        <v>5</v>
      </c>
      <c r="V475" t="s">
        <v>120</v>
      </c>
      <c r="Y475" s="38">
        <v>0.90138888888888891</v>
      </c>
      <c r="Z475" s="38">
        <v>0.17986111111111111</v>
      </c>
      <c r="AA475" t="s">
        <v>117</v>
      </c>
      <c r="AC475" t="s">
        <v>136</v>
      </c>
      <c r="AD475">
        <v>0.13950000000000001</v>
      </c>
      <c r="AF475">
        <v>3.3492000000000002</v>
      </c>
      <c r="AG475">
        <v>9.2999999999999999E-2</v>
      </c>
      <c r="AQ475">
        <v>0.13950000000000001</v>
      </c>
      <c r="AR475">
        <v>0.41860000000000003</v>
      </c>
      <c r="BJ475">
        <v>0.9768</v>
      </c>
      <c r="BK475">
        <f>0</f>
        <v>0</v>
      </c>
      <c r="BL475">
        <f t="shared" si="105"/>
        <v>5.1166</v>
      </c>
      <c r="BM475">
        <f t="shared" si="106"/>
        <v>0</v>
      </c>
      <c r="BN475">
        <f t="shared" si="107"/>
        <v>0</v>
      </c>
      <c r="BO475">
        <f t="shared" si="108"/>
        <v>1</v>
      </c>
      <c r="BP475" s="37">
        <f>IF($F475="","",IFERROR(INDEX(Familias!$C$5:$C$300,MATCH($F475,Familias!$A$5:$A$300,0)),""))</f>
        <v>2370</v>
      </c>
      <c r="BQ475" s="37">
        <f t="shared" si="109"/>
        <v>11030</v>
      </c>
      <c r="BR475" s="36">
        <f t="shared" si="110"/>
        <v>6.6984000000000004</v>
      </c>
      <c r="BS475" s="36">
        <f t="shared" si="111"/>
        <v>5.1166</v>
      </c>
      <c r="BT475" s="36">
        <f t="shared" si="112"/>
        <v>1.5818000000000001</v>
      </c>
      <c r="BU475" s="36">
        <f t="shared" si="113"/>
        <v>4.6539999999999999</v>
      </c>
      <c r="BV475" s="39">
        <f t="shared" si="114"/>
        <v>2.942217726640536</v>
      </c>
      <c r="BW475" s="39">
        <f t="shared" si="115"/>
        <v>0.99954669084315506</v>
      </c>
      <c r="BX475" s="40">
        <f t="shared" si="116"/>
        <v>1.9941986947063089E-2</v>
      </c>
      <c r="BY475" s="40">
        <f t="shared" si="117"/>
        <v>0</v>
      </c>
      <c r="BZ475" t="str">
        <f t="shared" si="118"/>
        <v>Revisar rendimiento</v>
      </c>
      <c r="CA475">
        <f t="shared" si="119"/>
        <v>1</v>
      </c>
    </row>
    <row r="476" spans="1:80" x14ac:dyDescent="0.25">
      <c r="A476" s="35">
        <v>46043</v>
      </c>
      <c r="B476" s="36">
        <v>2.6751</v>
      </c>
      <c r="C476" t="s">
        <v>119</v>
      </c>
      <c r="D476" t="s">
        <v>6</v>
      </c>
      <c r="E476" t="s">
        <v>147</v>
      </c>
      <c r="F476" t="s">
        <v>175</v>
      </c>
      <c r="G476">
        <v>3284</v>
      </c>
      <c r="H476">
        <v>2140110667</v>
      </c>
      <c r="I476" t="s">
        <v>179</v>
      </c>
      <c r="J476" s="37">
        <v>4400</v>
      </c>
      <c r="K476" s="37">
        <v>5</v>
      </c>
      <c r="M476">
        <v>1901</v>
      </c>
      <c r="O476">
        <v>20</v>
      </c>
      <c r="P476">
        <v>9</v>
      </c>
      <c r="R476">
        <v>20</v>
      </c>
      <c r="T476">
        <v>3</v>
      </c>
      <c r="V476" t="s">
        <v>120</v>
      </c>
      <c r="Y476" s="38">
        <v>0.17986111111111111</v>
      </c>
      <c r="Z476" s="38">
        <v>0.29166666666666669</v>
      </c>
      <c r="AA476" t="s">
        <v>117</v>
      </c>
      <c r="AC476" t="s">
        <v>136</v>
      </c>
      <c r="AD476">
        <v>5.57E-2</v>
      </c>
      <c r="AF476">
        <v>1.3375999999999999</v>
      </c>
      <c r="AG476">
        <v>3.7199999999999997E-2</v>
      </c>
      <c r="AQ476">
        <v>5.57E-2</v>
      </c>
      <c r="AR476">
        <v>0.16719999999999999</v>
      </c>
      <c r="BJ476">
        <v>0.3901</v>
      </c>
      <c r="BK476">
        <f>0</f>
        <v>0</v>
      </c>
      <c r="BL476">
        <f t="shared" si="105"/>
        <v>2.0434999999999999</v>
      </c>
      <c r="BM476">
        <f t="shared" si="106"/>
        <v>0</v>
      </c>
      <c r="BN476">
        <f t="shared" si="107"/>
        <v>0</v>
      </c>
      <c r="BO476">
        <f t="shared" si="108"/>
        <v>1</v>
      </c>
      <c r="BP476" s="37">
        <f>IF($F476="","",IFERROR(INDEX(Familias!$C$5:$C$300,MATCH($F476,Familias!$A$5:$A$300,0)),""))</f>
        <v>2370</v>
      </c>
      <c r="BQ476" s="37">
        <f t="shared" si="109"/>
        <v>4405</v>
      </c>
      <c r="BR476" s="36">
        <f t="shared" si="110"/>
        <v>2.6751</v>
      </c>
      <c r="BS476" s="36">
        <f t="shared" si="111"/>
        <v>2.0434999999999999</v>
      </c>
      <c r="BT476" s="36">
        <f t="shared" si="112"/>
        <v>0.63160000000000005</v>
      </c>
      <c r="BU476" s="36">
        <f t="shared" si="113"/>
        <v>1.8586</v>
      </c>
      <c r="BV476" s="39">
        <f t="shared" si="114"/>
        <v>2.9426852438252058</v>
      </c>
      <c r="BW476" s="39">
        <f t="shared" si="115"/>
        <v>0.99886492622020429</v>
      </c>
      <c r="BX476" s="40">
        <f t="shared" si="116"/>
        <v>2.5775907417148868E-2</v>
      </c>
      <c r="BY476" s="40">
        <f t="shared" si="117"/>
        <v>0</v>
      </c>
      <c r="BZ476" t="str">
        <f t="shared" si="118"/>
        <v>Revisar rendimiento</v>
      </c>
      <c r="CA476">
        <f t="shared" si="119"/>
        <v>1</v>
      </c>
    </row>
    <row r="477" spans="1:80" x14ac:dyDescent="0.25">
      <c r="A477" s="35">
        <v>46044</v>
      </c>
      <c r="B477" s="36">
        <v>6.0942999999999996</v>
      </c>
      <c r="C477" t="s">
        <v>113</v>
      </c>
      <c r="D477" t="s">
        <v>6</v>
      </c>
      <c r="E477" t="s">
        <v>147</v>
      </c>
      <c r="F477" t="s">
        <v>175</v>
      </c>
      <c r="G477">
        <v>3284</v>
      </c>
      <c r="H477">
        <v>2140110667</v>
      </c>
      <c r="I477" t="s">
        <v>179</v>
      </c>
      <c r="J477" s="37">
        <v>10650</v>
      </c>
      <c r="K477" s="37">
        <v>15</v>
      </c>
      <c r="M477">
        <v>3284</v>
      </c>
      <c r="O477">
        <v>35</v>
      </c>
      <c r="P477">
        <v>34</v>
      </c>
      <c r="T477">
        <v>6</v>
      </c>
      <c r="V477" t="s">
        <v>116</v>
      </c>
      <c r="Y477" s="38">
        <v>0.29166666666666669</v>
      </c>
      <c r="Z477" s="38">
        <v>0.54583333333333328</v>
      </c>
      <c r="AA477" t="s">
        <v>200</v>
      </c>
      <c r="AB477" t="s">
        <v>226</v>
      </c>
      <c r="AC477" t="s">
        <v>121</v>
      </c>
      <c r="AD477">
        <v>8.4599999999999995E-2</v>
      </c>
      <c r="AQ477">
        <v>0.127</v>
      </c>
      <c r="AR477">
        <v>0.38090000000000002</v>
      </c>
      <c r="BJ477">
        <v>0.127</v>
      </c>
      <c r="BK477">
        <f>0</f>
        <v>0</v>
      </c>
      <c r="BL477">
        <f t="shared" si="105"/>
        <v>0.71950000000000003</v>
      </c>
      <c r="BM477">
        <f t="shared" si="106"/>
        <v>0</v>
      </c>
      <c r="BN477">
        <f t="shared" si="107"/>
        <v>0</v>
      </c>
      <c r="BO477">
        <f t="shared" si="108"/>
        <v>1</v>
      </c>
      <c r="BP477" s="37">
        <f>IF($F477="","",IFERROR(INDEX(Familias!$C$5:$C$300,MATCH($F477,Familias!$A$5:$A$300,0)),""))</f>
        <v>2370</v>
      </c>
      <c r="BQ477" s="37">
        <f t="shared" si="109"/>
        <v>10665</v>
      </c>
      <c r="BR477" s="36">
        <f t="shared" si="110"/>
        <v>6.0942999999999996</v>
      </c>
      <c r="BS477" s="36">
        <f t="shared" si="111"/>
        <v>0.71950000000000003</v>
      </c>
      <c r="BT477" s="36">
        <f t="shared" si="112"/>
        <v>5.3747999999999996</v>
      </c>
      <c r="BU477" s="36">
        <f t="shared" si="113"/>
        <v>4.5</v>
      </c>
      <c r="BV477" s="39">
        <f t="shared" si="114"/>
        <v>0.83724045545880788</v>
      </c>
      <c r="BW477" s="39">
        <f t="shared" si="115"/>
        <v>0.99859353023909991</v>
      </c>
      <c r="BX477" s="40">
        <f t="shared" si="116"/>
        <v>2.1010962241169304E-2</v>
      </c>
      <c r="BY477" s="40">
        <f t="shared" si="117"/>
        <v>0</v>
      </c>
      <c r="BZ477" t="str">
        <f t="shared" si="118"/>
        <v>Paradas no digitadas</v>
      </c>
      <c r="CA477">
        <f t="shared" si="119"/>
        <v>0</v>
      </c>
    </row>
    <row r="478" spans="1:80" x14ac:dyDescent="0.25">
      <c r="A478" s="35">
        <v>46044</v>
      </c>
      <c r="B478" s="36">
        <v>5.9057000000000004</v>
      </c>
      <c r="C478" t="s">
        <v>113</v>
      </c>
      <c r="D478" t="s">
        <v>6</v>
      </c>
      <c r="E478" t="s">
        <v>147</v>
      </c>
      <c r="F478" t="s">
        <v>175</v>
      </c>
      <c r="G478">
        <v>3285</v>
      </c>
      <c r="H478">
        <v>2140110670</v>
      </c>
      <c r="I478" t="s">
        <v>178</v>
      </c>
      <c r="J478" s="37">
        <v>10325</v>
      </c>
      <c r="K478" s="37">
        <v>10</v>
      </c>
      <c r="M478">
        <v>3285</v>
      </c>
      <c r="O478">
        <v>25</v>
      </c>
      <c r="T478">
        <v>5</v>
      </c>
      <c r="V478" t="s">
        <v>116</v>
      </c>
      <c r="Y478" s="38">
        <v>0.54583333333333328</v>
      </c>
      <c r="Z478" s="38">
        <v>0.79166666666666663</v>
      </c>
      <c r="AA478" t="s">
        <v>200</v>
      </c>
      <c r="AC478" t="s">
        <v>121</v>
      </c>
      <c r="AD478">
        <v>8.2000000000000003E-2</v>
      </c>
      <c r="AQ478">
        <v>0.123</v>
      </c>
      <c r="AR478">
        <v>0.36909999999999998</v>
      </c>
      <c r="BJ478">
        <v>0.123</v>
      </c>
      <c r="BK478">
        <f>0</f>
        <v>0</v>
      </c>
      <c r="BL478">
        <f t="shared" si="105"/>
        <v>0.69710000000000005</v>
      </c>
      <c r="BM478">
        <f t="shared" si="106"/>
        <v>0</v>
      </c>
      <c r="BN478">
        <f t="shared" si="107"/>
        <v>0</v>
      </c>
      <c r="BO478">
        <f t="shared" si="108"/>
        <v>1</v>
      </c>
      <c r="BP478" s="37">
        <f>IF($F478="","",IFERROR(INDEX(Familias!$C$5:$C$300,MATCH($F478,Familias!$A$5:$A$300,0)),""))</f>
        <v>2370</v>
      </c>
      <c r="BQ478" s="37">
        <f t="shared" si="109"/>
        <v>10335</v>
      </c>
      <c r="BR478" s="36">
        <f t="shared" si="110"/>
        <v>5.9057000000000004</v>
      </c>
      <c r="BS478" s="36">
        <f t="shared" si="111"/>
        <v>0.69710000000000005</v>
      </c>
      <c r="BT478" s="36">
        <f t="shared" si="112"/>
        <v>5.2085999999999997</v>
      </c>
      <c r="BU478" s="36">
        <f t="shared" si="113"/>
        <v>4.3608000000000002</v>
      </c>
      <c r="BV478" s="39">
        <f t="shared" si="114"/>
        <v>0.8372307337864302</v>
      </c>
      <c r="BW478" s="39">
        <f t="shared" si="115"/>
        <v>0.9990324141267537</v>
      </c>
      <c r="BX478" s="40">
        <f t="shared" si="116"/>
        <v>7.6103500761035003E-3</v>
      </c>
      <c r="BY478" s="40">
        <f t="shared" si="117"/>
        <v>0</v>
      </c>
      <c r="BZ478" t="str">
        <f t="shared" si="118"/>
        <v>Paradas no digitadas</v>
      </c>
      <c r="CA478">
        <f t="shared" si="119"/>
        <v>0</v>
      </c>
    </row>
    <row r="479" spans="1:80" x14ac:dyDescent="0.25">
      <c r="A479" s="35">
        <v>46044</v>
      </c>
      <c r="B479" s="36">
        <v>3.6810999999999998</v>
      </c>
      <c r="C479" t="s">
        <v>119</v>
      </c>
      <c r="D479" t="s">
        <v>6</v>
      </c>
      <c r="E479" t="s">
        <v>126</v>
      </c>
      <c r="F479" t="s">
        <v>133</v>
      </c>
      <c r="G479">
        <v>3309</v>
      </c>
      <c r="H479">
        <v>2140110605</v>
      </c>
      <c r="I479" t="s">
        <v>140</v>
      </c>
      <c r="J479" s="37">
        <v>3175</v>
      </c>
      <c r="K479" s="37">
        <v>10</v>
      </c>
      <c r="M479">
        <v>2772</v>
      </c>
      <c r="O479">
        <v>20</v>
      </c>
      <c r="R479">
        <v>20</v>
      </c>
      <c r="T479">
        <v>3</v>
      </c>
      <c r="V479" t="s">
        <v>120</v>
      </c>
      <c r="Y479" s="38">
        <v>0.79166666666666663</v>
      </c>
      <c r="Z479" s="38">
        <v>0.94513888888888886</v>
      </c>
      <c r="AA479" t="s">
        <v>117</v>
      </c>
      <c r="AC479" t="s">
        <v>121</v>
      </c>
      <c r="AD479">
        <v>0.30680000000000002</v>
      </c>
      <c r="AQ479">
        <v>7.6700000000000004E-2</v>
      </c>
      <c r="AR479">
        <v>0.2301</v>
      </c>
      <c r="BK479">
        <f>0</f>
        <v>0</v>
      </c>
      <c r="BL479">
        <f t="shared" si="105"/>
        <v>0.61360000000000003</v>
      </c>
      <c r="BM479">
        <f t="shared" si="106"/>
        <v>0</v>
      </c>
      <c r="BN479">
        <f t="shared" si="107"/>
        <v>0</v>
      </c>
      <c r="BO479">
        <f t="shared" si="108"/>
        <v>1</v>
      </c>
      <c r="BP479" s="37">
        <f>IF($F479="","",IFERROR(INDEX(Familias!$C$5:$C$300,MATCH($F479,Familias!$A$5:$A$300,0)),""))</f>
        <v>2320</v>
      </c>
      <c r="BQ479" s="37">
        <f t="shared" si="109"/>
        <v>3185</v>
      </c>
      <c r="BR479" s="36">
        <f t="shared" si="110"/>
        <v>3.6810999999999998</v>
      </c>
      <c r="BS479" s="36">
        <f t="shared" si="111"/>
        <v>0.61360000000000003</v>
      </c>
      <c r="BT479" s="36">
        <f t="shared" si="112"/>
        <v>3.0674999999999999</v>
      </c>
      <c r="BU479" s="36">
        <f t="shared" si="113"/>
        <v>1.3728</v>
      </c>
      <c r="BV479" s="39">
        <f t="shared" si="114"/>
        <v>0.4475305623471883</v>
      </c>
      <c r="BW479" s="39">
        <f t="shared" si="115"/>
        <v>0.99686028257456827</v>
      </c>
      <c r="BX479" s="40">
        <f t="shared" si="116"/>
        <v>1.443001443001443E-2</v>
      </c>
      <c r="BY479" s="40">
        <f t="shared" si="117"/>
        <v>0</v>
      </c>
      <c r="BZ479" t="str">
        <f t="shared" si="118"/>
        <v>OK</v>
      </c>
      <c r="CA479">
        <f t="shared" si="119"/>
        <v>1</v>
      </c>
    </row>
    <row r="480" spans="1:80" x14ac:dyDescent="0.25">
      <c r="A480" s="35">
        <v>46044</v>
      </c>
      <c r="B480" s="36">
        <v>8.3188999999999993</v>
      </c>
      <c r="C480" t="s">
        <v>119</v>
      </c>
      <c r="D480" t="s">
        <v>6</v>
      </c>
      <c r="E480" t="s">
        <v>126</v>
      </c>
      <c r="F480" t="s">
        <v>127</v>
      </c>
      <c r="G480">
        <v>3290</v>
      </c>
      <c r="H480">
        <v>2140110676</v>
      </c>
      <c r="I480" t="s">
        <v>132</v>
      </c>
      <c r="J480" s="37">
        <v>7575</v>
      </c>
      <c r="K480" s="37">
        <v>26</v>
      </c>
      <c r="M480">
        <v>1259</v>
      </c>
      <c r="O480">
        <v>40</v>
      </c>
      <c r="R480">
        <v>60</v>
      </c>
      <c r="T480">
        <v>2</v>
      </c>
      <c r="V480" t="s">
        <v>120</v>
      </c>
      <c r="Y480" s="38">
        <v>0.94513888888888886</v>
      </c>
      <c r="Z480" s="38">
        <v>0.29166666666666669</v>
      </c>
      <c r="AA480" t="s">
        <v>117</v>
      </c>
      <c r="AC480" t="s">
        <v>121</v>
      </c>
      <c r="AD480">
        <v>0.69320000000000004</v>
      </c>
      <c r="AQ480">
        <v>0.17330000000000001</v>
      </c>
      <c r="AR480">
        <v>0.51990000000000003</v>
      </c>
      <c r="BK480">
        <f>0</f>
        <v>0</v>
      </c>
      <c r="BL480">
        <f t="shared" si="105"/>
        <v>1.3864000000000001</v>
      </c>
      <c r="BM480">
        <f t="shared" si="106"/>
        <v>0</v>
      </c>
      <c r="BN480">
        <f t="shared" si="107"/>
        <v>0</v>
      </c>
      <c r="BO480">
        <f t="shared" si="108"/>
        <v>1</v>
      </c>
      <c r="BP480" s="37">
        <f>IF($F480="","",IFERROR(INDEX(Familias!$C$5:$C$300,MATCH($F480,Familias!$A$5:$A$300,0)),""))</f>
        <v>2450</v>
      </c>
      <c r="BQ480" s="37">
        <f t="shared" si="109"/>
        <v>7601</v>
      </c>
      <c r="BR480" s="36">
        <f t="shared" si="110"/>
        <v>8.3188999999999993</v>
      </c>
      <c r="BS480" s="36">
        <f t="shared" si="111"/>
        <v>1.3864000000000001</v>
      </c>
      <c r="BT480" s="36">
        <f t="shared" si="112"/>
        <v>6.9325000000000001</v>
      </c>
      <c r="BU480" s="36">
        <f t="shared" si="113"/>
        <v>3.1023999999999998</v>
      </c>
      <c r="BV480" s="39">
        <f t="shared" si="114"/>
        <v>0.44751532636134145</v>
      </c>
      <c r="BW480" s="39">
        <f t="shared" si="115"/>
        <v>0.9965793974477043</v>
      </c>
      <c r="BX480" s="40">
        <f t="shared" si="116"/>
        <v>7.9428117553613981E-2</v>
      </c>
      <c r="BY480" s="40">
        <f t="shared" si="117"/>
        <v>0</v>
      </c>
      <c r="BZ480" t="str">
        <f t="shared" si="118"/>
        <v>OK</v>
      </c>
      <c r="CA480">
        <f t="shared" si="119"/>
        <v>1</v>
      </c>
    </row>
    <row r="481" spans="1:80" x14ac:dyDescent="0.25">
      <c r="A481" s="35">
        <v>46045</v>
      </c>
      <c r="B481" s="36">
        <v>12</v>
      </c>
      <c r="C481" t="s">
        <v>113</v>
      </c>
      <c r="D481" t="s">
        <v>6</v>
      </c>
      <c r="E481" t="s">
        <v>126</v>
      </c>
      <c r="F481" t="s">
        <v>127</v>
      </c>
      <c r="G481">
        <v>3290</v>
      </c>
      <c r="H481">
        <v>2140110676</v>
      </c>
      <c r="I481" t="s">
        <v>132</v>
      </c>
      <c r="J481" s="37">
        <v>1825</v>
      </c>
      <c r="K481" s="37">
        <v>5</v>
      </c>
      <c r="M481">
        <v>6871</v>
      </c>
      <c r="O481">
        <v>135</v>
      </c>
      <c r="P481">
        <v>41</v>
      </c>
      <c r="Q481">
        <v>95</v>
      </c>
      <c r="T481">
        <v>9</v>
      </c>
      <c r="V481" t="s">
        <v>116</v>
      </c>
      <c r="Y481" s="38">
        <v>0.29166666666666669</v>
      </c>
      <c r="Z481" s="38">
        <v>0.79166666666666663</v>
      </c>
      <c r="AA481" t="s">
        <v>117</v>
      </c>
      <c r="AC481" t="s">
        <v>118</v>
      </c>
      <c r="AD481">
        <v>0.16669999999999999</v>
      </c>
      <c r="AQ481">
        <v>0.25</v>
      </c>
      <c r="AR481">
        <v>0.75</v>
      </c>
      <c r="BK481">
        <f>0</f>
        <v>0</v>
      </c>
      <c r="BL481">
        <f t="shared" si="105"/>
        <v>1.1667000000000001</v>
      </c>
      <c r="BM481">
        <f t="shared" si="106"/>
        <v>0</v>
      </c>
      <c r="BN481">
        <f t="shared" si="107"/>
        <v>0</v>
      </c>
      <c r="BO481">
        <f t="shared" si="108"/>
        <v>1</v>
      </c>
      <c r="BP481" s="37">
        <f>IF($F481="","",IFERROR(INDEX(Familias!$C$5:$C$300,MATCH($F481,Familias!$A$5:$A$300,0)),""))</f>
        <v>2450</v>
      </c>
      <c r="BQ481" s="37">
        <f t="shared" si="109"/>
        <v>1830</v>
      </c>
      <c r="BR481" s="36">
        <f t="shared" si="110"/>
        <v>12</v>
      </c>
      <c r="BS481" s="36">
        <f t="shared" si="111"/>
        <v>1.1667000000000001</v>
      </c>
      <c r="BT481" s="36">
        <f t="shared" si="112"/>
        <v>10.833299999999999</v>
      </c>
      <c r="BU481" s="36">
        <f t="shared" si="113"/>
        <v>0.74690000000000001</v>
      </c>
      <c r="BV481" s="39">
        <f t="shared" si="114"/>
        <v>6.8944827522546229E-2</v>
      </c>
      <c r="BW481" s="39">
        <f t="shared" si="115"/>
        <v>0.99726775956284153</v>
      </c>
      <c r="BX481" s="40">
        <f t="shared" si="116"/>
        <v>2.5614903216416823E-2</v>
      </c>
      <c r="BY481" s="40">
        <f t="shared" si="117"/>
        <v>1.3826226167952264E-2</v>
      </c>
      <c r="BZ481" t="str">
        <f t="shared" si="118"/>
        <v>OK</v>
      </c>
      <c r="CA481">
        <f t="shared" si="119"/>
        <v>1</v>
      </c>
    </row>
    <row r="482" spans="1:80" x14ac:dyDescent="0.25">
      <c r="A482" s="35">
        <v>46045</v>
      </c>
      <c r="B482" s="36">
        <v>12</v>
      </c>
      <c r="C482" t="s">
        <v>119</v>
      </c>
      <c r="D482" t="s">
        <v>6</v>
      </c>
      <c r="E482" t="s">
        <v>126</v>
      </c>
      <c r="F482" t="s">
        <v>127</v>
      </c>
      <c r="G482">
        <v>3309</v>
      </c>
      <c r="H482">
        <v>2140110676</v>
      </c>
      <c r="I482" t="s">
        <v>132</v>
      </c>
      <c r="J482" s="37">
        <v>4450</v>
      </c>
      <c r="K482" s="37">
        <v>10</v>
      </c>
      <c r="M482">
        <v>1653</v>
      </c>
      <c r="O482">
        <v>20</v>
      </c>
      <c r="P482">
        <v>6</v>
      </c>
      <c r="Q482">
        <v>55</v>
      </c>
      <c r="T482">
        <v>2</v>
      </c>
      <c r="V482" t="s">
        <v>120</v>
      </c>
      <c r="Y482" s="38">
        <v>0.79166666666666663</v>
      </c>
      <c r="Z482" s="38">
        <v>0.29166666666666669</v>
      </c>
      <c r="AA482" t="s">
        <v>117</v>
      </c>
      <c r="AC482" t="s">
        <v>118</v>
      </c>
      <c r="AD482">
        <v>0.25</v>
      </c>
      <c r="AF482">
        <v>8.25</v>
      </c>
      <c r="AG482">
        <v>1.75</v>
      </c>
      <c r="AQ482">
        <v>0.25</v>
      </c>
      <c r="AR482">
        <v>0.75</v>
      </c>
      <c r="BK482">
        <f>0</f>
        <v>0</v>
      </c>
      <c r="BL482">
        <f t="shared" si="105"/>
        <v>11.25</v>
      </c>
      <c r="BM482">
        <f t="shared" si="106"/>
        <v>0</v>
      </c>
      <c r="BN482">
        <f t="shared" si="107"/>
        <v>0</v>
      </c>
      <c r="BO482">
        <f t="shared" si="108"/>
        <v>1</v>
      </c>
      <c r="BP482" s="37">
        <f>IF($F482="","",IFERROR(INDEX(Familias!$C$5:$C$300,MATCH($F482,Familias!$A$5:$A$300,0)),""))</f>
        <v>2450</v>
      </c>
      <c r="BQ482" s="37">
        <f t="shared" si="109"/>
        <v>4460</v>
      </c>
      <c r="BR482" s="36">
        <f t="shared" si="110"/>
        <v>12</v>
      </c>
      <c r="BS482" s="36">
        <f t="shared" si="111"/>
        <v>11.25</v>
      </c>
      <c r="BT482" s="36">
        <f t="shared" si="112"/>
        <v>0.75</v>
      </c>
      <c r="BU482" s="36">
        <f t="shared" si="113"/>
        <v>1.8204</v>
      </c>
      <c r="BV482" s="39">
        <f t="shared" si="114"/>
        <v>2.4272</v>
      </c>
      <c r="BW482" s="39">
        <f t="shared" si="115"/>
        <v>0.99775784753363228</v>
      </c>
      <c r="BX482" s="40">
        <f t="shared" si="116"/>
        <v>1.572897761645493E-2</v>
      </c>
      <c r="BY482" s="40">
        <f t="shared" si="117"/>
        <v>3.327283726557774E-2</v>
      </c>
      <c r="BZ482" t="str">
        <f t="shared" si="118"/>
        <v>Revisar rendimiento</v>
      </c>
      <c r="CA482">
        <f t="shared" si="119"/>
        <v>1</v>
      </c>
    </row>
    <row r="483" spans="1:80" x14ac:dyDescent="0.25">
      <c r="A483" s="35">
        <v>46046</v>
      </c>
      <c r="B483" s="36">
        <v>12</v>
      </c>
      <c r="C483" t="s">
        <v>113</v>
      </c>
      <c r="D483" t="s">
        <v>6</v>
      </c>
      <c r="E483" t="s">
        <v>126</v>
      </c>
      <c r="F483" t="s">
        <v>127</v>
      </c>
      <c r="G483">
        <v>3320</v>
      </c>
      <c r="H483">
        <v>2140110675</v>
      </c>
      <c r="I483" t="s">
        <v>131</v>
      </c>
      <c r="J483" s="37">
        <v>13300</v>
      </c>
      <c r="K483" s="37">
        <v>15</v>
      </c>
      <c r="M483">
        <v>5056</v>
      </c>
      <c r="P483">
        <v>30</v>
      </c>
      <c r="Q483">
        <v>25</v>
      </c>
      <c r="T483">
        <v>7</v>
      </c>
      <c r="V483" t="s">
        <v>116</v>
      </c>
      <c r="Y483" s="38">
        <v>0.29166666666666669</v>
      </c>
      <c r="Z483" s="38">
        <v>0.79166666666666663</v>
      </c>
      <c r="AA483" t="s">
        <v>117</v>
      </c>
      <c r="AC483" t="s">
        <v>118</v>
      </c>
      <c r="AD483">
        <v>2.3332999999999999</v>
      </c>
      <c r="AE483">
        <v>0.66669999999999996</v>
      </c>
      <c r="AQ483">
        <v>0.25</v>
      </c>
      <c r="AR483">
        <v>0.75</v>
      </c>
      <c r="BJ483">
        <v>0.41670000000000001</v>
      </c>
      <c r="BK483">
        <f>0</f>
        <v>0</v>
      </c>
      <c r="BL483">
        <f t="shared" si="105"/>
        <v>4.4166999999999996</v>
      </c>
      <c r="BM483">
        <f t="shared" si="106"/>
        <v>0</v>
      </c>
      <c r="BN483">
        <f t="shared" si="107"/>
        <v>0</v>
      </c>
      <c r="BO483">
        <f t="shared" si="108"/>
        <v>1</v>
      </c>
      <c r="BP483" s="37">
        <f>IF($F483="","",IFERROR(INDEX(Familias!$C$5:$C$300,MATCH($F483,Familias!$A$5:$A$300,0)),""))</f>
        <v>2450</v>
      </c>
      <c r="BQ483" s="37">
        <f t="shared" si="109"/>
        <v>13315</v>
      </c>
      <c r="BR483" s="36">
        <f t="shared" si="110"/>
        <v>12</v>
      </c>
      <c r="BS483" s="36">
        <f t="shared" si="111"/>
        <v>4.4166999999999996</v>
      </c>
      <c r="BT483" s="36">
        <f t="shared" si="112"/>
        <v>7.5833000000000004</v>
      </c>
      <c r="BU483" s="36">
        <f t="shared" si="113"/>
        <v>5.4347000000000003</v>
      </c>
      <c r="BV483" s="39">
        <f t="shared" si="114"/>
        <v>0.71666688644785248</v>
      </c>
      <c r="BW483" s="39">
        <f t="shared" si="115"/>
        <v>0.99887345099511826</v>
      </c>
      <c r="BX483" s="40">
        <f t="shared" si="116"/>
        <v>5.9335443037974687E-3</v>
      </c>
      <c r="BY483" s="40">
        <f t="shared" si="117"/>
        <v>4.9446202531645573E-3</v>
      </c>
      <c r="BZ483" t="str">
        <f t="shared" si="118"/>
        <v>OK</v>
      </c>
      <c r="CA483">
        <f t="shared" si="119"/>
        <v>1</v>
      </c>
    </row>
    <row r="484" spans="1:80" x14ac:dyDescent="0.25">
      <c r="A484" s="35">
        <v>46046</v>
      </c>
      <c r="B484" s="36">
        <v>9.2039000000000009</v>
      </c>
      <c r="C484" t="s">
        <v>119</v>
      </c>
      <c r="D484" t="s">
        <v>6</v>
      </c>
      <c r="E484" t="s">
        <v>126</v>
      </c>
      <c r="F484" t="s">
        <v>127</v>
      </c>
      <c r="G484">
        <v>3320</v>
      </c>
      <c r="H484">
        <v>2140110675</v>
      </c>
      <c r="I484" t="s">
        <v>131</v>
      </c>
      <c r="J484" s="37">
        <v>10725</v>
      </c>
      <c r="K484" s="37">
        <v>10</v>
      </c>
      <c r="M484">
        <v>3860</v>
      </c>
      <c r="O484">
        <v>40</v>
      </c>
      <c r="P484">
        <v>15</v>
      </c>
      <c r="Q484">
        <v>34</v>
      </c>
      <c r="T484">
        <v>4</v>
      </c>
      <c r="V484" t="s">
        <v>120</v>
      </c>
      <c r="Y484" s="38">
        <v>0.79166666666666663</v>
      </c>
      <c r="Z484" s="38">
        <v>0.17499999999999999</v>
      </c>
      <c r="AA484" t="s">
        <v>117</v>
      </c>
      <c r="AC484" t="s">
        <v>121</v>
      </c>
      <c r="AD484">
        <v>0.19170000000000001</v>
      </c>
      <c r="AF484">
        <v>1.1505000000000001</v>
      </c>
      <c r="AG484">
        <v>0.25569999999999998</v>
      </c>
      <c r="AR484">
        <v>0.57520000000000004</v>
      </c>
      <c r="BC484">
        <v>1.534</v>
      </c>
      <c r="BK484">
        <f>0</f>
        <v>0</v>
      </c>
      <c r="BL484">
        <f t="shared" si="105"/>
        <v>3.7071000000000005</v>
      </c>
      <c r="BM484">
        <f t="shared" si="106"/>
        <v>0</v>
      </c>
      <c r="BN484">
        <f t="shared" si="107"/>
        <v>0</v>
      </c>
      <c r="BO484">
        <f t="shared" si="108"/>
        <v>1</v>
      </c>
      <c r="BP484" s="37">
        <f>IF($F484="","",IFERROR(INDEX(Familias!$C$5:$C$300,MATCH($F484,Familias!$A$5:$A$300,0)),""))</f>
        <v>2450</v>
      </c>
      <c r="BQ484" s="37">
        <f t="shared" si="109"/>
        <v>10735</v>
      </c>
      <c r="BR484" s="36">
        <f t="shared" si="110"/>
        <v>9.2039000000000009</v>
      </c>
      <c r="BS484" s="36">
        <f t="shared" si="111"/>
        <v>3.7071000000000001</v>
      </c>
      <c r="BT484" s="36">
        <f t="shared" si="112"/>
        <v>5.4968000000000004</v>
      </c>
      <c r="BU484" s="36">
        <f t="shared" si="113"/>
        <v>4.3815999999999997</v>
      </c>
      <c r="BV484" s="39">
        <f t="shared" si="114"/>
        <v>0.79711832338815303</v>
      </c>
      <c r="BW484" s="39">
        <f t="shared" si="115"/>
        <v>0.99906846762925017</v>
      </c>
      <c r="BX484" s="40">
        <f t="shared" si="116"/>
        <v>1.4248704663212436E-2</v>
      </c>
      <c r="BY484" s="40">
        <f t="shared" si="117"/>
        <v>8.8082901554404139E-3</v>
      </c>
      <c r="BZ484" t="str">
        <f t="shared" si="118"/>
        <v>OK</v>
      </c>
      <c r="CA484">
        <f t="shared" si="119"/>
        <v>1</v>
      </c>
    </row>
    <row r="485" spans="1:80" x14ac:dyDescent="0.25">
      <c r="A485" s="35">
        <v>46046</v>
      </c>
      <c r="B485" s="36">
        <v>2.7961</v>
      </c>
      <c r="C485" t="s">
        <v>119</v>
      </c>
      <c r="D485" t="s">
        <v>6</v>
      </c>
      <c r="E485" t="s">
        <v>147</v>
      </c>
      <c r="F485" t="s">
        <v>147</v>
      </c>
      <c r="G485">
        <v>3321</v>
      </c>
      <c r="H485">
        <v>2140110716</v>
      </c>
      <c r="I485" t="s">
        <v>227</v>
      </c>
      <c r="J485" s="37">
        <v>3025</v>
      </c>
      <c r="K485" s="37">
        <v>10</v>
      </c>
      <c r="M485">
        <v>925.5</v>
      </c>
      <c r="O485">
        <v>20</v>
      </c>
      <c r="P485">
        <v>6</v>
      </c>
      <c r="Q485">
        <v>10</v>
      </c>
      <c r="R485">
        <v>40</v>
      </c>
      <c r="T485">
        <v>2</v>
      </c>
      <c r="V485" t="s">
        <v>120</v>
      </c>
      <c r="Y485" s="38">
        <v>0.17499999999999999</v>
      </c>
      <c r="Z485" s="38">
        <v>0.29166666666666669</v>
      </c>
      <c r="AA485" t="s">
        <v>117</v>
      </c>
      <c r="AC485" t="s">
        <v>121</v>
      </c>
      <c r="AD485">
        <v>5.8299999999999998E-2</v>
      </c>
      <c r="AF485">
        <v>0.34949999999999998</v>
      </c>
      <c r="AG485">
        <v>7.7700000000000005E-2</v>
      </c>
      <c r="AR485">
        <v>0.17480000000000001</v>
      </c>
      <c r="BC485">
        <v>0.46600000000000003</v>
      </c>
      <c r="BK485">
        <f>0</f>
        <v>0</v>
      </c>
      <c r="BL485">
        <f t="shared" si="105"/>
        <v>1.1263000000000001</v>
      </c>
      <c r="BM485">
        <f t="shared" si="106"/>
        <v>0</v>
      </c>
      <c r="BN485">
        <f t="shared" si="107"/>
        <v>0</v>
      </c>
      <c r="BO485">
        <f t="shared" si="108"/>
        <v>1</v>
      </c>
      <c r="BP485" s="37">
        <f>IF($F485="","",IFERROR(INDEX(Familias!$C$5:$C$300,MATCH($F485,Familias!$A$5:$A$300,0)),""))</f>
        <v>2280</v>
      </c>
      <c r="BQ485" s="37">
        <f t="shared" si="109"/>
        <v>3035</v>
      </c>
      <c r="BR485" s="36">
        <f t="shared" si="110"/>
        <v>2.7961</v>
      </c>
      <c r="BS485" s="36">
        <f t="shared" si="111"/>
        <v>1.1263000000000001</v>
      </c>
      <c r="BT485" s="36">
        <f t="shared" si="112"/>
        <v>1.6698</v>
      </c>
      <c r="BU485" s="36">
        <f t="shared" si="113"/>
        <v>1.3310999999999999</v>
      </c>
      <c r="BV485" s="39">
        <f t="shared" si="114"/>
        <v>0.79716133668702838</v>
      </c>
      <c r="BW485" s="39">
        <f t="shared" si="115"/>
        <v>0.99670510708401971</v>
      </c>
      <c r="BX485" s="40">
        <f t="shared" si="116"/>
        <v>7.1312803889789306E-2</v>
      </c>
      <c r="BY485" s="40">
        <f t="shared" si="117"/>
        <v>1.0804970286331712E-2</v>
      </c>
      <c r="BZ485" t="str">
        <f t="shared" si="118"/>
        <v>OK</v>
      </c>
      <c r="CA485">
        <f t="shared" si="119"/>
        <v>1</v>
      </c>
    </row>
    <row r="486" spans="1:80" x14ac:dyDescent="0.25">
      <c r="A486" s="35">
        <v>46048</v>
      </c>
      <c r="B486" s="36">
        <v>5.3438999999999997</v>
      </c>
      <c r="C486" t="s">
        <v>113</v>
      </c>
      <c r="D486" t="s">
        <v>6</v>
      </c>
      <c r="E486" t="s">
        <v>147</v>
      </c>
      <c r="F486" t="s">
        <v>193</v>
      </c>
      <c r="G486">
        <v>3314</v>
      </c>
      <c r="H486">
        <v>2140110713</v>
      </c>
      <c r="I486" t="s">
        <v>228</v>
      </c>
      <c r="J486" s="37">
        <v>6000</v>
      </c>
      <c r="K486" s="37"/>
      <c r="M486">
        <v>2448</v>
      </c>
      <c r="O486">
        <v>50</v>
      </c>
      <c r="P486">
        <v>12</v>
      </c>
      <c r="T486">
        <v>4</v>
      </c>
      <c r="V486" t="s">
        <v>120</v>
      </c>
      <c r="Y486" s="38">
        <v>0.29166666666666669</v>
      </c>
      <c r="Z486" s="38">
        <v>0.51458333333333328</v>
      </c>
      <c r="AA486" t="s">
        <v>117</v>
      </c>
      <c r="AC486" t="s">
        <v>136</v>
      </c>
      <c r="AD486">
        <v>0.44529999999999997</v>
      </c>
      <c r="AF486">
        <v>0.1484</v>
      </c>
      <c r="AG486">
        <v>1.6329</v>
      </c>
      <c r="AI486">
        <v>1.4101999999999999</v>
      </c>
      <c r="AQ486">
        <v>0.1113</v>
      </c>
      <c r="AR486">
        <v>0.33400000000000002</v>
      </c>
      <c r="AS486">
        <v>0.70509999999999995</v>
      </c>
      <c r="BK486">
        <f>0</f>
        <v>0</v>
      </c>
      <c r="BL486">
        <f t="shared" si="105"/>
        <v>4.7871999999999995</v>
      </c>
      <c r="BM486">
        <f t="shared" si="106"/>
        <v>0</v>
      </c>
      <c r="BN486">
        <f t="shared" si="107"/>
        <v>0</v>
      </c>
      <c r="BO486">
        <f t="shared" si="108"/>
        <v>1</v>
      </c>
      <c r="BP486" s="37">
        <f>IF($F486="","",IFERROR(INDEX(Familias!$C$5:$C$300,MATCH($F486,Familias!$A$5:$A$300,0)),""))</f>
        <v>1880</v>
      </c>
      <c r="BQ486" s="37">
        <f t="shared" si="109"/>
        <v>6000</v>
      </c>
      <c r="BR486" s="36">
        <f t="shared" si="110"/>
        <v>5.3438999999999997</v>
      </c>
      <c r="BS486" s="36">
        <f t="shared" si="111"/>
        <v>4.7872000000000003</v>
      </c>
      <c r="BT486" s="36">
        <f t="shared" si="112"/>
        <v>0.55669999999999997</v>
      </c>
      <c r="BU486" s="36">
        <f t="shared" si="113"/>
        <v>3.1915</v>
      </c>
      <c r="BV486" s="39">
        <f t="shared" si="114"/>
        <v>5.7328902460930484</v>
      </c>
      <c r="BW486" s="39">
        <f t="shared" si="115"/>
        <v>1</v>
      </c>
      <c r="BX486" s="40">
        <f t="shared" si="116"/>
        <v>2.5326797385620915E-2</v>
      </c>
      <c r="BY486" s="40">
        <f t="shared" si="117"/>
        <v>0</v>
      </c>
      <c r="BZ486" t="str">
        <f t="shared" si="118"/>
        <v>Revisar rendimiento</v>
      </c>
      <c r="CA486">
        <f t="shared" si="119"/>
        <v>1</v>
      </c>
    </row>
    <row r="487" spans="1:80" x14ac:dyDescent="0.25">
      <c r="A487" s="35">
        <v>46048</v>
      </c>
      <c r="B487" s="36">
        <v>5.1627999999999998</v>
      </c>
      <c r="C487" t="s">
        <v>113</v>
      </c>
      <c r="D487" t="s">
        <v>6</v>
      </c>
      <c r="E487" t="s">
        <v>147</v>
      </c>
      <c r="F487" t="s">
        <v>147</v>
      </c>
      <c r="G487">
        <v>3321</v>
      </c>
      <c r="H487">
        <v>2140110716</v>
      </c>
      <c r="I487" t="s">
        <v>227</v>
      </c>
      <c r="J487" s="37">
        <v>7025</v>
      </c>
      <c r="K487" s="37">
        <v>5</v>
      </c>
      <c r="M487">
        <v>2117</v>
      </c>
      <c r="O487">
        <v>50</v>
      </c>
      <c r="P487">
        <v>12</v>
      </c>
      <c r="T487">
        <v>4</v>
      </c>
      <c r="V487" t="s">
        <v>120</v>
      </c>
      <c r="Y487" s="38">
        <v>0.51458333333333328</v>
      </c>
      <c r="Z487" s="38">
        <v>0.72916666666666663</v>
      </c>
      <c r="AA487" t="s">
        <v>117</v>
      </c>
      <c r="AC487" t="s">
        <v>136</v>
      </c>
      <c r="AD487">
        <v>0.43020000000000003</v>
      </c>
      <c r="AF487">
        <v>0.1434</v>
      </c>
      <c r="AG487">
        <v>1.5774999999999999</v>
      </c>
      <c r="AI487">
        <v>1.3624000000000001</v>
      </c>
      <c r="AQ487">
        <v>0.1076</v>
      </c>
      <c r="AR487">
        <v>0.32269999999999999</v>
      </c>
      <c r="AS487">
        <v>0.68120000000000003</v>
      </c>
      <c r="BK487">
        <f>0</f>
        <v>0</v>
      </c>
      <c r="BL487">
        <f t="shared" si="105"/>
        <v>4.625</v>
      </c>
      <c r="BM487">
        <f t="shared" si="106"/>
        <v>0</v>
      </c>
      <c r="BN487">
        <f t="shared" si="107"/>
        <v>0</v>
      </c>
      <c r="BO487">
        <f t="shared" si="108"/>
        <v>1</v>
      </c>
      <c r="BP487" s="37">
        <f>IF($F487="","",IFERROR(INDEX(Familias!$C$5:$C$300,MATCH($F487,Familias!$A$5:$A$300,0)),""))</f>
        <v>2280</v>
      </c>
      <c r="BQ487" s="37">
        <f t="shared" si="109"/>
        <v>7030</v>
      </c>
      <c r="BR487" s="36">
        <f t="shared" si="110"/>
        <v>5.1627999999999998</v>
      </c>
      <c r="BS487" s="36">
        <f t="shared" si="111"/>
        <v>4.625</v>
      </c>
      <c r="BT487" s="36">
        <f t="shared" si="112"/>
        <v>0.53779999999999994</v>
      </c>
      <c r="BU487" s="36">
        <f t="shared" si="113"/>
        <v>3.0832999999999999</v>
      </c>
      <c r="BV487" s="39">
        <f t="shared" si="114"/>
        <v>5.7331721829676461</v>
      </c>
      <c r="BW487" s="39">
        <f t="shared" si="115"/>
        <v>0.99928876244665721</v>
      </c>
      <c r="BX487" s="40">
        <f t="shared" si="116"/>
        <v>2.9286726499763816E-2</v>
      </c>
      <c r="BY487" s="40">
        <f t="shared" si="117"/>
        <v>0</v>
      </c>
      <c r="BZ487" t="str">
        <f t="shared" si="118"/>
        <v>Revisar rendimiento</v>
      </c>
      <c r="CA487">
        <f t="shared" si="119"/>
        <v>1</v>
      </c>
    </row>
    <row r="488" spans="1:80" x14ac:dyDescent="0.25">
      <c r="A488" s="35">
        <v>46048</v>
      </c>
      <c r="B488" s="36">
        <v>1.4933000000000001</v>
      </c>
      <c r="C488" t="s">
        <v>113</v>
      </c>
      <c r="D488" t="s">
        <v>6</v>
      </c>
      <c r="E488" t="s">
        <v>126</v>
      </c>
      <c r="F488" t="s">
        <v>127</v>
      </c>
      <c r="G488">
        <v>3294</v>
      </c>
      <c r="H488">
        <v>2140110674</v>
      </c>
      <c r="I488" t="s">
        <v>130</v>
      </c>
      <c r="J488" s="37">
        <v>2175</v>
      </c>
      <c r="K488" s="37">
        <v>10</v>
      </c>
      <c r="M488">
        <v>1016</v>
      </c>
      <c r="O488">
        <v>20</v>
      </c>
      <c r="P488">
        <v>6</v>
      </c>
      <c r="Q488">
        <v>25</v>
      </c>
      <c r="R488">
        <v>40</v>
      </c>
      <c r="T488">
        <v>2</v>
      </c>
      <c r="V488" t="s">
        <v>120</v>
      </c>
      <c r="Y488" s="38">
        <v>0.72916666666666663</v>
      </c>
      <c r="Z488" s="38">
        <v>0.79166666666666663</v>
      </c>
      <c r="AA488" t="s">
        <v>117</v>
      </c>
      <c r="AC488" t="s">
        <v>136</v>
      </c>
      <c r="AD488">
        <v>0.1244</v>
      </c>
      <c r="AF488">
        <v>4.1500000000000002E-2</v>
      </c>
      <c r="AG488">
        <v>0.45629999999999998</v>
      </c>
      <c r="AI488">
        <v>0.39410000000000001</v>
      </c>
      <c r="AQ488">
        <v>3.1099999999999999E-2</v>
      </c>
      <c r="AR488">
        <v>9.3299999999999994E-2</v>
      </c>
      <c r="AS488">
        <v>0.19700000000000001</v>
      </c>
      <c r="BK488">
        <f>0</f>
        <v>0</v>
      </c>
      <c r="BL488">
        <f t="shared" si="105"/>
        <v>1.3376999999999999</v>
      </c>
      <c r="BM488">
        <f t="shared" si="106"/>
        <v>0</v>
      </c>
      <c r="BN488">
        <f t="shared" si="107"/>
        <v>0</v>
      </c>
      <c r="BO488">
        <f t="shared" si="108"/>
        <v>1</v>
      </c>
      <c r="BP488" s="37">
        <f>IF($F488="","",IFERROR(INDEX(Familias!$C$5:$C$300,MATCH($F488,Familias!$A$5:$A$300,0)),""))</f>
        <v>2450</v>
      </c>
      <c r="BQ488" s="37">
        <f t="shared" si="109"/>
        <v>2185</v>
      </c>
      <c r="BR488" s="36">
        <f t="shared" si="110"/>
        <v>1.4933000000000001</v>
      </c>
      <c r="BS488" s="36">
        <f t="shared" si="111"/>
        <v>1.3376999999999999</v>
      </c>
      <c r="BT488" s="36">
        <f t="shared" si="112"/>
        <v>0.15559999999999999</v>
      </c>
      <c r="BU488" s="36">
        <f t="shared" si="113"/>
        <v>0.89180000000000004</v>
      </c>
      <c r="BV488" s="39">
        <f t="shared" si="114"/>
        <v>5.7313624678663242</v>
      </c>
      <c r="BW488" s="39">
        <f t="shared" si="115"/>
        <v>0.99542334096109841</v>
      </c>
      <c r="BX488" s="40">
        <f t="shared" si="116"/>
        <v>6.4960629921259838E-2</v>
      </c>
      <c r="BY488" s="40">
        <f t="shared" si="117"/>
        <v>2.4606299212598427E-2</v>
      </c>
      <c r="BZ488" t="str">
        <f t="shared" si="118"/>
        <v>Revisar rendimiento</v>
      </c>
      <c r="CA488">
        <f t="shared" si="119"/>
        <v>1</v>
      </c>
    </row>
    <row r="489" spans="1:80" x14ac:dyDescent="0.25">
      <c r="A489" s="35">
        <v>46048</v>
      </c>
      <c r="B489" s="36">
        <v>12</v>
      </c>
      <c r="C489" t="s">
        <v>119</v>
      </c>
      <c r="D489" t="s">
        <v>6</v>
      </c>
      <c r="E489" t="s">
        <v>126</v>
      </c>
      <c r="F489" t="s">
        <v>127</v>
      </c>
      <c r="G489">
        <v>3294</v>
      </c>
      <c r="H489">
        <v>2140110674</v>
      </c>
      <c r="I489" t="s">
        <v>130</v>
      </c>
      <c r="J489" s="37">
        <v>19025</v>
      </c>
      <c r="K489" s="37">
        <v>20</v>
      </c>
      <c r="M489">
        <v>7115</v>
      </c>
      <c r="O489">
        <v>150</v>
      </c>
      <c r="P489">
        <v>40</v>
      </c>
      <c r="Q489">
        <v>67</v>
      </c>
      <c r="T489">
        <v>9</v>
      </c>
      <c r="V489" t="s">
        <v>116</v>
      </c>
      <c r="Y489" s="38">
        <v>0.79166666666666663</v>
      </c>
      <c r="Z489" s="38">
        <v>0.29166666666666669</v>
      </c>
      <c r="AA489" t="s">
        <v>117</v>
      </c>
      <c r="AC489" t="s">
        <v>118</v>
      </c>
      <c r="AD489">
        <v>0.25</v>
      </c>
      <c r="AO489">
        <v>0.33329999999999999</v>
      </c>
      <c r="AQ489">
        <v>0.25</v>
      </c>
      <c r="AR489">
        <v>0.75</v>
      </c>
      <c r="BK489">
        <f>0</f>
        <v>0</v>
      </c>
      <c r="BL489">
        <f t="shared" si="105"/>
        <v>1.5832999999999999</v>
      </c>
      <c r="BM489">
        <f t="shared" si="106"/>
        <v>0</v>
      </c>
      <c r="BN489">
        <f t="shared" si="107"/>
        <v>0</v>
      </c>
      <c r="BO489">
        <f t="shared" si="108"/>
        <v>1</v>
      </c>
      <c r="BP489" s="37">
        <f>IF($F489="","",IFERROR(INDEX(Familias!$C$5:$C$300,MATCH($F489,Familias!$A$5:$A$300,0)),""))</f>
        <v>2450</v>
      </c>
      <c r="BQ489" s="37">
        <f t="shared" si="109"/>
        <v>19045</v>
      </c>
      <c r="BR489" s="36">
        <f t="shared" si="110"/>
        <v>12</v>
      </c>
      <c r="BS489" s="36">
        <f t="shared" si="111"/>
        <v>1.5832999999999999</v>
      </c>
      <c r="BT489" s="36">
        <f t="shared" si="112"/>
        <v>10.416700000000001</v>
      </c>
      <c r="BU489" s="36">
        <f t="shared" si="113"/>
        <v>7.7735000000000003</v>
      </c>
      <c r="BV489" s="39">
        <f t="shared" si="114"/>
        <v>0.74625361198844165</v>
      </c>
      <c r="BW489" s="39">
        <f t="shared" si="115"/>
        <v>0.99894985560514571</v>
      </c>
      <c r="BX489" s="40">
        <f t="shared" si="116"/>
        <v>2.6704146170063246E-2</v>
      </c>
      <c r="BY489" s="40">
        <f t="shared" si="117"/>
        <v>9.4167252283907238E-3</v>
      </c>
      <c r="BZ489" t="str">
        <f t="shared" si="118"/>
        <v>OK</v>
      </c>
      <c r="CA489">
        <f t="shared" si="119"/>
        <v>1</v>
      </c>
    </row>
    <row r="490" spans="1:80" x14ac:dyDescent="0.25">
      <c r="A490" s="35">
        <v>46049</v>
      </c>
      <c r="B490" s="36">
        <v>4.1859000000000002</v>
      </c>
      <c r="C490" t="s">
        <v>113</v>
      </c>
      <c r="D490" t="s">
        <v>6</v>
      </c>
      <c r="E490" t="s">
        <v>126</v>
      </c>
      <c r="F490" t="s">
        <v>127</v>
      </c>
      <c r="G490">
        <v>3294</v>
      </c>
      <c r="H490">
        <v>2140110674</v>
      </c>
      <c r="I490" t="s">
        <v>130</v>
      </c>
      <c r="J490" s="37">
        <v>3825</v>
      </c>
      <c r="K490" s="37">
        <v>10</v>
      </c>
      <c r="M490">
        <v>2325</v>
      </c>
      <c r="O490">
        <v>25</v>
      </c>
      <c r="T490">
        <v>2</v>
      </c>
      <c r="V490" t="s">
        <v>120</v>
      </c>
      <c r="Y490" s="38">
        <v>0.29166666666666669</v>
      </c>
      <c r="Z490" s="38">
        <v>0.46597222222222218</v>
      </c>
      <c r="AA490" t="s">
        <v>117</v>
      </c>
      <c r="AC490" t="s">
        <v>136</v>
      </c>
      <c r="AD490">
        <v>0.1163</v>
      </c>
      <c r="AF490">
        <v>1.2209000000000001</v>
      </c>
      <c r="AG490">
        <v>0.93020000000000003</v>
      </c>
      <c r="AQ490">
        <v>8.72E-2</v>
      </c>
      <c r="AR490">
        <v>0.2616</v>
      </c>
      <c r="BJ490">
        <v>0.84299999999999997</v>
      </c>
      <c r="BK490">
        <f>0</f>
        <v>0</v>
      </c>
      <c r="BL490">
        <f t="shared" si="105"/>
        <v>3.4592000000000005</v>
      </c>
      <c r="BM490">
        <f t="shared" si="106"/>
        <v>0</v>
      </c>
      <c r="BN490">
        <f t="shared" si="107"/>
        <v>0</v>
      </c>
      <c r="BO490">
        <f t="shared" si="108"/>
        <v>1</v>
      </c>
      <c r="BP490" s="37">
        <f>IF($F490="","",IFERROR(INDEX(Familias!$C$5:$C$300,MATCH($F490,Familias!$A$5:$A$300,0)),""))</f>
        <v>2450</v>
      </c>
      <c r="BQ490" s="37">
        <f t="shared" si="109"/>
        <v>3835</v>
      </c>
      <c r="BR490" s="36">
        <f t="shared" si="110"/>
        <v>4.1859000000000002</v>
      </c>
      <c r="BS490" s="36">
        <f t="shared" si="111"/>
        <v>3.4592000000000001</v>
      </c>
      <c r="BT490" s="36">
        <f t="shared" si="112"/>
        <v>0.72670000000000001</v>
      </c>
      <c r="BU490" s="36">
        <f t="shared" si="113"/>
        <v>1.5652999999999999</v>
      </c>
      <c r="BV490" s="39">
        <f t="shared" si="114"/>
        <v>2.1539837622127425</v>
      </c>
      <c r="BW490" s="39">
        <f t="shared" si="115"/>
        <v>0.99739243807040412</v>
      </c>
      <c r="BX490" s="40">
        <f t="shared" si="116"/>
        <v>1.0752688172043012E-2</v>
      </c>
      <c r="BY490" s="40">
        <f t="shared" si="117"/>
        <v>0</v>
      </c>
      <c r="BZ490" t="str">
        <f t="shared" si="118"/>
        <v>Revisar rendimiento</v>
      </c>
      <c r="CA490">
        <f t="shared" si="119"/>
        <v>1</v>
      </c>
    </row>
    <row r="491" spans="1:80" x14ac:dyDescent="0.25">
      <c r="A491" s="35">
        <v>46049</v>
      </c>
      <c r="B491" s="36">
        <v>1.097</v>
      </c>
      <c r="C491" t="s">
        <v>113</v>
      </c>
      <c r="D491" t="s">
        <v>6</v>
      </c>
      <c r="E491" t="s">
        <v>126</v>
      </c>
      <c r="F491" t="s">
        <v>127</v>
      </c>
      <c r="G491">
        <v>3320</v>
      </c>
      <c r="H491">
        <v>2140110675</v>
      </c>
      <c r="I491" t="s">
        <v>131</v>
      </c>
      <c r="J491" s="37">
        <v>1000</v>
      </c>
      <c r="K491" s="37">
        <v>5</v>
      </c>
      <c r="M491">
        <v>416</v>
      </c>
      <c r="T491">
        <v>0</v>
      </c>
      <c r="V491" t="s">
        <v>120</v>
      </c>
      <c r="Y491" s="38">
        <v>0.46597222222222218</v>
      </c>
      <c r="Z491" s="38">
        <v>0.51180555555555551</v>
      </c>
      <c r="AA491" t="s">
        <v>117</v>
      </c>
      <c r="AC491" t="s">
        <v>136</v>
      </c>
      <c r="AD491">
        <v>3.0499999999999999E-2</v>
      </c>
      <c r="AF491">
        <v>0.31990000000000002</v>
      </c>
      <c r="AG491">
        <v>0.24379999999999999</v>
      </c>
      <c r="AQ491">
        <v>2.29E-2</v>
      </c>
      <c r="AR491">
        <v>6.8599999999999994E-2</v>
      </c>
      <c r="BJ491">
        <v>0.22090000000000001</v>
      </c>
      <c r="BK491">
        <f>0</f>
        <v>0</v>
      </c>
      <c r="BL491">
        <f t="shared" si="105"/>
        <v>0.90660000000000007</v>
      </c>
      <c r="BM491">
        <f t="shared" si="106"/>
        <v>0</v>
      </c>
      <c r="BN491">
        <f t="shared" si="107"/>
        <v>0</v>
      </c>
      <c r="BO491">
        <f t="shared" si="108"/>
        <v>1</v>
      </c>
      <c r="BP491" s="37">
        <f>IF($F491="","",IFERROR(INDEX(Familias!$C$5:$C$300,MATCH($F491,Familias!$A$5:$A$300,0)),""))</f>
        <v>2450</v>
      </c>
      <c r="BQ491" s="37">
        <f t="shared" si="109"/>
        <v>1005</v>
      </c>
      <c r="BR491" s="36">
        <f t="shared" si="110"/>
        <v>1.097</v>
      </c>
      <c r="BS491" s="36">
        <f t="shared" si="111"/>
        <v>0.90659999999999996</v>
      </c>
      <c r="BT491" s="36">
        <f t="shared" si="112"/>
        <v>0.19040000000000001</v>
      </c>
      <c r="BU491" s="36">
        <f t="shared" si="113"/>
        <v>0.41020000000000001</v>
      </c>
      <c r="BV491" s="39">
        <f t="shared" si="114"/>
        <v>2.1544117647058822</v>
      </c>
      <c r="BW491" s="39">
        <f t="shared" si="115"/>
        <v>0.99502487562189057</v>
      </c>
      <c r="BX491" s="40">
        <f t="shared" si="116"/>
        <v>0</v>
      </c>
      <c r="BY491" s="40">
        <f t="shared" si="117"/>
        <v>0</v>
      </c>
      <c r="BZ491" t="str">
        <f t="shared" si="118"/>
        <v>Revisar rendimiento</v>
      </c>
      <c r="CA491">
        <f t="shared" si="119"/>
        <v>1</v>
      </c>
    </row>
    <row r="492" spans="1:80" x14ac:dyDescent="0.25">
      <c r="A492" s="35">
        <v>46049</v>
      </c>
      <c r="B492" s="36">
        <v>6.7171000000000003</v>
      </c>
      <c r="C492" t="s">
        <v>113</v>
      </c>
      <c r="D492" t="s">
        <v>6</v>
      </c>
      <c r="E492" t="s">
        <v>126</v>
      </c>
      <c r="F492" t="s">
        <v>127</v>
      </c>
      <c r="G492">
        <v>3298</v>
      </c>
      <c r="H492">
        <v>2140110673</v>
      </c>
      <c r="I492" t="s">
        <v>129</v>
      </c>
      <c r="J492" s="37">
        <v>6150</v>
      </c>
      <c r="K492" s="37">
        <v>4</v>
      </c>
      <c r="M492">
        <v>2325</v>
      </c>
      <c r="O492">
        <v>30</v>
      </c>
      <c r="R492">
        <v>55</v>
      </c>
      <c r="T492">
        <v>3</v>
      </c>
      <c r="V492" t="s">
        <v>120</v>
      </c>
      <c r="Y492" s="38">
        <v>0.51180555555555551</v>
      </c>
      <c r="Z492" s="38">
        <v>0.79166666666666663</v>
      </c>
      <c r="AA492" t="s">
        <v>117</v>
      </c>
      <c r="AC492" t="s">
        <v>136</v>
      </c>
      <c r="AD492">
        <v>0.18659999999999999</v>
      </c>
      <c r="AF492">
        <v>1.9592000000000001</v>
      </c>
      <c r="AG492">
        <v>1.4926999999999999</v>
      </c>
      <c r="AQ492">
        <v>0.1399</v>
      </c>
      <c r="AR492">
        <v>0.41980000000000001</v>
      </c>
      <c r="BJ492">
        <v>1.3528</v>
      </c>
      <c r="BK492">
        <f>0</f>
        <v>0</v>
      </c>
      <c r="BL492">
        <f t="shared" si="105"/>
        <v>5.5510000000000002</v>
      </c>
      <c r="BM492">
        <f t="shared" si="106"/>
        <v>0</v>
      </c>
      <c r="BN492">
        <f t="shared" si="107"/>
        <v>0</v>
      </c>
      <c r="BO492">
        <f t="shared" si="108"/>
        <v>1</v>
      </c>
      <c r="BP492" s="37">
        <f>IF($F492="","",IFERROR(INDEX(Familias!$C$5:$C$300,MATCH($F492,Familias!$A$5:$A$300,0)),""))</f>
        <v>2450</v>
      </c>
      <c r="BQ492" s="37">
        <f t="shared" si="109"/>
        <v>6154</v>
      </c>
      <c r="BR492" s="36">
        <f t="shared" si="110"/>
        <v>6.7171000000000003</v>
      </c>
      <c r="BS492" s="36">
        <f t="shared" si="111"/>
        <v>5.5510000000000002</v>
      </c>
      <c r="BT492" s="36">
        <f t="shared" si="112"/>
        <v>1.1660999999999999</v>
      </c>
      <c r="BU492" s="36">
        <f t="shared" si="113"/>
        <v>2.5118</v>
      </c>
      <c r="BV492" s="39">
        <f t="shared" si="114"/>
        <v>2.1540176657233516</v>
      </c>
      <c r="BW492" s="39">
        <f t="shared" si="115"/>
        <v>0.99935001624959374</v>
      </c>
      <c r="BX492" s="40">
        <f t="shared" si="116"/>
        <v>3.6559139784946237E-2</v>
      </c>
      <c r="BY492" s="40">
        <f t="shared" si="117"/>
        <v>0</v>
      </c>
      <c r="BZ492" t="str">
        <f t="shared" si="118"/>
        <v>Revisar rendimiento</v>
      </c>
      <c r="CA492">
        <f t="shared" si="119"/>
        <v>1</v>
      </c>
    </row>
    <row r="493" spans="1:80" x14ac:dyDescent="0.25">
      <c r="A493" s="35">
        <v>46049</v>
      </c>
      <c r="B493" s="36">
        <v>12</v>
      </c>
      <c r="C493" t="s">
        <v>119</v>
      </c>
      <c r="D493" t="s">
        <v>6</v>
      </c>
      <c r="E493" t="s">
        <v>126</v>
      </c>
      <c r="F493" t="s">
        <v>127</v>
      </c>
      <c r="G493">
        <v>3298</v>
      </c>
      <c r="H493">
        <v>2140110673</v>
      </c>
      <c r="I493" t="s">
        <v>129</v>
      </c>
      <c r="J493" s="37">
        <v>15150</v>
      </c>
      <c r="K493" s="37">
        <v>15</v>
      </c>
      <c r="M493">
        <v>5459</v>
      </c>
      <c r="O493">
        <v>70</v>
      </c>
      <c r="T493">
        <v>7</v>
      </c>
      <c r="V493" t="s">
        <v>116</v>
      </c>
      <c r="Y493" s="38">
        <v>0.79166666666666663</v>
      </c>
      <c r="Z493" s="38">
        <v>0.29166666666666669</v>
      </c>
      <c r="AA493" t="s">
        <v>117</v>
      </c>
      <c r="AC493" t="s">
        <v>118</v>
      </c>
      <c r="AD493">
        <v>0.33329999999999999</v>
      </c>
      <c r="AO493">
        <v>0.75</v>
      </c>
      <c r="AQ493">
        <v>2.5</v>
      </c>
      <c r="AR493">
        <v>0.75</v>
      </c>
      <c r="AW493">
        <v>3.9167000000000001</v>
      </c>
      <c r="BJ493">
        <v>0.33329999999999999</v>
      </c>
      <c r="BK493">
        <f>0</f>
        <v>0</v>
      </c>
      <c r="BL493">
        <f t="shared" si="105"/>
        <v>8.5832999999999995</v>
      </c>
      <c r="BM493">
        <f t="shared" si="106"/>
        <v>0</v>
      </c>
      <c r="BN493">
        <f t="shared" si="107"/>
        <v>0</v>
      </c>
      <c r="BO493">
        <f t="shared" si="108"/>
        <v>1</v>
      </c>
      <c r="BP493" s="37">
        <f>IF($F493="","",IFERROR(INDEX(Familias!$C$5:$C$300,MATCH($F493,Familias!$A$5:$A$300,0)),""))</f>
        <v>2450</v>
      </c>
      <c r="BQ493" s="37">
        <f t="shared" si="109"/>
        <v>15165</v>
      </c>
      <c r="BR493" s="36">
        <f t="shared" si="110"/>
        <v>12</v>
      </c>
      <c r="BS493" s="36">
        <f t="shared" si="111"/>
        <v>8.5832999999999995</v>
      </c>
      <c r="BT493" s="36">
        <f t="shared" si="112"/>
        <v>3.4167000000000001</v>
      </c>
      <c r="BU493" s="36">
        <f t="shared" si="113"/>
        <v>6.1898</v>
      </c>
      <c r="BV493" s="39">
        <f t="shared" si="114"/>
        <v>1.8116311060379899</v>
      </c>
      <c r="BW493" s="39">
        <f t="shared" si="115"/>
        <v>0.9990108803165183</v>
      </c>
      <c r="BX493" s="40">
        <f t="shared" si="116"/>
        <v>1.2822861329913903E-2</v>
      </c>
      <c r="BY493" s="40">
        <f t="shared" si="117"/>
        <v>0</v>
      </c>
      <c r="BZ493" t="str">
        <f t="shared" si="118"/>
        <v>Revisar rendimiento</v>
      </c>
      <c r="CA493">
        <f t="shared" si="119"/>
        <v>1</v>
      </c>
    </row>
    <row r="494" spans="1:80" x14ac:dyDescent="0.25">
      <c r="A494" s="35">
        <v>46050</v>
      </c>
      <c r="B494" s="36">
        <v>7.1273</v>
      </c>
      <c r="C494" t="s">
        <v>113</v>
      </c>
      <c r="D494" t="s">
        <v>6</v>
      </c>
      <c r="E494" t="s">
        <v>126</v>
      </c>
      <c r="F494" t="s">
        <v>127</v>
      </c>
      <c r="G494">
        <v>3298</v>
      </c>
      <c r="H494">
        <v>2140110673</v>
      </c>
      <c r="I494" t="s">
        <v>129</v>
      </c>
      <c r="J494" s="37">
        <v>10725</v>
      </c>
      <c r="K494" s="37">
        <v>10</v>
      </c>
      <c r="M494">
        <v>3927</v>
      </c>
      <c r="O494">
        <v>40</v>
      </c>
      <c r="P494">
        <v>15</v>
      </c>
      <c r="Q494">
        <v>33</v>
      </c>
      <c r="T494">
        <v>5</v>
      </c>
      <c r="V494" t="s">
        <v>120</v>
      </c>
      <c r="Y494" s="38">
        <v>0.29166666666666669</v>
      </c>
      <c r="Z494" s="38">
        <v>0.58888888888888891</v>
      </c>
      <c r="AA494" t="s">
        <v>117</v>
      </c>
      <c r="AC494" t="s">
        <v>121</v>
      </c>
      <c r="AD494">
        <v>0.19800000000000001</v>
      </c>
      <c r="AG494">
        <v>3.1181999999999999</v>
      </c>
      <c r="AO494">
        <v>0.19800000000000001</v>
      </c>
      <c r="AQ494">
        <v>0.14849999999999999</v>
      </c>
      <c r="AR494">
        <v>0.44550000000000001</v>
      </c>
      <c r="BK494">
        <f>0</f>
        <v>0</v>
      </c>
      <c r="BL494">
        <f t="shared" si="105"/>
        <v>4.1082000000000001</v>
      </c>
      <c r="BM494">
        <f t="shared" si="106"/>
        <v>0</v>
      </c>
      <c r="BN494">
        <f t="shared" si="107"/>
        <v>0</v>
      </c>
      <c r="BO494">
        <f t="shared" si="108"/>
        <v>1</v>
      </c>
      <c r="BP494" s="37">
        <f>IF($F494="","",IFERROR(INDEX(Familias!$C$5:$C$300,MATCH($F494,Familias!$A$5:$A$300,0)),""))</f>
        <v>2450</v>
      </c>
      <c r="BQ494" s="37">
        <f t="shared" si="109"/>
        <v>10735</v>
      </c>
      <c r="BR494" s="36">
        <f t="shared" si="110"/>
        <v>7.1273</v>
      </c>
      <c r="BS494" s="36">
        <f t="shared" si="111"/>
        <v>4.1082000000000001</v>
      </c>
      <c r="BT494" s="36">
        <f t="shared" si="112"/>
        <v>3.0190999999999999</v>
      </c>
      <c r="BU494" s="36">
        <f t="shared" si="113"/>
        <v>4.3815999999999997</v>
      </c>
      <c r="BV494" s="39">
        <f t="shared" si="114"/>
        <v>1.4512934318174291</v>
      </c>
      <c r="BW494" s="39">
        <f t="shared" si="115"/>
        <v>0.99906846762925017</v>
      </c>
      <c r="BX494" s="40">
        <f t="shared" si="116"/>
        <v>1.4005602240896359E-2</v>
      </c>
      <c r="BY494" s="40">
        <f t="shared" si="117"/>
        <v>8.4033613445378148E-3</v>
      </c>
      <c r="BZ494" t="str">
        <f t="shared" si="118"/>
        <v>Revisar rendimiento</v>
      </c>
      <c r="CA494">
        <f t="shared" si="119"/>
        <v>1</v>
      </c>
    </row>
    <row r="495" spans="1:80" x14ac:dyDescent="0.25">
      <c r="A495" s="35">
        <v>46050</v>
      </c>
      <c r="B495" s="36">
        <v>4.8727</v>
      </c>
      <c r="C495" t="s">
        <v>113</v>
      </c>
      <c r="D495" t="s">
        <v>6</v>
      </c>
      <c r="E495" t="s">
        <v>147</v>
      </c>
      <c r="F495" t="s">
        <v>147</v>
      </c>
      <c r="G495">
        <v>3375</v>
      </c>
      <c r="H495">
        <v>2140110715</v>
      </c>
      <c r="I495" t="s">
        <v>229</v>
      </c>
      <c r="J495" s="37">
        <v>6825</v>
      </c>
      <c r="K495" s="37">
        <v>5</v>
      </c>
      <c r="M495">
        <v>2108</v>
      </c>
      <c r="O495">
        <v>30</v>
      </c>
      <c r="P495">
        <v>12</v>
      </c>
      <c r="Q495">
        <v>20</v>
      </c>
      <c r="R495">
        <v>60</v>
      </c>
      <c r="T495">
        <v>4</v>
      </c>
      <c r="V495" t="s">
        <v>120</v>
      </c>
      <c r="Y495" s="38">
        <v>0.58888888888888891</v>
      </c>
      <c r="Z495" s="38">
        <v>0.79166666666666663</v>
      </c>
      <c r="AA495" t="s">
        <v>117</v>
      </c>
      <c r="AC495" t="s">
        <v>121</v>
      </c>
      <c r="AD495">
        <v>0.13539999999999999</v>
      </c>
      <c r="AG495">
        <v>2.1318000000000001</v>
      </c>
      <c r="AO495">
        <v>0.13539999999999999</v>
      </c>
      <c r="AQ495">
        <v>0.10150000000000001</v>
      </c>
      <c r="AR495">
        <v>0.30449999999999999</v>
      </c>
      <c r="BK495">
        <f>0</f>
        <v>0</v>
      </c>
      <c r="BL495">
        <f t="shared" si="105"/>
        <v>2.8086000000000007</v>
      </c>
      <c r="BM495">
        <f t="shared" si="106"/>
        <v>0</v>
      </c>
      <c r="BN495">
        <f t="shared" si="107"/>
        <v>0</v>
      </c>
      <c r="BO495">
        <f t="shared" si="108"/>
        <v>1</v>
      </c>
      <c r="BP495" s="37">
        <f>IF($F495="","",IFERROR(INDEX(Familias!$C$5:$C$300,MATCH($F495,Familias!$A$5:$A$300,0)),""))</f>
        <v>2280</v>
      </c>
      <c r="BQ495" s="37">
        <f t="shared" si="109"/>
        <v>6830</v>
      </c>
      <c r="BR495" s="36">
        <f t="shared" si="110"/>
        <v>4.8727</v>
      </c>
      <c r="BS495" s="36">
        <f t="shared" si="111"/>
        <v>2.8086000000000002</v>
      </c>
      <c r="BT495" s="36">
        <f t="shared" si="112"/>
        <v>2.0640999999999998</v>
      </c>
      <c r="BU495" s="36">
        <f t="shared" si="113"/>
        <v>2.9956</v>
      </c>
      <c r="BV495" s="39">
        <f t="shared" si="114"/>
        <v>1.4512862748897826</v>
      </c>
      <c r="BW495" s="39">
        <f t="shared" si="115"/>
        <v>0.99926793557833093</v>
      </c>
      <c r="BX495" s="40">
        <f t="shared" si="116"/>
        <v>4.8387096774193547E-2</v>
      </c>
      <c r="BY495" s="40">
        <f t="shared" si="117"/>
        <v>9.4876660341555973E-3</v>
      </c>
      <c r="BZ495" t="str">
        <f t="shared" si="118"/>
        <v>Revisar rendimiento</v>
      </c>
      <c r="CA495">
        <f t="shared" si="119"/>
        <v>1</v>
      </c>
    </row>
    <row r="496" spans="1:80" x14ac:dyDescent="0.25">
      <c r="A496" s="35">
        <v>46050</v>
      </c>
      <c r="B496" s="36">
        <v>5.3800999999999997</v>
      </c>
      <c r="C496" t="s">
        <v>119</v>
      </c>
      <c r="D496" t="s">
        <v>6</v>
      </c>
      <c r="E496" t="s">
        <v>147</v>
      </c>
      <c r="F496" t="s">
        <v>147</v>
      </c>
      <c r="G496">
        <v>3375</v>
      </c>
      <c r="H496">
        <v>2140110715</v>
      </c>
      <c r="I496" t="s">
        <v>229</v>
      </c>
      <c r="J496" s="37">
        <v>8175</v>
      </c>
      <c r="K496" s="37">
        <v>5</v>
      </c>
      <c r="M496">
        <v>2409</v>
      </c>
      <c r="O496">
        <v>60</v>
      </c>
      <c r="T496">
        <v>4</v>
      </c>
      <c r="V496" t="s">
        <v>116</v>
      </c>
      <c r="Y496" s="38">
        <v>0.79166666666666663</v>
      </c>
      <c r="Z496" s="38">
        <v>1.5972222222222221E-2</v>
      </c>
      <c r="AA496" t="s">
        <v>117</v>
      </c>
      <c r="AC496" t="s">
        <v>121</v>
      </c>
      <c r="AD496">
        <v>0.14940000000000001</v>
      </c>
      <c r="AE496">
        <v>0.85929999999999995</v>
      </c>
      <c r="AQ496">
        <v>0.11210000000000001</v>
      </c>
      <c r="AR496">
        <v>0.33629999999999999</v>
      </c>
      <c r="BK496">
        <f>0</f>
        <v>0</v>
      </c>
      <c r="BL496">
        <f t="shared" si="105"/>
        <v>1.4571000000000001</v>
      </c>
      <c r="BM496">
        <f t="shared" si="106"/>
        <v>0</v>
      </c>
      <c r="BN496">
        <f t="shared" si="107"/>
        <v>0</v>
      </c>
      <c r="BO496">
        <f t="shared" si="108"/>
        <v>1</v>
      </c>
      <c r="BP496" s="37">
        <f>IF($F496="","",IFERROR(INDEX(Familias!$C$5:$C$300,MATCH($F496,Familias!$A$5:$A$300,0)),""))</f>
        <v>2280</v>
      </c>
      <c r="BQ496" s="37">
        <f t="shared" si="109"/>
        <v>8180</v>
      </c>
      <c r="BR496" s="36">
        <f t="shared" si="110"/>
        <v>5.3800999999999997</v>
      </c>
      <c r="BS496" s="36">
        <f t="shared" si="111"/>
        <v>1.4571000000000001</v>
      </c>
      <c r="BT496" s="36">
        <f t="shared" si="112"/>
        <v>3.923</v>
      </c>
      <c r="BU496" s="36">
        <f t="shared" si="113"/>
        <v>3.5876999999999999</v>
      </c>
      <c r="BV496" s="39">
        <f t="shared" si="114"/>
        <v>0.91452969666071882</v>
      </c>
      <c r="BW496" s="39">
        <f t="shared" si="115"/>
        <v>0.99938875305623476</v>
      </c>
      <c r="BX496" s="40">
        <f t="shared" si="116"/>
        <v>2.4906600249066001E-2</v>
      </c>
      <c r="BY496" s="40">
        <f t="shared" si="117"/>
        <v>0</v>
      </c>
      <c r="BZ496" t="str">
        <f t="shared" si="118"/>
        <v>OK</v>
      </c>
      <c r="CA496">
        <f t="shared" si="119"/>
        <v>1</v>
      </c>
    </row>
    <row r="497" spans="1:80" x14ac:dyDescent="0.25">
      <c r="A497" s="35">
        <v>46050</v>
      </c>
      <c r="B497" s="36">
        <v>6.6199000000000003</v>
      </c>
      <c r="C497" t="s">
        <v>119</v>
      </c>
      <c r="D497" t="s">
        <v>6</v>
      </c>
      <c r="E497" t="s">
        <v>147</v>
      </c>
      <c r="F497" t="s">
        <v>147</v>
      </c>
      <c r="G497">
        <v>3373</v>
      </c>
      <c r="H497">
        <v>2140110723</v>
      </c>
      <c r="I497" t="s">
        <v>230</v>
      </c>
      <c r="J497" s="37">
        <v>10050</v>
      </c>
      <c r="K497" s="37">
        <v>15</v>
      </c>
      <c r="M497">
        <v>3178</v>
      </c>
      <c r="O497">
        <v>40</v>
      </c>
      <c r="Q497">
        <v>60</v>
      </c>
      <c r="V497" t="s">
        <v>116</v>
      </c>
      <c r="Y497" s="38">
        <v>1.5972222222222221E-2</v>
      </c>
      <c r="Z497" s="38">
        <v>0.29166666666666669</v>
      </c>
      <c r="AA497" t="s">
        <v>117</v>
      </c>
      <c r="AC497" t="s">
        <v>121</v>
      </c>
      <c r="AD497">
        <v>0.18390000000000001</v>
      </c>
      <c r="AE497">
        <v>1.0572999999999999</v>
      </c>
      <c r="AQ497">
        <v>0.13789999999999999</v>
      </c>
      <c r="AR497">
        <v>0.41370000000000001</v>
      </c>
      <c r="BK497">
        <f>0</f>
        <v>0</v>
      </c>
      <c r="BL497">
        <f t="shared" si="105"/>
        <v>1.7927999999999997</v>
      </c>
      <c r="BM497">
        <f t="shared" si="106"/>
        <v>0</v>
      </c>
      <c r="BN497">
        <f t="shared" si="107"/>
        <v>0</v>
      </c>
      <c r="BO497">
        <f t="shared" si="108"/>
        <v>1</v>
      </c>
      <c r="BP497" s="37">
        <f>IF($F497="","",IFERROR(INDEX(Familias!$C$5:$C$300,MATCH($F497,Familias!$A$5:$A$300,0)),""))</f>
        <v>2280</v>
      </c>
      <c r="BQ497" s="37">
        <f t="shared" si="109"/>
        <v>10065</v>
      </c>
      <c r="BR497" s="36">
        <f t="shared" si="110"/>
        <v>6.6199000000000003</v>
      </c>
      <c r="BS497" s="36">
        <f t="shared" si="111"/>
        <v>1.7927999999999999</v>
      </c>
      <c r="BT497" s="36">
        <f t="shared" si="112"/>
        <v>4.8270999999999997</v>
      </c>
      <c r="BU497" s="36">
        <f t="shared" si="113"/>
        <v>4.4145000000000003</v>
      </c>
      <c r="BV497" s="39">
        <f t="shared" si="114"/>
        <v>0.91452424851360037</v>
      </c>
      <c r="BW497" s="39">
        <f t="shared" si="115"/>
        <v>0.99850968703427723</v>
      </c>
      <c r="BX497" s="40">
        <f t="shared" si="116"/>
        <v>1.2586532410320957E-2</v>
      </c>
      <c r="BY497" s="40">
        <f t="shared" si="117"/>
        <v>1.8879798615481436E-2</v>
      </c>
      <c r="BZ497" t="str">
        <f t="shared" si="118"/>
        <v>OK</v>
      </c>
      <c r="CA497">
        <f t="shared" si="119"/>
        <v>1</v>
      </c>
    </row>
    <row r="498" spans="1:80" x14ac:dyDescent="0.25">
      <c r="A498" s="35">
        <v>46051</v>
      </c>
      <c r="B498" s="36">
        <v>6.1325000000000003</v>
      </c>
      <c r="C498" t="s">
        <v>113</v>
      </c>
      <c r="D498" t="s">
        <v>6</v>
      </c>
      <c r="E498" t="s">
        <v>147</v>
      </c>
      <c r="F498" t="s">
        <v>175</v>
      </c>
      <c r="G498">
        <v>3292</v>
      </c>
      <c r="H498">
        <v>2140110724</v>
      </c>
      <c r="I498" t="s">
        <v>231</v>
      </c>
      <c r="J498" s="37">
        <v>2500</v>
      </c>
      <c r="K498" s="37">
        <v>10</v>
      </c>
      <c r="M498">
        <v>781</v>
      </c>
      <c r="O498">
        <v>12</v>
      </c>
      <c r="P498">
        <v>6</v>
      </c>
      <c r="Q498">
        <v>30</v>
      </c>
      <c r="R498">
        <v>60</v>
      </c>
      <c r="V498" t="s">
        <v>120</v>
      </c>
      <c r="Y498" s="38">
        <v>0.29166666666666669</v>
      </c>
      <c r="Z498" s="38">
        <v>0.54722222222222228</v>
      </c>
      <c r="AA498" t="s">
        <v>117</v>
      </c>
      <c r="AC498" t="s">
        <v>121</v>
      </c>
      <c r="AF498">
        <v>0.59619999999999995</v>
      </c>
      <c r="AG498">
        <v>1.1923999999999999</v>
      </c>
      <c r="AI498">
        <v>0.2555</v>
      </c>
      <c r="AQ498">
        <v>0.1278</v>
      </c>
      <c r="AR498">
        <v>0.1278</v>
      </c>
      <c r="AS498">
        <v>0.89429999999999998</v>
      </c>
      <c r="BK498">
        <f>0</f>
        <v>0</v>
      </c>
      <c r="BL498">
        <f t="shared" si="105"/>
        <v>3.194</v>
      </c>
      <c r="BM498">
        <f t="shared" si="106"/>
        <v>0</v>
      </c>
      <c r="BN498">
        <f t="shared" si="107"/>
        <v>0</v>
      </c>
      <c r="BO498">
        <f t="shared" si="108"/>
        <v>1</v>
      </c>
      <c r="BP498" s="37">
        <f>IF($F498="","",IFERROR(INDEX(Familias!$C$5:$C$300,MATCH($F498,Familias!$A$5:$A$300,0)),""))</f>
        <v>2370</v>
      </c>
      <c r="BQ498" s="37">
        <f t="shared" si="109"/>
        <v>2510</v>
      </c>
      <c r="BR498" s="36">
        <f t="shared" si="110"/>
        <v>6.1325000000000003</v>
      </c>
      <c r="BS498" s="36">
        <f t="shared" si="111"/>
        <v>3.194</v>
      </c>
      <c r="BT498" s="36">
        <f t="shared" si="112"/>
        <v>2.9384999999999999</v>
      </c>
      <c r="BU498" s="36">
        <f t="shared" si="113"/>
        <v>1.0590999999999999</v>
      </c>
      <c r="BV498" s="39">
        <f t="shared" si="114"/>
        <v>0.36042198400544495</v>
      </c>
      <c r="BW498" s="39">
        <f t="shared" si="115"/>
        <v>0.99601593625498008</v>
      </c>
      <c r="BX498" s="40">
        <f t="shared" si="116"/>
        <v>9.9871959026888599E-2</v>
      </c>
      <c r="BY498" s="40">
        <f t="shared" si="117"/>
        <v>3.8412291933418691E-2</v>
      </c>
      <c r="BZ498" t="str">
        <f t="shared" si="118"/>
        <v>OK</v>
      </c>
      <c r="CA498">
        <f t="shared" si="119"/>
        <v>1</v>
      </c>
    </row>
    <row r="499" spans="1:80" x14ac:dyDescent="0.25">
      <c r="A499" s="35">
        <v>46051</v>
      </c>
      <c r="B499" s="36">
        <v>5.8674999999999997</v>
      </c>
      <c r="C499" t="s">
        <v>113</v>
      </c>
      <c r="D499" t="s">
        <v>6</v>
      </c>
      <c r="E499" t="s">
        <v>147</v>
      </c>
      <c r="F499" t="s">
        <v>193</v>
      </c>
      <c r="G499">
        <v>3376</v>
      </c>
      <c r="H499">
        <v>2140110711</v>
      </c>
      <c r="I499" t="s">
        <v>232</v>
      </c>
      <c r="J499" s="37">
        <v>1900</v>
      </c>
      <c r="K499" s="37">
        <v>5</v>
      </c>
      <c r="M499">
        <v>584</v>
      </c>
      <c r="O499">
        <v>19</v>
      </c>
      <c r="P499">
        <v>3</v>
      </c>
      <c r="Q499">
        <v>50</v>
      </c>
      <c r="R499">
        <v>70</v>
      </c>
      <c r="V499" t="s">
        <v>120</v>
      </c>
      <c r="Y499" s="38">
        <v>0.54722222222222228</v>
      </c>
      <c r="Z499" s="38">
        <v>0.79166666666666663</v>
      </c>
      <c r="AA499" t="s">
        <v>117</v>
      </c>
      <c r="AC499" t="s">
        <v>121</v>
      </c>
      <c r="AF499">
        <v>0.57040000000000002</v>
      </c>
      <c r="AG499">
        <v>1.1409</v>
      </c>
      <c r="AI499">
        <v>0.2445</v>
      </c>
      <c r="AQ499">
        <v>0.1222</v>
      </c>
      <c r="AR499">
        <v>0.1222</v>
      </c>
      <c r="AS499">
        <v>0.85570000000000002</v>
      </c>
      <c r="BK499">
        <f>0</f>
        <v>0</v>
      </c>
      <c r="BL499">
        <f t="shared" si="105"/>
        <v>3.0558999999999998</v>
      </c>
      <c r="BM499">
        <f t="shared" si="106"/>
        <v>0</v>
      </c>
      <c r="BN499">
        <f t="shared" si="107"/>
        <v>0</v>
      </c>
      <c r="BO499">
        <f t="shared" si="108"/>
        <v>1</v>
      </c>
      <c r="BP499" s="37">
        <f>IF($F499="","",IFERROR(INDEX(Familias!$C$5:$C$300,MATCH($F499,Familias!$A$5:$A$300,0)),""))</f>
        <v>1880</v>
      </c>
      <c r="BQ499" s="37">
        <f t="shared" si="109"/>
        <v>1905</v>
      </c>
      <c r="BR499" s="36">
        <f t="shared" si="110"/>
        <v>5.8674999999999997</v>
      </c>
      <c r="BS499" s="36">
        <f t="shared" si="111"/>
        <v>3.0558999999999998</v>
      </c>
      <c r="BT499" s="36">
        <f t="shared" si="112"/>
        <v>2.8115999999999999</v>
      </c>
      <c r="BU499" s="36">
        <f t="shared" si="113"/>
        <v>1.0133000000000001</v>
      </c>
      <c r="BV499" s="39">
        <f t="shared" si="114"/>
        <v>0.36039977237160342</v>
      </c>
      <c r="BW499" s="39">
        <f t="shared" si="115"/>
        <v>0.99737532808398954</v>
      </c>
      <c r="BX499" s="40">
        <f t="shared" si="116"/>
        <v>0.15753424657534246</v>
      </c>
      <c r="BY499" s="40">
        <f t="shared" si="117"/>
        <v>8.5616438356164379E-2</v>
      </c>
      <c r="BZ499" t="str">
        <f t="shared" si="118"/>
        <v>OK</v>
      </c>
      <c r="CA499">
        <f t="shared" si="119"/>
        <v>1</v>
      </c>
    </row>
    <row r="500" spans="1:80" x14ac:dyDescent="0.25">
      <c r="A500" s="35">
        <v>46055</v>
      </c>
      <c r="B500" s="36">
        <v>9.0381</v>
      </c>
      <c r="C500" t="s">
        <v>113</v>
      </c>
      <c r="D500" t="s">
        <v>6</v>
      </c>
      <c r="E500" t="s">
        <v>147</v>
      </c>
      <c r="F500" t="s">
        <v>193</v>
      </c>
      <c r="G500">
        <v>3376</v>
      </c>
      <c r="H500">
        <v>2140110711</v>
      </c>
      <c r="I500" t="s">
        <v>232</v>
      </c>
      <c r="J500" s="37">
        <v>3250</v>
      </c>
      <c r="K500" s="37">
        <v>15</v>
      </c>
      <c r="M500">
        <v>1236</v>
      </c>
      <c r="O500">
        <v>45</v>
      </c>
      <c r="P500">
        <v>12</v>
      </c>
      <c r="V500" t="s">
        <v>116</v>
      </c>
      <c r="Y500" s="38">
        <v>0.29166666666666669</v>
      </c>
      <c r="Z500" s="38">
        <v>0.66805555555555551</v>
      </c>
      <c r="AA500" t="s">
        <v>117</v>
      </c>
      <c r="AC500" t="s">
        <v>121</v>
      </c>
      <c r="AE500">
        <v>0.50209999999999999</v>
      </c>
      <c r="AQ500">
        <v>0.1883</v>
      </c>
      <c r="AR500">
        <v>0.56489999999999996</v>
      </c>
      <c r="AW500">
        <v>0.50209999999999999</v>
      </c>
      <c r="BJ500">
        <v>4.7073</v>
      </c>
      <c r="BK500">
        <f>0</f>
        <v>0</v>
      </c>
      <c r="BL500">
        <f t="shared" si="105"/>
        <v>6.4647000000000006</v>
      </c>
      <c r="BM500">
        <f t="shared" si="106"/>
        <v>0</v>
      </c>
      <c r="BN500">
        <f t="shared" si="107"/>
        <v>0</v>
      </c>
      <c r="BO500">
        <f t="shared" si="108"/>
        <v>1</v>
      </c>
      <c r="BP500" s="37">
        <f>IF($F500="","",IFERROR(INDEX(Familias!$C$5:$C$300,MATCH($F500,Familias!$A$5:$A$300,0)),""))</f>
        <v>1880</v>
      </c>
      <c r="BQ500" s="37">
        <f t="shared" si="109"/>
        <v>3265</v>
      </c>
      <c r="BR500" s="36">
        <f t="shared" si="110"/>
        <v>9.0381</v>
      </c>
      <c r="BS500" s="36">
        <f t="shared" si="111"/>
        <v>6.4646999999999997</v>
      </c>
      <c r="BT500" s="36">
        <f t="shared" si="112"/>
        <v>2.5733999999999999</v>
      </c>
      <c r="BU500" s="36">
        <f t="shared" si="113"/>
        <v>1.7366999999999999</v>
      </c>
      <c r="BV500" s="39">
        <f t="shared" si="114"/>
        <v>0.67486593611564472</v>
      </c>
      <c r="BW500" s="39">
        <f t="shared" si="115"/>
        <v>0.99540581929555894</v>
      </c>
      <c r="BX500" s="40">
        <f t="shared" si="116"/>
        <v>4.6116504854368932E-2</v>
      </c>
      <c r="BY500" s="40">
        <f t="shared" si="117"/>
        <v>0</v>
      </c>
      <c r="BZ500" t="str">
        <f t="shared" si="118"/>
        <v>OK</v>
      </c>
      <c r="CA500">
        <f t="shared" si="119"/>
        <v>1</v>
      </c>
    </row>
    <row r="501" spans="1:80" x14ac:dyDescent="0.25">
      <c r="A501" s="35">
        <v>46055</v>
      </c>
      <c r="B501" s="36">
        <v>2.9619</v>
      </c>
      <c r="C501" t="s">
        <v>113</v>
      </c>
      <c r="D501" t="s">
        <v>6</v>
      </c>
      <c r="E501" t="s">
        <v>147</v>
      </c>
      <c r="F501" t="s">
        <v>193</v>
      </c>
      <c r="G501">
        <v>3374</v>
      </c>
      <c r="H501">
        <v>2140110712</v>
      </c>
      <c r="I501" t="s">
        <v>233</v>
      </c>
      <c r="J501" s="37">
        <v>1050</v>
      </c>
      <c r="K501" s="37">
        <v>20</v>
      </c>
      <c r="M501">
        <v>3374</v>
      </c>
      <c r="O501">
        <v>20</v>
      </c>
      <c r="R501">
        <v>35</v>
      </c>
      <c r="V501" t="s">
        <v>116</v>
      </c>
      <c r="Y501" s="38">
        <v>0.66805555555555551</v>
      </c>
      <c r="Z501" s="38">
        <v>0.79166666666666663</v>
      </c>
      <c r="AA501" t="s">
        <v>117</v>
      </c>
      <c r="AC501" t="s">
        <v>121</v>
      </c>
      <c r="AE501">
        <v>0.1646</v>
      </c>
      <c r="AQ501">
        <v>6.1699999999999998E-2</v>
      </c>
      <c r="AR501">
        <v>0.18509999999999999</v>
      </c>
      <c r="AW501">
        <v>0.1646</v>
      </c>
      <c r="BJ501">
        <v>1.5427</v>
      </c>
      <c r="BK501">
        <f>0</f>
        <v>0</v>
      </c>
      <c r="BL501">
        <f t="shared" si="105"/>
        <v>2.1187</v>
      </c>
      <c r="BM501">
        <f t="shared" si="106"/>
        <v>0</v>
      </c>
      <c r="BN501">
        <f t="shared" si="107"/>
        <v>0</v>
      </c>
      <c r="BO501">
        <f t="shared" si="108"/>
        <v>1</v>
      </c>
      <c r="BP501" s="37">
        <f>IF($F501="","",IFERROR(INDEX(Familias!$C$5:$C$300,MATCH($F501,Familias!$A$5:$A$300,0)),""))</f>
        <v>1880</v>
      </c>
      <c r="BQ501" s="37">
        <f t="shared" si="109"/>
        <v>1070</v>
      </c>
      <c r="BR501" s="36">
        <f t="shared" si="110"/>
        <v>2.9619</v>
      </c>
      <c r="BS501" s="36">
        <f t="shared" si="111"/>
        <v>2.1187</v>
      </c>
      <c r="BT501" s="36">
        <f t="shared" si="112"/>
        <v>0.84319999999999995</v>
      </c>
      <c r="BU501" s="36">
        <f t="shared" si="113"/>
        <v>0.56910000000000005</v>
      </c>
      <c r="BV501" s="39">
        <f t="shared" si="114"/>
        <v>0.67492884250474394</v>
      </c>
      <c r="BW501" s="39">
        <f t="shared" si="115"/>
        <v>0.98130841121495327</v>
      </c>
      <c r="BX501" s="40">
        <f t="shared" si="116"/>
        <v>1.6301126259632485E-2</v>
      </c>
      <c r="BY501" s="40">
        <f t="shared" si="117"/>
        <v>0</v>
      </c>
      <c r="BZ501" t="str">
        <f t="shared" si="118"/>
        <v>OK</v>
      </c>
      <c r="CA501">
        <f t="shared" si="119"/>
        <v>1</v>
      </c>
    </row>
    <row r="502" spans="1:80" x14ac:dyDescent="0.25">
      <c r="A502" s="35">
        <v>46055</v>
      </c>
      <c r="B502" s="36">
        <v>5.2565999999999997</v>
      </c>
      <c r="C502" t="s">
        <v>119</v>
      </c>
      <c r="D502" t="s">
        <v>6</v>
      </c>
      <c r="E502" t="s">
        <v>147</v>
      </c>
      <c r="F502" t="s">
        <v>193</v>
      </c>
      <c r="G502">
        <v>3374</v>
      </c>
      <c r="H502">
        <v>2140110712</v>
      </c>
      <c r="I502" t="s">
        <v>233</v>
      </c>
      <c r="J502" s="37">
        <v>4950</v>
      </c>
      <c r="K502" s="37"/>
      <c r="M502">
        <v>2008</v>
      </c>
      <c r="O502">
        <v>15</v>
      </c>
      <c r="P502">
        <v>12</v>
      </c>
      <c r="Q502">
        <v>103</v>
      </c>
      <c r="V502" t="s">
        <v>120</v>
      </c>
      <c r="Y502" s="38">
        <v>0.79166666666666663</v>
      </c>
      <c r="Z502" s="38">
        <v>1.041666666666667E-2</v>
      </c>
      <c r="AA502" t="s">
        <v>200</v>
      </c>
      <c r="AB502" t="s">
        <v>234</v>
      </c>
      <c r="AC502" t="s">
        <v>136</v>
      </c>
      <c r="AF502">
        <v>0.94910000000000005</v>
      </c>
      <c r="AG502">
        <v>0.219</v>
      </c>
      <c r="AR502">
        <v>0.32850000000000001</v>
      </c>
      <c r="BI502">
        <v>0.14599999999999999</v>
      </c>
      <c r="BK502">
        <f>0</f>
        <v>0</v>
      </c>
      <c r="BL502">
        <f t="shared" si="105"/>
        <v>1.6426000000000001</v>
      </c>
      <c r="BM502">
        <f t="shared" si="106"/>
        <v>0</v>
      </c>
      <c r="BN502">
        <f t="shared" si="107"/>
        <v>0</v>
      </c>
      <c r="BO502">
        <f t="shared" si="108"/>
        <v>1</v>
      </c>
      <c r="BP502" s="37">
        <f>IF($F502="","",IFERROR(INDEX(Familias!$C$5:$C$300,MATCH($F502,Familias!$A$5:$A$300,0)),""))</f>
        <v>1880</v>
      </c>
      <c r="BQ502" s="37">
        <f t="shared" si="109"/>
        <v>4950</v>
      </c>
      <c r="BR502" s="36">
        <f t="shared" si="110"/>
        <v>5.2565999999999997</v>
      </c>
      <c r="BS502" s="36">
        <f t="shared" si="111"/>
        <v>1.6426000000000001</v>
      </c>
      <c r="BT502" s="36">
        <f t="shared" si="112"/>
        <v>3.6139999999999999</v>
      </c>
      <c r="BU502" s="36">
        <f t="shared" si="113"/>
        <v>2.633</v>
      </c>
      <c r="BV502" s="39">
        <f t="shared" si="114"/>
        <v>0.72855561704482574</v>
      </c>
      <c r="BW502" s="39">
        <f t="shared" si="115"/>
        <v>1</v>
      </c>
      <c r="BX502" s="40">
        <f t="shared" si="116"/>
        <v>1.3446215139442231E-2</v>
      </c>
      <c r="BY502" s="40">
        <f t="shared" si="117"/>
        <v>5.1294820717131477E-2</v>
      </c>
      <c r="BZ502" t="str">
        <f t="shared" si="118"/>
        <v>Paradas no digitadas</v>
      </c>
      <c r="CA502">
        <f t="shared" si="119"/>
        <v>0</v>
      </c>
    </row>
    <row r="503" spans="1:80" x14ac:dyDescent="0.25">
      <c r="A503" s="35">
        <v>46055</v>
      </c>
      <c r="B503" s="36">
        <v>0.95579999999999998</v>
      </c>
      <c r="C503" t="s">
        <v>119</v>
      </c>
      <c r="D503" t="s">
        <v>6</v>
      </c>
      <c r="E503" t="s">
        <v>147</v>
      </c>
      <c r="F503" t="s">
        <v>193</v>
      </c>
      <c r="G503">
        <v>3376</v>
      </c>
      <c r="H503">
        <v>2140110711</v>
      </c>
      <c r="I503" t="s">
        <v>232</v>
      </c>
      <c r="J503" s="37">
        <v>900</v>
      </c>
      <c r="K503" s="37"/>
      <c r="M503">
        <v>1919</v>
      </c>
      <c r="P503">
        <v>12</v>
      </c>
      <c r="R503">
        <v>45</v>
      </c>
      <c r="V503" t="s">
        <v>120</v>
      </c>
      <c r="Y503" s="38">
        <v>1.041666666666667E-2</v>
      </c>
      <c r="Z503" s="38">
        <v>5.0694444444444438E-2</v>
      </c>
      <c r="AA503" t="s">
        <v>200</v>
      </c>
      <c r="AC503" t="s">
        <v>136</v>
      </c>
      <c r="AF503">
        <v>0.1726</v>
      </c>
      <c r="AG503">
        <v>3.9800000000000002E-2</v>
      </c>
      <c r="AR503">
        <v>5.9700000000000003E-2</v>
      </c>
      <c r="BI503">
        <v>2.6499999999999999E-2</v>
      </c>
      <c r="BK503">
        <f>0</f>
        <v>0</v>
      </c>
      <c r="BL503">
        <f t="shared" si="105"/>
        <v>0.29860000000000003</v>
      </c>
      <c r="BM503">
        <f t="shared" si="106"/>
        <v>0</v>
      </c>
      <c r="BN503">
        <f t="shared" si="107"/>
        <v>0</v>
      </c>
      <c r="BO503">
        <f t="shared" si="108"/>
        <v>1</v>
      </c>
      <c r="BP503" s="37">
        <f>IF($F503="","",IFERROR(INDEX(Familias!$C$5:$C$300,MATCH($F503,Familias!$A$5:$A$300,0)),""))</f>
        <v>1880</v>
      </c>
      <c r="BQ503" s="37">
        <f t="shared" si="109"/>
        <v>900</v>
      </c>
      <c r="BR503" s="36">
        <f t="shared" si="110"/>
        <v>0.95579999999999998</v>
      </c>
      <c r="BS503" s="36">
        <f t="shared" si="111"/>
        <v>0.29859999999999998</v>
      </c>
      <c r="BT503" s="36">
        <f t="shared" si="112"/>
        <v>0.65720000000000001</v>
      </c>
      <c r="BU503" s="36">
        <f t="shared" si="113"/>
        <v>0.47870000000000001</v>
      </c>
      <c r="BV503" s="39">
        <f t="shared" si="114"/>
        <v>0.72839318320146074</v>
      </c>
      <c r="BW503" s="39">
        <f t="shared" si="115"/>
        <v>1</v>
      </c>
      <c r="BX503" s="40">
        <f t="shared" si="116"/>
        <v>2.9702970297029702E-2</v>
      </c>
      <c r="BY503" s="40">
        <f t="shared" si="117"/>
        <v>0</v>
      </c>
      <c r="BZ503" t="str">
        <f t="shared" si="118"/>
        <v>Paradas no digitadas</v>
      </c>
      <c r="CA503">
        <f t="shared" si="119"/>
        <v>0</v>
      </c>
    </row>
    <row r="504" spans="1:80" x14ac:dyDescent="0.25">
      <c r="A504" s="35">
        <v>46055</v>
      </c>
      <c r="B504" s="36">
        <v>5.7876000000000003</v>
      </c>
      <c r="C504" t="s">
        <v>119</v>
      </c>
      <c r="D504" t="s">
        <v>6</v>
      </c>
      <c r="E504" t="s">
        <v>147</v>
      </c>
      <c r="F504" t="s">
        <v>193</v>
      </c>
      <c r="G504">
        <v>3313</v>
      </c>
      <c r="H504">
        <v>2140110727</v>
      </c>
      <c r="I504" t="s">
        <v>235</v>
      </c>
      <c r="J504" s="37">
        <v>5450</v>
      </c>
      <c r="K504" s="37"/>
      <c r="M504">
        <v>282</v>
      </c>
      <c r="O504">
        <v>15</v>
      </c>
      <c r="P504">
        <v>12</v>
      </c>
      <c r="Q504">
        <v>103</v>
      </c>
      <c r="R504">
        <v>45</v>
      </c>
      <c r="V504" t="s">
        <v>120</v>
      </c>
      <c r="Y504" s="38">
        <v>5.0694444444444438E-2</v>
      </c>
      <c r="Z504" s="38">
        <v>0.29166666666666669</v>
      </c>
      <c r="AA504" t="s">
        <v>200</v>
      </c>
      <c r="AC504" t="s">
        <v>136</v>
      </c>
      <c r="AF504">
        <v>1.0449999999999999</v>
      </c>
      <c r="AG504">
        <v>0.2412</v>
      </c>
      <c r="AR504">
        <v>0.36170000000000002</v>
      </c>
      <c r="BI504">
        <v>0.1608</v>
      </c>
      <c r="BK504">
        <f>0</f>
        <v>0</v>
      </c>
      <c r="BL504">
        <f t="shared" si="105"/>
        <v>1.8087</v>
      </c>
      <c r="BM504">
        <f t="shared" si="106"/>
        <v>0</v>
      </c>
      <c r="BN504">
        <f t="shared" si="107"/>
        <v>0</v>
      </c>
      <c r="BO504">
        <f t="shared" si="108"/>
        <v>1</v>
      </c>
      <c r="BP504" s="37">
        <f>IF($F504="","",IFERROR(INDEX(Familias!$C$5:$C$300,MATCH($F504,Familias!$A$5:$A$300,0)),""))</f>
        <v>1880</v>
      </c>
      <c r="BQ504" s="37">
        <f t="shared" si="109"/>
        <v>5450</v>
      </c>
      <c r="BR504" s="36">
        <f t="shared" si="110"/>
        <v>5.7876000000000003</v>
      </c>
      <c r="BS504" s="36">
        <f t="shared" si="111"/>
        <v>1.8087</v>
      </c>
      <c r="BT504" s="36">
        <f t="shared" si="112"/>
        <v>3.9788999999999999</v>
      </c>
      <c r="BU504" s="36">
        <f t="shared" si="113"/>
        <v>2.8988999999999998</v>
      </c>
      <c r="BV504" s="39">
        <f t="shared" si="114"/>
        <v>0.7285681972404433</v>
      </c>
      <c r="BW504" s="39">
        <f t="shared" si="115"/>
        <v>1</v>
      </c>
      <c r="BX504" s="40">
        <f t="shared" si="116"/>
        <v>0.25531914893617019</v>
      </c>
      <c r="BY504" s="40">
        <f t="shared" si="117"/>
        <v>0.36524822695035464</v>
      </c>
      <c r="BZ504" t="str">
        <f t="shared" si="118"/>
        <v>Paradas no digitadas</v>
      </c>
      <c r="CA504">
        <f t="shared" si="119"/>
        <v>0</v>
      </c>
    </row>
    <row r="505" spans="1:80" x14ac:dyDescent="0.25">
      <c r="A505" s="35">
        <v>46056</v>
      </c>
      <c r="B505" s="36">
        <v>12</v>
      </c>
      <c r="C505" t="s">
        <v>113</v>
      </c>
      <c r="D505" t="s">
        <v>6</v>
      </c>
      <c r="E505" t="s">
        <v>147</v>
      </c>
      <c r="F505" t="s">
        <v>193</v>
      </c>
      <c r="G505">
        <v>3313</v>
      </c>
      <c r="H505">
        <v>2140110727</v>
      </c>
      <c r="I505" t="s">
        <v>235</v>
      </c>
      <c r="J505" s="37">
        <v>600</v>
      </c>
      <c r="K505" s="37"/>
      <c r="M505">
        <v>571</v>
      </c>
      <c r="O505">
        <v>75</v>
      </c>
      <c r="V505" t="s">
        <v>116</v>
      </c>
      <c r="Y505" s="38">
        <v>0.29166666666666669</v>
      </c>
      <c r="Z505" s="38">
        <v>0.79166666666666663</v>
      </c>
      <c r="AA505" t="s">
        <v>117</v>
      </c>
      <c r="AC505" t="s">
        <v>118</v>
      </c>
      <c r="AD505">
        <v>0.5</v>
      </c>
      <c r="AE505">
        <v>1.5</v>
      </c>
      <c r="AQ505">
        <v>0.25</v>
      </c>
      <c r="AR505">
        <v>0.75</v>
      </c>
      <c r="BK505">
        <f>0</f>
        <v>0</v>
      </c>
      <c r="BL505">
        <f t="shared" si="105"/>
        <v>3</v>
      </c>
      <c r="BM505">
        <f t="shared" si="106"/>
        <v>0</v>
      </c>
      <c r="BN505">
        <f t="shared" si="107"/>
        <v>0</v>
      </c>
      <c r="BO505">
        <f t="shared" si="108"/>
        <v>1</v>
      </c>
      <c r="BP505" s="37">
        <f>IF($F505="","",IFERROR(INDEX(Familias!$C$5:$C$300,MATCH($F505,Familias!$A$5:$A$300,0)),""))</f>
        <v>1880</v>
      </c>
      <c r="BQ505" s="37">
        <f t="shared" si="109"/>
        <v>600</v>
      </c>
      <c r="BR505" s="36">
        <f t="shared" si="110"/>
        <v>12</v>
      </c>
      <c r="BS505" s="36">
        <f t="shared" si="111"/>
        <v>3</v>
      </c>
      <c r="BT505" s="36">
        <f t="shared" si="112"/>
        <v>9</v>
      </c>
      <c r="BU505" s="36">
        <f t="shared" si="113"/>
        <v>0.31909999999999999</v>
      </c>
      <c r="BV505" s="39">
        <f t="shared" si="114"/>
        <v>3.5455555555555553E-2</v>
      </c>
      <c r="BW505" s="39">
        <f t="shared" si="115"/>
        <v>1</v>
      </c>
      <c r="BX505" s="40">
        <f t="shared" si="116"/>
        <v>0.13134851138353765</v>
      </c>
      <c r="BY505" s="40">
        <f t="shared" si="117"/>
        <v>0</v>
      </c>
      <c r="BZ505" t="str">
        <f t="shared" si="118"/>
        <v>OK</v>
      </c>
      <c r="CA505">
        <f t="shared" si="119"/>
        <v>1</v>
      </c>
    </row>
    <row r="506" spans="1:80" x14ac:dyDescent="0.25">
      <c r="A506" s="35">
        <v>46056</v>
      </c>
      <c r="B506" s="36">
        <v>12</v>
      </c>
      <c r="C506" t="s">
        <v>119</v>
      </c>
      <c r="D506" t="s">
        <v>6</v>
      </c>
      <c r="E506" t="s">
        <v>114</v>
      </c>
      <c r="F506" t="s">
        <v>210</v>
      </c>
      <c r="G506">
        <v>3304</v>
      </c>
      <c r="H506">
        <v>2140110705</v>
      </c>
      <c r="I506" t="s">
        <v>218</v>
      </c>
      <c r="J506" s="37">
        <v>1250</v>
      </c>
      <c r="K506" s="37">
        <v>20</v>
      </c>
      <c r="O506">
        <v>20</v>
      </c>
      <c r="R506">
        <v>90</v>
      </c>
      <c r="T506">
        <v>1</v>
      </c>
      <c r="V506" t="s">
        <v>120</v>
      </c>
      <c r="Y506" s="38">
        <v>0.79166666666666663</v>
      </c>
      <c r="Z506" s="38">
        <v>0.29166666666666669</v>
      </c>
      <c r="AA506" t="s">
        <v>117</v>
      </c>
      <c r="AC506" t="s">
        <v>118</v>
      </c>
      <c r="AE506">
        <v>9.5</v>
      </c>
      <c r="AQ506">
        <v>2</v>
      </c>
      <c r="BA506">
        <v>0.5</v>
      </c>
      <c r="BK506">
        <f>0</f>
        <v>0</v>
      </c>
      <c r="BL506">
        <f t="shared" si="105"/>
        <v>11.5</v>
      </c>
      <c r="BM506">
        <f t="shared" si="106"/>
        <v>0.5</v>
      </c>
      <c r="BN506">
        <f t="shared" si="107"/>
        <v>0</v>
      </c>
      <c r="BO506">
        <f t="shared" si="108"/>
        <v>1</v>
      </c>
      <c r="BP506" s="37">
        <f>IF($F506="","",IFERROR(INDEX(Familias!$C$5:$C$300,MATCH($F506,Familias!$A$5:$A$300,0)),""))</f>
        <v>2520</v>
      </c>
      <c r="BQ506" s="37">
        <f t="shared" si="109"/>
        <v>1270</v>
      </c>
      <c r="BR506" s="36">
        <f t="shared" si="110"/>
        <v>12</v>
      </c>
      <c r="BS506" s="36">
        <f t="shared" si="111"/>
        <v>12</v>
      </c>
      <c r="BT506" s="36">
        <f t="shared" si="112"/>
        <v>0</v>
      </c>
      <c r="BU506" s="36">
        <f t="shared" si="113"/>
        <v>0.504</v>
      </c>
      <c r="BV506" s="39" t="str">
        <f t="shared" si="114"/>
        <v/>
      </c>
      <c r="BW506" s="39">
        <f t="shared" si="115"/>
        <v>0.98425196850393704</v>
      </c>
      <c r="BX506" s="40" t="str">
        <f t="shared" si="116"/>
        <v/>
      </c>
      <c r="BY506" s="40" t="str">
        <f t="shared" si="117"/>
        <v/>
      </c>
      <c r="BZ506" t="str">
        <f t="shared" si="118"/>
        <v>OK</v>
      </c>
      <c r="CA506">
        <f t="shared" si="119"/>
        <v>1</v>
      </c>
    </row>
    <row r="507" spans="1:80" x14ac:dyDescent="0.25">
      <c r="A507" s="35">
        <v>46057</v>
      </c>
      <c r="B507" s="36">
        <v>9.8408999999999995</v>
      </c>
      <c r="C507" t="s">
        <v>113</v>
      </c>
      <c r="D507" t="s">
        <v>6</v>
      </c>
      <c r="E507" t="s">
        <v>114</v>
      </c>
      <c r="F507" t="s">
        <v>210</v>
      </c>
      <c r="G507">
        <v>3510</v>
      </c>
      <c r="H507">
        <v>2140110709</v>
      </c>
      <c r="I507" t="s">
        <v>213</v>
      </c>
      <c r="J507" s="37">
        <v>10050</v>
      </c>
      <c r="K507" s="37"/>
      <c r="M507">
        <v>2188</v>
      </c>
      <c r="O507">
        <v>40</v>
      </c>
      <c r="P507">
        <v>14</v>
      </c>
      <c r="V507" t="s">
        <v>116</v>
      </c>
      <c r="Y507" s="38">
        <v>0.29166666666666669</v>
      </c>
      <c r="Z507" s="38">
        <v>0.70138888888888884</v>
      </c>
      <c r="AA507" t="s">
        <v>117</v>
      </c>
      <c r="AC507" t="s">
        <v>121</v>
      </c>
      <c r="AE507">
        <v>0.54669999999999996</v>
      </c>
      <c r="AQ507">
        <v>0.20499999999999999</v>
      </c>
      <c r="AR507">
        <v>0.61509999999999998</v>
      </c>
      <c r="BA507">
        <v>1.3668</v>
      </c>
      <c r="BK507">
        <f>0</f>
        <v>0</v>
      </c>
      <c r="BL507">
        <f t="shared" si="105"/>
        <v>1.3668</v>
      </c>
      <c r="BM507">
        <f t="shared" si="106"/>
        <v>1.3668</v>
      </c>
      <c r="BN507">
        <f t="shared" si="107"/>
        <v>0</v>
      </c>
      <c r="BO507">
        <f t="shared" si="108"/>
        <v>1</v>
      </c>
      <c r="BP507" s="37">
        <f>IF($F507="","",IFERROR(INDEX(Familias!$C$5:$C$300,MATCH($F507,Familias!$A$5:$A$300,0)),""))</f>
        <v>2520</v>
      </c>
      <c r="BQ507" s="37">
        <f t="shared" si="109"/>
        <v>10050</v>
      </c>
      <c r="BR507" s="36">
        <f t="shared" si="110"/>
        <v>9.8408999999999995</v>
      </c>
      <c r="BS507" s="36">
        <f t="shared" si="111"/>
        <v>2.7336</v>
      </c>
      <c r="BT507" s="36">
        <f t="shared" si="112"/>
        <v>7.1073000000000004</v>
      </c>
      <c r="BU507" s="36">
        <f t="shared" si="113"/>
        <v>3.9881000000000002</v>
      </c>
      <c r="BV507" s="39">
        <f t="shared" si="114"/>
        <v>0.5611272916578729</v>
      </c>
      <c r="BW507" s="39">
        <f t="shared" si="115"/>
        <v>1</v>
      </c>
      <c r="BX507" s="40">
        <f t="shared" si="116"/>
        <v>2.4680073126142597E-2</v>
      </c>
      <c r="BY507" s="40">
        <f t="shared" si="117"/>
        <v>0</v>
      </c>
      <c r="BZ507" t="str">
        <f t="shared" si="118"/>
        <v>OK</v>
      </c>
      <c r="CA507">
        <f t="shared" si="119"/>
        <v>1</v>
      </c>
    </row>
    <row r="508" spans="1:80" x14ac:dyDescent="0.25">
      <c r="A508" s="35">
        <v>46057</v>
      </c>
      <c r="B508" s="36">
        <v>2.1591</v>
      </c>
      <c r="C508" t="s">
        <v>113</v>
      </c>
      <c r="D508" t="s">
        <v>6</v>
      </c>
      <c r="E508" t="s">
        <v>114</v>
      </c>
      <c r="F508" t="s">
        <v>210</v>
      </c>
      <c r="G508">
        <v>3301</v>
      </c>
      <c r="H508">
        <v>2140110707</v>
      </c>
      <c r="I508" t="s">
        <v>211</v>
      </c>
      <c r="J508" s="37">
        <v>2200</v>
      </c>
      <c r="K508" s="37">
        <v>5</v>
      </c>
      <c r="M508">
        <v>615</v>
      </c>
      <c r="O508">
        <v>10</v>
      </c>
      <c r="P508">
        <v>4</v>
      </c>
      <c r="R508">
        <v>20</v>
      </c>
      <c r="T508">
        <v>1</v>
      </c>
      <c r="V508" t="s">
        <v>116</v>
      </c>
      <c r="Y508" s="38">
        <v>0.70138888888888884</v>
      </c>
      <c r="Z508" s="38">
        <v>0.79166666666666663</v>
      </c>
      <c r="AA508" t="s">
        <v>117</v>
      </c>
      <c r="AC508" t="s">
        <v>121</v>
      </c>
      <c r="AE508">
        <v>0.12</v>
      </c>
      <c r="AQ508">
        <v>4.4999999999999998E-2</v>
      </c>
      <c r="AR508">
        <v>0.13489999999999999</v>
      </c>
      <c r="BA508">
        <v>0.2999</v>
      </c>
      <c r="BK508">
        <f>0</f>
        <v>0</v>
      </c>
      <c r="BL508">
        <f t="shared" si="105"/>
        <v>0.29989999999999994</v>
      </c>
      <c r="BM508">
        <f t="shared" si="106"/>
        <v>0.2999</v>
      </c>
      <c r="BN508">
        <f t="shared" si="107"/>
        <v>0</v>
      </c>
      <c r="BO508">
        <f t="shared" si="108"/>
        <v>1</v>
      </c>
      <c r="BP508" s="37">
        <f>IF($F508="","",IFERROR(INDEX(Familias!$C$5:$C$300,MATCH($F508,Familias!$A$5:$A$300,0)),""))</f>
        <v>2520</v>
      </c>
      <c r="BQ508" s="37">
        <f t="shared" si="109"/>
        <v>2205</v>
      </c>
      <c r="BR508" s="36">
        <f t="shared" si="110"/>
        <v>2.1591</v>
      </c>
      <c r="BS508" s="36">
        <f t="shared" si="111"/>
        <v>0.5998</v>
      </c>
      <c r="BT508" s="36">
        <f t="shared" si="112"/>
        <v>1.5592999999999999</v>
      </c>
      <c r="BU508" s="36">
        <f t="shared" si="113"/>
        <v>0.875</v>
      </c>
      <c r="BV508" s="39">
        <f t="shared" si="114"/>
        <v>0.5611492336304752</v>
      </c>
      <c r="BW508" s="39">
        <f t="shared" si="115"/>
        <v>0.99773242630385484</v>
      </c>
      <c r="BX508" s="40">
        <f t="shared" si="116"/>
        <v>5.5284552845528454E-2</v>
      </c>
      <c r="BY508" s="40">
        <f t="shared" si="117"/>
        <v>0</v>
      </c>
      <c r="BZ508" t="str">
        <f t="shared" si="118"/>
        <v>OK</v>
      </c>
      <c r="CA508">
        <f t="shared" si="119"/>
        <v>1</v>
      </c>
    </row>
    <row r="509" spans="1:80" x14ac:dyDescent="0.25">
      <c r="A509" s="35">
        <v>46057</v>
      </c>
      <c r="B509" s="36">
        <v>3.6844000000000001</v>
      </c>
      <c r="C509" t="s">
        <v>119</v>
      </c>
      <c r="D509" t="s">
        <v>6</v>
      </c>
      <c r="E509" t="s">
        <v>114</v>
      </c>
      <c r="F509" t="s">
        <v>210</v>
      </c>
      <c r="G509">
        <v>3304</v>
      </c>
      <c r="H509">
        <v>2140110705</v>
      </c>
      <c r="I509" t="s">
        <v>218</v>
      </c>
      <c r="J509" s="37">
        <v>8900</v>
      </c>
      <c r="K509" s="37">
        <v>10</v>
      </c>
      <c r="M509">
        <v>2485</v>
      </c>
      <c r="O509">
        <v>50</v>
      </c>
      <c r="P509">
        <v>4</v>
      </c>
      <c r="Q509">
        <v>55</v>
      </c>
      <c r="T509">
        <v>3</v>
      </c>
      <c r="V509" t="s">
        <v>116</v>
      </c>
      <c r="Y509" s="38">
        <v>0.79166666666666663</v>
      </c>
      <c r="Z509" s="38">
        <v>0.94513888888888886</v>
      </c>
      <c r="AA509" t="s">
        <v>117</v>
      </c>
      <c r="AC509" t="s">
        <v>136</v>
      </c>
      <c r="AH509">
        <v>0.1535</v>
      </c>
      <c r="AQ509">
        <v>7.6799999999999993E-2</v>
      </c>
      <c r="AR509">
        <v>0.2303</v>
      </c>
      <c r="BB509">
        <v>0.1535</v>
      </c>
      <c r="BI509">
        <v>0.1023</v>
      </c>
      <c r="BJ509">
        <v>0.1023</v>
      </c>
      <c r="BK509">
        <f>0</f>
        <v>0</v>
      </c>
      <c r="BL509">
        <f t="shared" si="105"/>
        <v>0.66520000000000001</v>
      </c>
      <c r="BM509">
        <f t="shared" si="106"/>
        <v>0.1535</v>
      </c>
      <c r="BN509">
        <f t="shared" si="107"/>
        <v>0</v>
      </c>
      <c r="BO509">
        <f t="shared" si="108"/>
        <v>1</v>
      </c>
      <c r="BP509" s="37">
        <f>IF($F509="","",IFERROR(INDEX(Familias!$C$5:$C$300,MATCH($F509,Familias!$A$5:$A$300,0)),""))</f>
        <v>2520</v>
      </c>
      <c r="BQ509" s="37">
        <f t="shared" si="109"/>
        <v>8910</v>
      </c>
      <c r="BR509" s="36">
        <f t="shared" si="110"/>
        <v>3.6844000000000001</v>
      </c>
      <c r="BS509" s="36">
        <f t="shared" si="111"/>
        <v>0.81869999999999998</v>
      </c>
      <c r="BT509" s="36">
        <f t="shared" si="112"/>
        <v>2.8656999999999999</v>
      </c>
      <c r="BU509" s="36">
        <f t="shared" si="113"/>
        <v>3.5356999999999998</v>
      </c>
      <c r="BV509" s="39">
        <f t="shared" si="114"/>
        <v>1.2337997696897791</v>
      </c>
      <c r="BW509" s="39">
        <f t="shared" si="115"/>
        <v>0.99887766554433222</v>
      </c>
      <c r="BX509" s="40">
        <f t="shared" si="116"/>
        <v>2.1730382293762576E-2</v>
      </c>
      <c r="BY509" s="40">
        <f t="shared" si="117"/>
        <v>2.2132796780684104E-2</v>
      </c>
      <c r="BZ509" t="str">
        <f t="shared" si="118"/>
        <v>Revisar rendimiento</v>
      </c>
      <c r="CA509">
        <f t="shared" si="119"/>
        <v>1</v>
      </c>
    </row>
    <row r="510" spans="1:80" x14ac:dyDescent="0.25">
      <c r="A510" s="35">
        <v>46057</v>
      </c>
      <c r="B510" s="36">
        <v>7.7988</v>
      </c>
      <c r="C510" t="s">
        <v>119</v>
      </c>
      <c r="D510" t="s">
        <v>6</v>
      </c>
      <c r="E510" t="s">
        <v>114</v>
      </c>
      <c r="F510" t="s">
        <v>210</v>
      </c>
      <c r="G510">
        <v>3301</v>
      </c>
      <c r="H510">
        <v>2140110707</v>
      </c>
      <c r="I510" t="s">
        <v>211</v>
      </c>
      <c r="J510" s="37">
        <v>18850</v>
      </c>
      <c r="K510" s="37">
        <v>10</v>
      </c>
      <c r="M510">
        <v>340</v>
      </c>
      <c r="T510">
        <v>0</v>
      </c>
      <c r="V510" t="s">
        <v>120</v>
      </c>
      <c r="Y510" s="38">
        <v>0.94513888888888886</v>
      </c>
      <c r="Z510" s="38">
        <v>0.27013888888888887</v>
      </c>
      <c r="AA510" t="s">
        <v>117</v>
      </c>
      <c r="AC510" t="s">
        <v>136</v>
      </c>
      <c r="AH510">
        <v>0.32490000000000002</v>
      </c>
      <c r="AQ510">
        <v>0.16250000000000001</v>
      </c>
      <c r="AR510">
        <v>0.4874</v>
      </c>
      <c r="BB510">
        <v>0.32490000000000002</v>
      </c>
      <c r="BI510">
        <v>0.21659999999999999</v>
      </c>
      <c r="BJ510">
        <v>0.21659999999999999</v>
      </c>
      <c r="BK510">
        <f>0</f>
        <v>0</v>
      </c>
      <c r="BL510">
        <f t="shared" si="105"/>
        <v>1.4079999999999999</v>
      </c>
      <c r="BM510">
        <f t="shared" si="106"/>
        <v>0.32490000000000002</v>
      </c>
      <c r="BN510">
        <f t="shared" si="107"/>
        <v>0</v>
      </c>
      <c r="BO510">
        <f t="shared" si="108"/>
        <v>1</v>
      </c>
      <c r="BP510" s="37">
        <f>IF($F510="","",IFERROR(INDEX(Familias!$C$5:$C$300,MATCH($F510,Familias!$A$5:$A$300,0)),""))</f>
        <v>2520</v>
      </c>
      <c r="BQ510" s="37">
        <f t="shared" si="109"/>
        <v>18860</v>
      </c>
      <c r="BR510" s="36">
        <f t="shared" si="110"/>
        <v>7.7988</v>
      </c>
      <c r="BS510" s="36">
        <f t="shared" si="111"/>
        <v>1.7329000000000001</v>
      </c>
      <c r="BT510" s="36">
        <f t="shared" si="112"/>
        <v>6.0659000000000001</v>
      </c>
      <c r="BU510" s="36">
        <f t="shared" si="113"/>
        <v>7.4840999999999998</v>
      </c>
      <c r="BV510" s="39">
        <f t="shared" si="114"/>
        <v>1.2337987767684926</v>
      </c>
      <c r="BW510" s="39">
        <f t="shared" si="115"/>
        <v>0.99946977730646869</v>
      </c>
      <c r="BX510" s="40">
        <f t="shared" si="116"/>
        <v>0</v>
      </c>
      <c r="BY510" s="40">
        <f t="shared" si="117"/>
        <v>0</v>
      </c>
      <c r="BZ510" t="str">
        <f t="shared" si="118"/>
        <v>Revisar rendimiento</v>
      </c>
      <c r="CA510">
        <f t="shared" si="119"/>
        <v>1</v>
      </c>
    </row>
    <row r="511" spans="1:80" x14ac:dyDescent="0.25">
      <c r="A511" s="35">
        <v>46057</v>
      </c>
      <c r="B511" s="36">
        <v>0.51690000000000003</v>
      </c>
      <c r="C511" t="s">
        <v>119</v>
      </c>
      <c r="D511" t="s">
        <v>6</v>
      </c>
      <c r="E511" t="s">
        <v>114</v>
      </c>
      <c r="F511" t="s">
        <v>210</v>
      </c>
      <c r="G511">
        <v>3259</v>
      </c>
      <c r="H511">
        <v>2140110703</v>
      </c>
      <c r="I511" t="s">
        <v>216</v>
      </c>
      <c r="J511" s="37">
        <v>1250</v>
      </c>
      <c r="K511" s="37"/>
      <c r="M511">
        <v>4348</v>
      </c>
      <c r="Q511">
        <v>40</v>
      </c>
      <c r="T511">
        <v>6</v>
      </c>
      <c r="V511" t="s">
        <v>120</v>
      </c>
      <c r="Y511" s="38">
        <v>0.27013888888888887</v>
      </c>
      <c r="Z511" s="38">
        <v>0.29166666666666669</v>
      </c>
      <c r="AA511" t="s">
        <v>117</v>
      </c>
      <c r="AC511" t="s">
        <v>136</v>
      </c>
      <c r="AH511">
        <v>2.1499999999999998E-2</v>
      </c>
      <c r="AQ511">
        <v>1.0800000000000001E-2</v>
      </c>
      <c r="AR511">
        <v>3.2300000000000002E-2</v>
      </c>
      <c r="BB511">
        <v>2.1499999999999998E-2</v>
      </c>
      <c r="BI511">
        <v>1.44E-2</v>
      </c>
      <c r="BJ511">
        <v>1.44E-2</v>
      </c>
      <c r="BK511">
        <f>0</f>
        <v>0</v>
      </c>
      <c r="BL511">
        <f t="shared" si="105"/>
        <v>9.3399999999999983E-2</v>
      </c>
      <c r="BM511">
        <f t="shared" si="106"/>
        <v>2.1499999999999998E-2</v>
      </c>
      <c r="BN511">
        <f t="shared" si="107"/>
        <v>0</v>
      </c>
      <c r="BO511">
        <f t="shared" si="108"/>
        <v>1</v>
      </c>
      <c r="BP511" s="37">
        <f>IF($F511="","",IFERROR(INDEX(Familias!$C$5:$C$300,MATCH($F511,Familias!$A$5:$A$300,0)),""))</f>
        <v>2520</v>
      </c>
      <c r="BQ511" s="37">
        <f t="shared" si="109"/>
        <v>1250</v>
      </c>
      <c r="BR511" s="36">
        <f t="shared" si="110"/>
        <v>0.51690000000000003</v>
      </c>
      <c r="BS511" s="36">
        <f t="shared" si="111"/>
        <v>0.1149</v>
      </c>
      <c r="BT511" s="36">
        <f t="shared" si="112"/>
        <v>0.40200000000000002</v>
      </c>
      <c r="BU511" s="36">
        <f t="shared" si="113"/>
        <v>0.496</v>
      </c>
      <c r="BV511" s="39">
        <f t="shared" si="114"/>
        <v>1.2338308457711442</v>
      </c>
      <c r="BW511" s="39">
        <f t="shared" si="115"/>
        <v>1</v>
      </c>
      <c r="BX511" s="40">
        <f t="shared" si="116"/>
        <v>0</v>
      </c>
      <c r="BY511" s="40">
        <f t="shared" si="117"/>
        <v>9.1996320147194107E-3</v>
      </c>
      <c r="BZ511" t="str">
        <f t="shared" si="118"/>
        <v>Revisar rendimiento</v>
      </c>
      <c r="CA511">
        <f t="shared" si="119"/>
        <v>1</v>
      </c>
    </row>
    <row r="512" spans="1:80" x14ac:dyDescent="0.25">
      <c r="A512" s="35">
        <v>46058</v>
      </c>
      <c r="B512" s="36">
        <v>12</v>
      </c>
      <c r="C512" t="s">
        <v>113</v>
      </c>
      <c r="D512" t="s">
        <v>6</v>
      </c>
      <c r="E512" t="s">
        <v>114</v>
      </c>
      <c r="F512" t="s">
        <v>210</v>
      </c>
      <c r="G512">
        <v>3299</v>
      </c>
      <c r="H512">
        <v>2140110703</v>
      </c>
      <c r="I512" t="s">
        <v>216</v>
      </c>
      <c r="J512" s="37">
        <v>27700</v>
      </c>
      <c r="K512" s="37">
        <v>5</v>
      </c>
      <c r="M512">
        <v>6446</v>
      </c>
      <c r="O512">
        <v>38</v>
      </c>
      <c r="P512">
        <v>31</v>
      </c>
      <c r="Q512">
        <v>45</v>
      </c>
      <c r="T512">
        <v>8</v>
      </c>
      <c r="V512" t="s">
        <v>116</v>
      </c>
      <c r="Y512" s="38">
        <v>0.29166666666666669</v>
      </c>
      <c r="Z512" s="38">
        <v>0.79166666666666663</v>
      </c>
      <c r="AA512" t="s">
        <v>117</v>
      </c>
      <c r="AC512" t="s">
        <v>118</v>
      </c>
      <c r="AD512">
        <v>0.66669999999999996</v>
      </c>
      <c r="AQ512">
        <v>0.25</v>
      </c>
      <c r="BJ512">
        <v>11.083299999999999</v>
      </c>
      <c r="BK512">
        <f>0</f>
        <v>0</v>
      </c>
      <c r="BL512">
        <f t="shared" si="105"/>
        <v>12</v>
      </c>
      <c r="BM512">
        <f t="shared" si="106"/>
        <v>0</v>
      </c>
      <c r="BN512">
        <f t="shared" si="107"/>
        <v>0</v>
      </c>
      <c r="BO512">
        <f t="shared" si="108"/>
        <v>1</v>
      </c>
      <c r="BP512" s="37">
        <f>IF($F512="","",IFERROR(INDEX(Familias!$C$5:$C$300,MATCH($F512,Familias!$A$5:$A$300,0)),""))</f>
        <v>2520</v>
      </c>
      <c r="BQ512" s="37">
        <f t="shared" si="109"/>
        <v>27705</v>
      </c>
      <c r="BR512" s="36">
        <f t="shared" si="110"/>
        <v>12</v>
      </c>
      <c r="BS512" s="36">
        <f t="shared" si="111"/>
        <v>12</v>
      </c>
      <c r="BT512" s="36">
        <f t="shared" si="112"/>
        <v>0</v>
      </c>
      <c r="BU512" s="36">
        <f t="shared" si="113"/>
        <v>10.994</v>
      </c>
      <c r="BV512" s="39" t="str">
        <f t="shared" si="114"/>
        <v/>
      </c>
      <c r="BW512" s="39">
        <f t="shared" si="115"/>
        <v>0.99981952716116229</v>
      </c>
      <c r="BX512" s="40">
        <f t="shared" si="116"/>
        <v>1.0704312752094321E-2</v>
      </c>
      <c r="BY512" s="40">
        <f t="shared" si="117"/>
        <v>6.9810735339745581E-3</v>
      </c>
      <c r="BZ512" t="str">
        <f t="shared" si="118"/>
        <v>OK</v>
      </c>
      <c r="CA512">
        <f t="shared" si="119"/>
        <v>1</v>
      </c>
    </row>
    <row r="513" spans="1:80" x14ac:dyDescent="0.25">
      <c r="A513" s="35">
        <v>46058</v>
      </c>
      <c r="B513" s="36">
        <v>9.9062999999999999</v>
      </c>
      <c r="C513" t="s">
        <v>119</v>
      </c>
      <c r="D513" t="s">
        <v>6</v>
      </c>
      <c r="E513" t="s">
        <v>114</v>
      </c>
      <c r="F513" t="s">
        <v>210</v>
      </c>
      <c r="G513">
        <v>3299</v>
      </c>
      <c r="H513">
        <v>2140110703</v>
      </c>
      <c r="I513" t="s">
        <v>216</v>
      </c>
      <c r="J513" s="37">
        <v>21050</v>
      </c>
      <c r="K513" s="37">
        <v>5</v>
      </c>
      <c r="M513">
        <v>928</v>
      </c>
      <c r="O513">
        <v>40</v>
      </c>
      <c r="P513">
        <v>21</v>
      </c>
      <c r="T513">
        <v>1</v>
      </c>
      <c r="V513" t="s">
        <v>120</v>
      </c>
      <c r="Y513" s="38">
        <v>0.79166666666666663</v>
      </c>
      <c r="Z513" s="38">
        <v>0.20416666666666669</v>
      </c>
      <c r="AA513" t="s">
        <v>117</v>
      </c>
      <c r="AC513" t="s">
        <v>121</v>
      </c>
      <c r="AQ513">
        <v>0.2064</v>
      </c>
      <c r="AR513">
        <v>0.61909999999999998</v>
      </c>
      <c r="BI513">
        <v>0.2752</v>
      </c>
      <c r="BK513">
        <f>0</f>
        <v>0</v>
      </c>
      <c r="BL513">
        <f t="shared" si="105"/>
        <v>1.1007</v>
      </c>
      <c r="BM513">
        <f t="shared" si="106"/>
        <v>0</v>
      </c>
      <c r="BN513">
        <f t="shared" si="107"/>
        <v>0</v>
      </c>
      <c r="BO513">
        <f t="shared" si="108"/>
        <v>1</v>
      </c>
      <c r="BP513" s="37">
        <f>IF($F513="","",IFERROR(INDEX(Familias!$C$5:$C$300,MATCH($F513,Familias!$A$5:$A$300,0)),""))</f>
        <v>2520</v>
      </c>
      <c r="BQ513" s="37">
        <f t="shared" si="109"/>
        <v>21055</v>
      </c>
      <c r="BR513" s="36">
        <f t="shared" si="110"/>
        <v>9.9062999999999999</v>
      </c>
      <c r="BS513" s="36">
        <f t="shared" si="111"/>
        <v>1.1007</v>
      </c>
      <c r="BT513" s="36">
        <f t="shared" si="112"/>
        <v>8.8056000000000001</v>
      </c>
      <c r="BU513" s="36">
        <f t="shared" si="113"/>
        <v>8.3552</v>
      </c>
      <c r="BV513" s="39">
        <f t="shared" si="114"/>
        <v>0.94885073135277553</v>
      </c>
      <c r="BW513" s="39">
        <f t="shared" si="115"/>
        <v>0.9997625267157445</v>
      </c>
      <c r="BX513" s="40">
        <f t="shared" si="116"/>
        <v>6.5732758620689655E-2</v>
      </c>
      <c r="BY513" s="40">
        <f t="shared" si="117"/>
        <v>0</v>
      </c>
      <c r="BZ513" t="str">
        <f t="shared" si="118"/>
        <v>OK</v>
      </c>
      <c r="CA513">
        <f t="shared" si="119"/>
        <v>1</v>
      </c>
    </row>
    <row r="514" spans="1:80" x14ac:dyDescent="0.25">
      <c r="A514" s="35">
        <v>46058</v>
      </c>
      <c r="B514" s="36">
        <v>2.0937000000000001</v>
      </c>
      <c r="C514" t="s">
        <v>119</v>
      </c>
      <c r="D514" t="s">
        <v>6</v>
      </c>
      <c r="E514" t="s">
        <v>114</v>
      </c>
      <c r="F514" t="s">
        <v>210</v>
      </c>
      <c r="G514">
        <v>3516</v>
      </c>
      <c r="H514">
        <v>2140110703</v>
      </c>
      <c r="I514" t="s">
        <v>216</v>
      </c>
      <c r="J514" s="37">
        <v>4450</v>
      </c>
      <c r="K514" s="37"/>
      <c r="M514">
        <v>5047</v>
      </c>
      <c r="O514">
        <v>11</v>
      </c>
      <c r="P514">
        <v>3</v>
      </c>
      <c r="T514">
        <v>7</v>
      </c>
      <c r="V514" t="s">
        <v>120</v>
      </c>
      <c r="Y514" s="38">
        <v>0.20416666666666669</v>
      </c>
      <c r="Z514" s="38">
        <v>0.29166666666666669</v>
      </c>
      <c r="AA514" t="s">
        <v>117</v>
      </c>
      <c r="AC514" t="s">
        <v>121</v>
      </c>
      <c r="AQ514">
        <v>4.36E-2</v>
      </c>
      <c r="AR514">
        <v>0.13089999999999999</v>
      </c>
      <c r="BI514">
        <v>5.8200000000000002E-2</v>
      </c>
      <c r="BK514">
        <f>0</f>
        <v>0</v>
      </c>
      <c r="BL514">
        <f t="shared" ref="BL514:BL577" si="120">N(AD514)+N(AE514)+N(AF514)+N(AG514)+N(AH514)+N(AI514)+N(AJ514)+N(AK514)+N(AL514)+N(AM514)+N(AN514)+N(AO514)+N(AP514)+N(AQ514)+N(AR514)+N(AS514)+N(AT514)+N(AU514)+N(AW514)+N(AX514)+N(AY514)+N(BC514)+N(BE514)+N(BF514)+N(BH514)+N(BI514)+N(BJ514)</f>
        <v>0.23269999999999999</v>
      </c>
      <c r="BM514">
        <f t="shared" ref="BM514:BM577" si="121">N(AZ514)+N(BA514)+N(BB514)+N(BD514)</f>
        <v>0</v>
      </c>
      <c r="BN514">
        <f t="shared" ref="BN514:BN577" si="122">N(AV514)+N(BG514)</f>
        <v>0</v>
      </c>
      <c r="BO514">
        <f t="shared" ref="BO514:BO577" si="123">IF($A514="","",IF(WEEKDAY($A514,2)=7,0,1))</f>
        <v>1</v>
      </c>
      <c r="BP514" s="37">
        <f>IF($F514="","",IFERROR(INDEX(Familias!$C$5:$C$300,MATCH($F514,Familias!$A$5:$A$300,0)),""))</f>
        <v>2520</v>
      </c>
      <c r="BQ514" s="37">
        <f t="shared" ref="BQ514:BQ577" si="124">IF(AND($J514="",$K514=""),"",N($J514)+N($K514))</f>
        <v>4450</v>
      </c>
      <c r="BR514" s="36">
        <f t="shared" ref="BR514:BR577" si="125">IF($A514="","",ROUND(N($B514),4))</f>
        <v>2.0937000000000001</v>
      </c>
      <c r="BS514" s="36">
        <f t="shared" ref="BS514:BS577" si="126">IF($A514="","",ROUND(SUM($AD514:$BJ514),4))</f>
        <v>0.23269999999999999</v>
      </c>
      <c r="BT514" s="36">
        <f t="shared" ref="BT514:BT577" si="127">IF($A514="","",ROUND(MAX(0,$BR514-$BS514),4))</f>
        <v>1.861</v>
      </c>
      <c r="BU514" s="36">
        <f t="shared" ref="BU514:BU577" si="128">IF(OR($BQ514="",$BP514="",N($BP514)=0),"",ROUND($BQ514/$BP514,4))</f>
        <v>1.7659</v>
      </c>
      <c r="BV514" s="39">
        <f t="shared" ref="BV514:BV577" si="129">IF(OR($BU514="",N($BT514)=0),"",$BU514/$BT514)</f>
        <v>0.94889844169801185</v>
      </c>
      <c r="BW514" s="39">
        <f t="shared" ref="BW514:BW577" si="130">IF(N($BQ514)&gt;0,N($J514)/$BQ514,"")</f>
        <v>1</v>
      </c>
      <c r="BX514" s="40">
        <f t="shared" ref="BX514:BX577" si="131">IF(N($M514)&gt;0,(N($P514)+N($O514)+N($R514))/$M514,"")</f>
        <v>2.7739251040221915E-3</v>
      </c>
      <c r="BY514" s="40">
        <f t="shared" ref="BY514:BY577" si="132">IF(N($M514)&gt;0,N($Q514)/$M514,"")</f>
        <v>0</v>
      </c>
      <c r="BZ514" t="str">
        <f t="shared" ref="BZ514:BZ577" si="133">IF($A514="","",IF($BO514=0,"Domingo",IF($AA514&lt;&gt;"Sí","Paradas no digitadas",IF($BQ514="",IF(N($BT514)&gt;0,"Sin producción","Parada total"),IF($F514="","Sin familia",IF($BP514="","Familia sin estándar",IF(AND($BV514&lt;&gt;"",N($BV514)&gt;1.1),"Revisar rendimiento","OK")))))))</f>
        <v>OK</v>
      </c>
      <c r="CA514">
        <f t="shared" ref="CA514:CA577" si="134">IF(OR($BU514="",$BO514&lt;&gt;1,$AA514&lt;&gt;"Sí"),0,1)</f>
        <v>1</v>
      </c>
    </row>
    <row r="515" spans="1:80" x14ac:dyDescent="0.25">
      <c r="A515" s="35">
        <v>46059</v>
      </c>
      <c r="B515" s="36">
        <v>2.3123</v>
      </c>
      <c r="C515" t="s">
        <v>113</v>
      </c>
      <c r="D515" t="s">
        <v>6</v>
      </c>
      <c r="E515" t="s">
        <v>114</v>
      </c>
      <c r="F515" t="s">
        <v>210</v>
      </c>
      <c r="G515">
        <v>3516</v>
      </c>
      <c r="H515">
        <v>2140110703</v>
      </c>
      <c r="I515" t="s">
        <v>216</v>
      </c>
      <c r="J515" s="37">
        <v>4500</v>
      </c>
      <c r="K515" s="37">
        <v>8</v>
      </c>
      <c r="M515">
        <v>1151</v>
      </c>
      <c r="O515">
        <v>54</v>
      </c>
      <c r="P515">
        <v>8</v>
      </c>
      <c r="T515">
        <v>2</v>
      </c>
      <c r="V515" t="s">
        <v>116</v>
      </c>
      <c r="Y515" s="38">
        <v>0.29166666666666669</v>
      </c>
      <c r="Z515" s="38">
        <v>0.38819444444444451</v>
      </c>
      <c r="AA515" t="s">
        <v>117</v>
      </c>
      <c r="AC515" t="s">
        <v>121</v>
      </c>
      <c r="AQ515">
        <v>4.82E-2</v>
      </c>
      <c r="BI515">
        <v>9.6299999999999997E-2</v>
      </c>
      <c r="BJ515">
        <v>9.6299999999999997E-2</v>
      </c>
      <c r="BK515">
        <f>0</f>
        <v>0</v>
      </c>
      <c r="BL515">
        <f t="shared" si="120"/>
        <v>0.24079999999999999</v>
      </c>
      <c r="BM515">
        <f t="shared" si="121"/>
        <v>0</v>
      </c>
      <c r="BN515">
        <f t="shared" si="122"/>
        <v>0</v>
      </c>
      <c r="BO515">
        <f t="shared" si="123"/>
        <v>1</v>
      </c>
      <c r="BP515" s="37">
        <f>IF($F515="","",IFERROR(INDEX(Familias!$C$5:$C$300,MATCH($F515,Familias!$A$5:$A$300,0)),""))</f>
        <v>2520</v>
      </c>
      <c r="BQ515" s="37">
        <f t="shared" si="124"/>
        <v>4508</v>
      </c>
      <c r="BR515" s="36">
        <f t="shared" si="125"/>
        <v>2.3123</v>
      </c>
      <c r="BS515" s="36">
        <f t="shared" si="126"/>
        <v>0.24079999999999999</v>
      </c>
      <c r="BT515" s="36">
        <f t="shared" si="127"/>
        <v>2.0714999999999999</v>
      </c>
      <c r="BU515" s="36">
        <f t="shared" si="128"/>
        <v>1.7888999999999999</v>
      </c>
      <c r="BV515" s="39">
        <f t="shared" si="129"/>
        <v>0.8635771180304127</v>
      </c>
      <c r="BW515" s="39">
        <f t="shared" si="130"/>
        <v>0.9982253771073647</v>
      </c>
      <c r="BX515" s="40">
        <f t="shared" si="131"/>
        <v>5.3866203301476977E-2</v>
      </c>
      <c r="BY515" s="40">
        <f t="shared" si="132"/>
        <v>0</v>
      </c>
      <c r="BZ515" t="str">
        <f t="shared" si="133"/>
        <v>OK</v>
      </c>
      <c r="CA515">
        <f t="shared" si="134"/>
        <v>1</v>
      </c>
    </row>
    <row r="516" spans="1:80" x14ac:dyDescent="0.25">
      <c r="A516" s="35">
        <v>46059</v>
      </c>
      <c r="B516" s="36">
        <v>9.6876999999999995</v>
      </c>
      <c r="C516" t="s">
        <v>113</v>
      </c>
      <c r="D516" t="s">
        <v>6</v>
      </c>
      <c r="E516" t="s">
        <v>114</v>
      </c>
      <c r="F516" t="s">
        <v>114</v>
      </c>
      <c r="G516">
        <v>3427</v>
      </c>
      <c r="H516">
        <v>2140110699</v>
      </c>
      <c r="I516" t="s">
        <v>115</v>
      </c>
      <c r="J516" s="37">
        <v>22410</v>
      </c>
      <c r="K516" s="37"/>
      <c r="M516">
        <v>5167</v>
      </c>
      <c r="P516">
        <v>36</v>
      </c>
      <c r="T516">
        <v>6</v>
      </c>
      <c r="V516" t="s">
        <v>116</v>
      </c>
      <c r="Y516" s="38">
        <v>0.38819444444444451</v>
      </c>
      <c r="Z516" s="38">
        <v>0.79166666666666663</v>
      </c>
      <c r="AA516" t="s">
        <v>117</v>
      </c>
      <c r="AC516" t="s">
        <v>121</v>
      </c>
      <c r="AQ516">
        <v>0.20180000000000001</v>
      </c>
      <c r="BI516">
        <v>0.4037</v>
      </c>
      <c r="BJ516">
        <v>0.4037</v>
      </c>
      <c r="BK516">
        <f>0</f>
        <v>0</v>
      </c>
      <c r="BL516">
        <f t="shared" si="120"/>
        <v>1.0092000000000001</v>
      </c>
      <c r="BM516">
        <f t="shared" si="121"/>
        <v>0</v>
      </c>
      <c r="BN516">
        <f t="shared" si="122"/>
        <v>0</v>
      </c>
      <c r="BO516">
        <f t="shared" si="123"/>
        <v>1</v>
      </c>
      <c r="BP516" s="37">
        <f>IF($F516="","",IFERROR(INDEX(Familias!$C$5:$C$300,MATCH($F516,Familias!$A$5:$A$300,0)),""))</f>
        <v>2990</v>
      </c>
      <c r="BQ516" s="37">
        <f t="shared" si="124"/>
        <v>22410</v>
      </c>
      <c r="BR516" s="36">
        <f t="shared" si="125"/>
        <v>9.6876999999999995</v>
      </c>
      <c r="BS516" s="36">
        <f t="shared" si="126"/>
        <v>1.0092000000000001</v>
      </c>
      <c r="BT516" s="36">
        <f t="shared" si="127"/>
        <v>8.6784999999999997</v>
      </c>
      <c r="BU516" s="36">
        <f t="shared" si="128"/>
        <v>7.4950000000000001</v>
      </c>
      <c r="BV516" s="39">
        <f t="shared" si="129"/>
        <v>0.86362850723051221</v>
      </c>
      <c r="BW516" s="39">
        <f t="shared" si="130"/>
        <v>1</v>
      </c>
      <c r="BX516" s="40">
        <f t="shared" si="131"/>
        <v>6.9672924327462745E-3</v>
      </c>
      <c r="BY516" s="40">
        <f t="shared" si="132"/>
        <v>0</v>
      </c>
      <c r="BZ516" t="str">
        <f t="shared" si="133"/>
        <v>OK</v>
      </c>
      <c r="CA516">
        <f t="shared" si="134"/>
        <v>1</v>
      </c>
    </row>
    <row r="517" spans="1:80" x14ac:dyDescent="0.25">
      <c r="A517" s="35">
        <v>46059</v>
      </c>
      <c r="B517" s="36">
        <v>7.8722000000000003</v>
      </c>
      <c r="C517" t="s">
        <v>119</v>
      </c>
      <c r="D517" t="s">
        <v>6</v>
      </c>
      <c r="E517" t="s">
        <v>114</v>
      </c>
      <c r="F517" t="s">
        <v>114</v>
      </c>
      <c r="G517">
        <v>3427</v>
      </c>
      <c r="H517">
        <v>2140110699</v>
      </c>
      <c r="I517" t="s">
        <v>115</v>
      </c>
      <c r="J517" s="37">
        <v>17650</v>
      </c>
      <c r="K517" s="37"/>
      <c r="M517">
        <v>4010</v>
      </c>
      <c r="O517">
        <v>50</v>
      </c>
      <c r="P517">
        <v>18</v>
      </c>
      <c r="T517">
        <v>6</v>
      </c>
      <c r="V517" t="s">
        <v>120</v>
      </c>
      <c r="Y517" s="38">
        <v>0.79166666666666663</v>
      </c>
      <c r="Z517" s="38">
        <v>0.11944444444444451</v>
      </c>
      <c r="AA517" t="s">
        <v>117</v>
      </c>
      <c r="AC517" t="s">
        <v>121</v>
      </c>
      <c r="AQ517">
        <v>0.16400000000000001</v>
      </c>
      <c r="AR517">
        <v>0.49199999999999999</v>
      </c>
      <c r="BI517">
        <v>0.32800000000000001</v>
      </c>
      <c r="BJ517">
        <v>0.32800000000000001</v>
      </c>
      <c r="BK517">
        <f>0</f>
        <v>0</v>
      </c>
      <c r="BL517">
        <f t="shared" si="120"/>
        <v>1.3120000000000001</v>
      </c>
      <c r="BM517">
        <f t="shared" si="121"/>
        <v>0</v>
      </c>
      <c r="BN517">
        <f t="shared" si="122"/>
        <v>0</v>
      </c>
      <c r="BO517">
        <f t="shared" si="123"/>
        <v>1</v>
      </c>
      <c r="BP517" s="37">
        <f>IF($F517="","",IFERROR(INDEX(Familias!$C$5:$C$300,MATCH($F517,Familias!$A$5:$A$300,0)),""))</f>
        <v>2990</v>
      </c>
      <c r="BQ517" s="37">
        <f t="shared" si="124"/>
        <v>17650</v>
      </c>
      <c r="BR517" s="36">
        <f t="shared" si="125"/>
        <v>7.8722000000000003</v>
      </c>
      <c r="BS517" s="36">
        <f t="shared" si="126"/>
        <v>1.3120000000000001</v>
      </c>
      <c r="BT517" s="36">
        <f t="shared" si="127"/>
        <v>6.5602</v>
      </c>
      <c r="BU517" s="36">
        <f t="shared" si="128"/>
        <v>5.9029999999999996</v>
      </c>
      <c r="BV517" s="39">
        <f t="shared" si="129"/>
        <v>0.89982012743513906</v>
      </c>
      <c r="BW517" s="39">
        <f t="shared" si="130"/>
        <v>1</v>
      </c>
      <c r="BX517" s="40">
        <f t="shared" si="131"/>
        <v>1.6957605985037406E-2</v>
      </c>
      <c r="BY517" s="40">
        <f t="shared" si="132"/>
        <v>0</v>
      </c>
      <c r="BZ517" t="str">
        <f t="shared" si="133"/>
        <v>OK</v>
      </c>
      <c r="CA517">
        <f t="shared" si="134"/>
        <v>1</v>
      </c>
    </row>
    <row r="518" spans="1:80" x14ac:dyDescent="0.25">
      <c r="A518" s="35">
        <v>46059</v>
      </c>
      <c r="B518" s="36">
        <v>4.1277999999999997</v>
      </c>
      <c r="C518" t="s">
        <v>119</v>
      </c>
      <c r="D518" t="s">
        <v>6</v>
      </c>
      <c r="E518" t="s">
        <v>114</v>
      </c>
      <c r="F518" t="s">
        <v>210</v>
      </c>
      <c r="G518">
        <v>3516</v>
      </c>
      <c r="H518">
        <v>2140110703</v>
      </c>
      <c r="I518" t="s">
        <v>216</v>
      </c>
      <c r="J518" s="37">
        <v>7800</v>
      </c>
      <c r="K518" s="37"/>
      <c r="M518">
        <v>1990</v>
      </c>
      <c r="O518">
        <v>20</v>
      </c>
      <c r="P518">
        <v>6</v>
      </c>
      <c r="T518">
        <v>2</v>
      </c>
      <c r="V518" t="s">
        <v>120</v>
      </c>
      <c r="Y518" s="38">
        <v>0.11944444444444451</v>
      </c>
      <c r="Z518" s="38">
        <v>0.29166666666666669</v>
      </c>
      <c r="AA518" t="s">
        <v>117</v>
      </c>
      <c r="AC518" t="s">
        <v>121</v>
      </c>
      <c r="AQ518">
        <v>8.5999999999999993E-2</v>
      </c>
      <c r="AR518">
        <v>0.25800000000000001</v>
      </c>
      <c r="BI518">
        <v>0.17199999999999999</v>
      </c>
      <c r="BJ518">
        <v>0.17199999999999999</v>
      </c>
      <c r="BK518">
        <f>0</f>
        <v>0</v>
      </c>
      <c r="BL518">
        <f t="shared" si="120"/>
        <v>0.68799999999999994</v>
      </c>
      <c r="BM518">
        <f t="shared" si="121"/>
        <v>0</v>
      </c>
      <c r="BN518">
        <f t="shared" si="122"/>
        <v>0</v>
      </c>
      <c r="BO518">
        <f t="shared" si="123"/>
        <v>1</v>
      </c>
      <c r="BP518" s="37">
        <f>IF($F518="","",IFERROR(INDEX(Familias!$C$5:$C$300,MATCH($F518,Familias!$A$5:$A$300,0)),""))</f>
        <v>2520</v>
      </c>
      <c r="BQ518" s="37">
        <f t="shared" si="124"/>
        <v>7800</v>
      </c>
      <c r="BR518" s="36">
        <f t="shared" si="125"/>
        <v>4.1277999999999997</v>
      </c>
      <c r="BS518" s="36">
        <f t="shared" si="126"/>
        <v>0.68799999999999994</v>
      </c>
      <c r="BT518" s="36">
        <f t="shared" si="127"/>
        <v>3.4398</v>
      </c>
      <c r="BU518" s="36">
        <f t="shared" si="128"/>
        <v>3.0952000000000002</v>
      </c>
      <c r="BV518" s="39">
        <f t="shared" si="129"/>
        <v>0.89981975696261418</v>
      </c>
      <c r="BW518" s="39">
        <f t="shared" si="130"/>
        <v>1</v>
      </c>
      <c r="BX518" s="40">
        <f t="shared" si="131"/>
        <v>1.3065326633165829E-2</v>
      </c>
      <c r="BY518" s="40">
        <f t="shared" si="132"/>
        <v>0</v>
      </c>
      <c r="BZ518" t="str">
        <f t="shared" si="133"/>
        <v>OK</v>
      </c>
      <c r="CA518">
        <f t="shared" si="134"/>
        <v>1</v>
      </c>
    </row>
    <row r="519" spans="1:80" x14ac:dyDescent="0.25">
      <c r="A519" s="35">
        <v>46060</v>
      </c>
      <c r="B519" s="36">
        <v>6.7336999999999998</v>
      </c>
      <c r="C519" t="s">
        <v>113</v>
      </c>
      <c r="D519" t="s">
        <v>6</v>
      </c>
      <c r="E519" t="s">
        <v>114</v>
      </c>
      <c r="F519" t="s">
        <v>210</v>
      </c>
      <c r="G519">
        <v>3300</v>
      </c>
      <c r="H519">
        <v>2140110704</v>
      </c>
      <c r="I519" t="s">
        <v>217</v>
      </c>
      <c r="J519" s="37">
        <v>11000</v>
      </c>
      <c r="K519" s="37"/>
      <c r="M519">
        <v>2654</v>
      </c>
      <c r="O519">
        <v>25</v>
      </c>
      <c r="P519">
        <v>15</v>
      </c>
      <c r="R519">
        <v>35</v>
      </c>
      <c r="T519">
        <v>4</v>
      </c>
      <c r="V519" t="s">
        <v>116</v>
      </c>
      <c r="Y519" s="38">
        <v>0.29166666666666669</v>
      </c>
      <c r="Z519" s="38">
        <v>0.57222222222222219</v>
      </c>
      <c r="AA519" t="s">
        <v>117</v>
      </c>
      <c r="AC519" t="s">
        <v>136</v>
      </c>
      <c r="AE519">
        <v>1.1223000000000001</v>
      </c>
      <c r="AQ519">
        <v>0.14030000000000001</v>
      </c>
      <c r="AR519">
        <v>0.4209</v>
      </c>
      <c r="BJ519">
        <v>0.14030000000000001</v>
      </c>
      <c r="BK519">
        <f>0</f>
        <v>0</v>
      </c>
      <c r="BL519">
        <f t="shared" si="120"/>
        <v>1.8238000000000003</v>
      </c>
      <c r="BM519">
        <f t="shared" si="121"/>
        <v>0</v>
      </c>
      <c r="BN519">
        <f t="shared" si="122"/>
        <v>0</v>
      </c>
      <c r="BO519">
        <f t="shared" si="123"/>
        <v>1</v>
      </c>
      <c r="BP519" s="37">
        <f>IF($F519="","",IFERROR(INDEX(Familias!$C$5:$C$300,MATCH($F519,Familias!$A$5:$A$300,0)),""))</f>
        <v>2520</v>
      </c>
      <c r="BQ519" s="37">
        <f t="shared" si="124"/>
        <v>11000</v>
      </c>
      <c r="BR519" s="36">
        <f t="shared" si="125"/>
        <v>6.7336999999999998</v>
      </c>
      <c r="BS519" s="36">
        <f t="shared" si="126"/>
        <v>1.8238000000000001</v>
      </c>
      <c r="BT519" s="36">
        <f t="shared" si="127"/>
        <v>4.9099000000000004</v>
      </c>
      <c r="BU519" s="36">
        <f t="shared" si="128"/>
        <v>4.3651</v>
      </c>
      <c r="BV519" s="39">
        <f t="shared" si="129"/>
        <v>0.88904050999002004</v>
      </c>
      <c r="BW519" s="39">
        <f t="shared" si="130"/>
        <v>1</v>
      </c>
      <c r="BX519" s="40">
        <f t="shared" si="131"/>
        <v>2.8259231348907309E-2</v>
      </c>
      <c r="BY519" s="40">
        <f t="shared" si="132"/>
        <v>0</v>
      </c>
      <c r="BZ519" t="str">
        <f t="shared" si="133"/>
        <v>OK</v>
      </c>
      <c r="CA519">
        <f t="shared" si="134"/>
        <v>1</v>
      </c>
    </row>
    <row r="520" spans="1:80" x14ac:dyDescent="0.25">
      <c r="A520" s="35">
        <v>46060</v>
      </c>
      <c r="B520" s="36">
        <v>3.0608</v>
      </c>
      <c r="C520" t="s">
        <v>113</v>
      </c>
      <c r="D520" t="s">
        <v>6</v>
      </c>
      <c r="E520" t="s">
        <v>114</v>
      </c>
      <c r="F520" t="s">
        <v>210</v>
      </c>
      <c r="G520">
        <v>3302</v>
      </c>
      <c r="H520">
        <v>2140110708</v>
      </c>
      <c r="I520" t="s">
        <v>212</v>
      </c>
      <c r="J520" s="37">
        <v>5000</v>
      </c>
      <c r="K520" s="37"/>
      <c r="M520">
        <v>1150</v>
      </c>
      <c r="O520">
        <v>20</v>
      </c>
      <c r="P520">
        <v>4</v>
      </c>
      <c r="T520">
        <v>1</v>
      </c>
      <c r="V520" t="s">
        <v>116</v>
      </c>
      <c r="Y520" s="38">
        <v>0.57222222222222219</v>
      </c>
      <c r="Z520" s="38">
        <v>0.7</v>
      </c>
      <c r="AA520" t="s">
        <v>117</v>
      </c>
      <c r="AC520" t="s">
        <v>136</v>
      </c>
      <c r="AE520">
        <v>0.5101</v>
      </c>
      <c r="AQ520">
        <v>6.3799999999999996E-2</v>
      </c>
      <c r="AR520">
        <v>0.1913</v>
      </c>
      <c r="BJ520">
        <v>6.3799999999999996E-2</v>
      </c>
      <c r="BK520">
        <f>0</f>
        <v>0</v>
      </c>
      <c r="BL520">
        <f t="shared" si="120"/>
        <v>0.82899999999999996</v>
      </c>
      <c r="BM520">
        <f t="shared" si="121"/>
        <v>0</v>
      </c>
      <c r="BN520">
        <f t="shared" si="122"/>
        <v>0</v>
      </c>
      <c r="BO520">
        <f t="shared" si="123"/>
        <v>1</v>
      </c>
      <c r="BP520" s="37">
        <f>IF($F520="","",IFERROR(INDEX(Familias!$C$5:$C$300,MATCH($F520,Familias!$A$5:$A$300,0)),""))</f>
        <v>2520</v>
      </c>
      <c r="BQ520" s="37">
        <f t="shared" si="124"/>
        <v>5000</v>
      </c>
      <c r="BR520" s="36">
        <f t="shared" si="125"/>
        <v>3.0608</v>
      </c>
      <c r="BS520" s="36">
        <f t="shared" si="126"/>
        <v>0.82899999999999996</v>
      </c>
      <c r="BT520" s="36">
        <f t="shared" si="127"/>
        <v>2.2317999999999998</v>
      </c>
      <c r="BU520" s="36">
        <f t="shared" si="128"/>
        <v>1.9841</v>
      </c>
      <c r="BV520" s="39">
        <f t="shared" si="129"/>
        <v>0.88901335245093649</v>
      </c>
      <c r="BW520" s="39">
        <f t="shared" si="130"/>
        <v>1</v>
      </c>
      <c r="BX520" s="40">
        <f t="shared" si="131"/>
        <v>2.0869565217391306E-2</v>
      </c>
      <c r="BY520" s="40">
        <f t="shared" si="132"/>
        <v>0</v>
      </c>
      <c r="BZ520" t="str">
        <f t="shared" si="133"/>
        <v>OK</v>
      </c>
      <c r="CA520">
        <f t="shared" si="134"/>
        <v>1</v>
      </c>
    </row>
    <row r="521" spans="1:80" x14ac:dyDescent="0.25">
      <c r="A521" s="35">
        <v>46060</v>
      </c>
      <c r="B521" s="36">
        <v>2.2056</v>
      </c>
      <c r="C521" t="s">
        <v>113</v>
      </c>
      <c r="D521" t="s">
        <v>6</v>
      </c>
      <c r="E521" t="s">
        <v>114</v>
      </c>
      <c r="F521" t="s">
        <v>114</v>
      </c>
      <c r="G521">
        <v>3521</v>
      </c>
      <c r="H521">
        <v>2140110699</v>
      </c>
      <c r="I521" t="s">
        <v>115</v>
      </c>
      <c r="J521" s="37">
        <v>4260</v>
      </c>
      <c r="K521" s="37">
        <v>15</v>
      </c>
      <c r="M521">
        <v>1234</v>
      </c>
      <c r="O521">
        <v>20</v>
      </c>
      <c r="P521">
        <v>39</v>
      </c>
      <c r="R521">
        <v>30</v>
      </c>
      <c r="T521">
        <v>0</v>
      </c>
      <c r="V521" t="s">
        <v>116</v>
      </c>
      <c r="Y521" s="38">
        <v>0.7</v>
      </c>
      <c r="Z521" s="38">
        <v>0.79166666666666663</v>
      </c>
      <c r="AA521" t="s">
        <v>117</v>
      </c>
      <c r="AC521" t="s">
        <v>136</v>
      </c>
      <c r="AE521">
        <v>0.36759999999999998</v>
      </c>
      <c r="AQ521">
        <v>4.5900000000000003E-2</v>
      </c>
      <c r="AR521">
        <v>0.13780000000000001</v>
      </c>
      <c r="BJ521">
        <v>4.5900000000000003E-2</v>
      </c>
      <c r="BK521">
        <f>0</f>
        <v>0</v>
      </c>
      <c r="BL521">
        <f t="shared" si="120"/>
        <v>0.59720000000000006</v>
      </c>
      <c r="BM521">
        <f t="shared" si="121"/>
        <v>0</v>
      </c>
      <c r="BN521">
        <f t="shared" si="122"/>
        <v>0</v>
      </c>
      <c r="BO521">
        <f t="shared" si="123"/>
        <v>1</v>
      </c>
      <c r="BP521" s="37">
        <f>IF($F521="","",IFERROR(INDEX(Familias!$C$5:$C$300,MATCH($F521,Familias!$A$5:$A$300,0)),""))</f>
        <v>2990</v>
      </c>
      <c r="BQ521" s="37">
        <f t="shared" si="124"/>
        <v>4275</v>
      </c>
      <c r="BR521" s="36">
        <f t="shared" si="125"/>
        <v>2.2056</v>
      </c>
      <c r="BS521" s="36">
        <f t="shared" si="126"/>
        <v>0.59719999999999995</v>
      </c>
      <c r="BT521" s="36">
        <f t="shared" si="127"/>
        <v>1.6084000000000001</v>
      </c>
      <c r="BU521" s="36">
        <f t="shared" si="128"/>
        <v>1.4298</v>
      </c>
      <c r="BV521" s="39">
        <f t="shared" si="129"/>
        <v>0.88895797065406612</v>
      </c>
      <c r="BW521" s="39">
        <f t="shared" si="130"/>
        <v>0.99649122807017543</v>
      </c>
      <c r="BX521" s="40">
        <f t="shared" si="131"/>
        <v>7.2123176661264179E-2</v>
      </c>
      <c r="BY521" s="40">
        <f t="shared" si="132"/>
        <v>0</v>
      </c>
      <c r="BZ521" t="str">
        <f t="shared" si="133"/>
        <v>OK</v>
      </c>
      <c r="CA521">
        <f t="shared" si="134"/>
        <v>1</v>
      </c>
    </row>
    <row r="522" spans="1:80" x14ac:dyDescent="0.25">
      <c r="A522" s="35">
        <v>46060</v>
      </c>
      <c r="B522" s="36">
        <v>12</v>
      </c>
      <c r="C522" t="s">
        <v>119</v>
      </c>
      <c r="D522" t="s">
        <v>6</v>
      </c>
      <c r="E522" t="s">
        <v>114</v>
      </c>
      <c r="F522" t="s">
        <v>114</v>
      </c>
      <c r="G522">
        <v>3521</v>
      </c>
      <c r="H522">
        <v>2140110699</v>
      </c>
      <c r="I522" t="s">
        <v>115</v>
      </c>
      <c r="J522" s="37">
        <v>21100</v>
      </c>
      <c r="K522" s="37">
        <v>10</v>
      </c>
      <c r="M522">
        <v>4870</v>
      </c>
      <c r="O522">
        <v>70</v>
      </c>
      <c r="P522">
        <v>18</v>
      </c>
      <c r="T522">
        <v>6</v>
      </c>
      <c r="V522" t="s">
        <v>120</v>
      </c>
      <c r="Y522" s="38">
        <v>0.79166666666666663</v>
      </c>
      <c r="Z522" s="38">
        <v>0.29166666666666669</v>
      </c>
      <c r="AA522" t="s">
        <v>117</v>
      </c>
      <c r="AC522" t="s">
        <v>118</v>
      </c>
      <c r="AR522">
        <v>0.75</v>
      </c>
      <c r="BC522">
        <v>0.25</v>
      </c>
      <c r="BI522">
        <v>0.5</v>
      </c>
      <c r="BK522">
        <f>0</f>
        <v>0</v>
      </c>
      <c r="BL522">
        <f t="shared" si="120"/>
        <v>1.5</v>
      </c>
      <c r="BM522">
        <f t="shared" si="121"/>
        <v>0</v>
      </c>
      <c r="BN522">
        <f t="shared" si="122"/>
        <v>0</v>
      </c>
      <c r="BO522">
        <f t="shared" si="123"/>
        <v>1</v>
      </c>
      <c r="BP522" s="37">
        <f>IF($F522="","",IFERROR(INDEX(Familias!$C$5:$C$300,MATCH($F522,Familias!$A$5:$A$300,0)),""))</f>
        <v>2990</v>
      </c>
      <c r="BQ522" s="37">
        <f t="shared" si="124"/>
        <v>21110</v>
      </c>
      <c r="BR522" s="36">
        <f t="shared" si="125"/>
        <v>12</v>
      </c>
      <c r="BS522" s="36">
        <f t="shared" si="126"/>
        <v>1.5</v>
      </c>
      <c r="BT522" s="36">
        <f t="shared" si="127"/>
        <v>10.5</v>
      </c>
      <c r="BU522" s="36">
        <f t="shared" si="128"/>
        <v>7.0602</v>
      </c>
      <c r="BV522" s="39">
        <f t="shared" si="129"/>
        <v>0.6724</v>
      </c>
      <c r="BW522" s="39">
        <f t="shared" si="130"/>
        <v>0.99952629085741351</v>
      </c>
      <c r="BX522" s="40">
        <f t="shared" si="131"/>
        <v>1.8069815195071868E-2</v>
      </c>
      <c r="BY522" s="40">
        <f t="shared" si="132"/>
        <v>0</v>
      </c>
      <c r="BZ522" t="str">
        <f t="shared" si="133"/>
        <v>OK</v>
      </c>
      <c r="CA522">
        <f t="shared" si="134"/>
        <v>1</v>
      </c>
    </row>
    <row r="523" spans="1:80" x14ac:dyDescent="0.25">
      <c r="A523" s="35">
        <v>46062</v>
      </c>
      <c r="B523" s="36">
        <v>12</v>
      </c>
      <c r="C523" t="s">
        <v>113</v>
      </c>
      <c r="D523" t="s">
        <v>6</v>
      </c>
      <c r="E523" t="s">
        <v>114</v>
      </c>
      <c r="F523" t="s">
        <v>114</v>
      </c>
      <c r="G523">
        <v>3521</v>
      </c>
      <c r="H523">
        <v>2140110699</v>
      </c>
      <c r="I523" t="s">
        <v>115</v>
      </c>
      <c r="J523" s="37">
        <v>23600</v>
      </c>
      <c r="K523" s="37">
        <v>5</v>
      </c>
      <c r="M523">
        <v>5628</v>
      </c>
      <c r="O523">
        <v>74</v>
      </c>
      <c r="P523">
        <v>24</v>
      </c>
      <c r="Q523">
        <v>70</v>
      </c>
      <c r="T523">
        <v>8</v>
      </c>
      <c r="V523" t="s">
        <v>120</v>
      </c>
      <c r="Y523" s="38">
        <v>0.29166666666666669</v>
      </c>
      <c r="Z523" s="38">
        <v>0.79166666666666663</v>
      </c>
      <c r="AA523" t="s">
        <v>117</v>
      </c>
      <c r="AC523" t="s">
        <v>118</v>
      </c>
      <c r="AD523">
        <v>1</v>
      </c>
      <c r="AR523">
        <v>0.75</v>
      </c>
      <c r="BI523">
        <v>4.25</v>
      </c>
      <c r="BK523">
        <f>0</f>
        <v>0</v>
      </c>
      <c r="BL523">
        <f t="shared" si="120"/>
        <v>6</v>
      </c>
      <c r="BM523">
        <f t="shared" si="121"/>
        <v>0</v>
      </c>
      <c r="BN523">
        <f t="shared" si="122"/>
        <v>0</v>
      </c>
      <c r="BO523">
        <f t="shared" si="123"/>
        <v>1</v>
      </c>
      <c r="BP523" s="37">
        <f>IF($F523="","",IFERROR(INDEX(Familias!$C$5:$C$300,MATCH($F523,Familias!$A$5:$A$300,0)),""))</f>
        <v>2990</v>
      </c>
      <c r="BQ523" s="37">
        <f t="shared" si="124"/>
        <v>23605</v>
      </c>
      <c r="BR523" s="36">
        <f t="shared" si="125"/>
        <v>12</v>
      </c>
      <c r="BS523" s="36">
        <f t="shared" si="126"/>
        <v>6</v>
      </c>
      <c r="BT523" s="36">
        <f t="shared" si="127"/>
        <v>6</v>
      </c>
      <c r="BU523" s="36">
        <f t="shared" si="128"/>
        <v>7.8945999999999996</v>
      </c>
      <c r="BV523" s="39">
        <f t="shared" si="129"/>
        <v>1.3157666666666665</v>
      </c>
      <c r="BW523" s="39">
        <f t="shared" si="130"/>
        <v>0.99978818047023932</v>
      </c>
      <c r="BX523" s="40">
        <f t="shared" si="131"/>
        <v>1.7412935323383085E-2</v>
      </c>
      <c r="BY523" s="40">
        <f t="shared" si="132"/>
        <v>1.2437810945273632E-2</v>
      </c>
      <c r="BZ523" t="str">
        <f t="shared" si="133"/>
        <v>Revisar rendimiento</v>
      </c>
      <c r="CA523">
        <f t="shared" si="134"/>
        <v>1</v>
      </c>
    </row>
    <row r="524" spans="1:80" x14ac:dyDescent="0.25">
      <c r="A524" s="35">
        <v>46062</v>
      </c>
      <c r="B524" s="36">
        <v>12</v>
      </c>
      <c r="C524" t="s">
        <v>119</v>
      </c>
      <c r="D524" t="s">
        <v>6</v>
      </c>
      <c r="E524" t="s">
        <v>114</v>
      </c>
      <c r="F524" t="s">
        <v>114</v>
      </c>
      <c r="G524">
        <v>3521</v>
      </c>
      <c r="H524">
        <v>2140110699</v>
      </c>
      <c r="I524" t="s">
        <v>115</v>
      </c>
      <c r="J524" s="37">
        <v>23600</v>
      </c>
      <c r="K524" s="37"/>
      <c r="M524">
        <v>5544</v>
      </c>
      <c r="O524">
        <v>80</v>
      </c>
      <c r="P524">
        <v>16</v>
      </c>
      <c r="Q524">
        <v>69</v>
      </c>
      <c r="T524">
        <v>7</v>
      </c>
      <c r="V524" t="s">
        <v>224</v>
      </c>
      <c r="Y524" s="38">
        <v>0.79166666666666663</v>
      </c>
      <c r="Z524" s="38">
        <v>0.29166666666666669</v>
      </c>
      <c r="AA524" t="s">
        <v>117</v>
      </c>
      <c r="AC524" t="s">
        <v>118</v>
      </c>
      <c r="AD524">
        <v>0.5</v>
      </c>
      <c r="AQ524">
        <v>0.25</v>
      </c>
      <c r="AR524">
        <v>0.75</v>
      </c>
      <c r="BK524">
        <f>0</f>
        <v>0</v>
      </c>
      <c r="BL524">
        <f t="shared" si="120"/>
        <v>1.5</v>
      </c>
      <c r="BM524">
        <f t="shared" si="121"/>
        <v>0</v>
      </c>
      <c r="BN524">
        <f t="shared" si="122"/>
        <v>0</v>
      </c>
      <c r="BO524">
        <f t="shared" si="123"/>
        <v>1</v>
      </c>
      <c r="BP524" s="37">
        <f>IF($F524="","",IFERROR(INDEX(Familias!$C$5:$C$300,MATCH($F524,Familias!$A$5:$A$300,0)),""))</f>
        <v>2990</v>
      </c>
      <c r="BQ524" s="37">
        <f t="shared" si="124"/>
        <v>23600</v>
      </c>
      <c r="BR524" s="36">
        <f t="shared" si="125"/>
        <v>12</v>
      </c>
      <c r="BS524" s="36">
        <f t="shared" si="126"/>
        <v>1.5</v>
      </c>
      <c r="BT524" s="36">
        <f t="shared" si="127"/>
        <v>10.5</v>
      </c>
      <c r="BU524" s="36">
        <f t="shared" si="128"/>
        <v>7.8929999999999998</v>
      </c>
      <c r="BV524" s="39">
        <f t="shared" si="129"/>
        <v>0.75171428571428567</v>
      </c>
      <c r="BW524" s="39">
        <f t="shared" si="130"/>
        <v>1</v>
      </c>
      <c r="BX524" s="40">
        <f t="shared" si="131"/>
        <v>1.7316017316017316E-2</v>
      </c>
      <c r="BY524" s="40">
        <f t="shared" si="132"/>
        <v>1.2445887445887446E-2</v>
      </c>
      <c r="BZ524" t="str">
        <f t="shared" si="133"/>
        <v>OK</v>
      </c>
      <c r="CA524">
        <f t="shared" si="134"/>
        <v>1</v>
      </c>
    </row>
    <row r="525" spans="1:80" x14ac:dyDescent="0.25">
      <c r="A525" s="35">
        <v>46063</v>
      </c>
      <c r="B525" s="36">
        <v>12</v>
      </c>
      <c r="C525" t="s">
        <v>113</v>
      </c>
      <c r="D525" t="s">
        <v>6</v>
      </c>
      <c r="E525" t="s">
        <v>114</v>
      </c>
      <c r="F525" t="s">
        <v>114</v>
      </c>
      <c r="G525">
        <v>521</v>
      </c>
      <c r="H525">
        <v>2140110699</v>
      </c>
      <c r="I525" t="s">
        <v>115</v>
      </c>
      <c r="J525" s="37">
        <v>25300</v>
      </c>
      <c r="K525" s="37">
        <v>10</v>
      </c>
      <c r="M525">
        <v>6062</v>
      </c>
      <c r="O525">
        <v>76</v>
      </c>
      <c r="P525">
        <v>24</v>
      </c>
      <c r="Q525">
        <v>78</v>
      </c>
      <c r="T525">
        <v>8</v>
      </c>
      <c r="V525" t="s">
        <v>120</v>
      </c>
      <c r="Y525" s="38">
        <v>0.29166666666666669</v>
      </c>
      <c r="Z525" s="38">
        <v>0.79166666666666663</v>
      </c>
      <c r="AA525" t="s">
        <v>117</v>
      </c>
      <c r="AC525" t="s">
        <v>118</v>
      </c>
      <c r="AD525">
        <v>0.33329999999999999</v>
      </c>
      <c r="AQ525">
        <v>0.5</v>
      </c>
      <c r="AR525">
        <v>0.75</v>
      </c>
      <c r="BJ525">
        <v>0.5</v>
      </c>
      <c r="BK525">
        <f>0</f>
        <v>0</v>
      </c>
      <c r="BL525">
        <f t="shared" si="120"/>
        <v>2.0832999999999999</v>
      </c>
      <c r="BM525">
        <f t="shared" si="121"/>
        <v>0</v>
      </c>
      <c r="BN525">
        <f t="shared" si="122"/>
        <v>0</v>
      </c>
      <c r="BO525">
        <f t="shared" si="123"/>
        <v>1</v>
      </c>
      <c r="BP525" s="37">
        <f>IF($F525="","",IFERROR(INDEX(Familias!$C$5:$C$300,MATCH($F525,Familias!$A$5:$A$300,0)),""))</f>
        <v>2990</v>
      </c>
      <c r="BQ525" s="37">
        <f t="shared" si="124"/>
        <v>25310</v>
      </c>
      <c r="BR525" s="36">
        <f t="shared" si="125"/>
        <v>12</v>
      </c>
      <c r="BS525" s="36">
        <f t="shared" si="126"/>
        <v>2.0832999999999999</v>
      </c>
      <c r="BT525" s="36">
        <f t="shared" si="127"/>
        <v>9.9167000000000005</v>
      </c>
      <c r="BU525" s="36">
        <f t="shared" si="128"/>
        <v>8.4649000000000001</v>
      </c>
      <c r="BV525" s="39">
        <f t="shared" si="129"/>
        <v>0.8536004920991862</v>
      </c>
      <c r="BW525" s="39">
        <f t="shared" si="130"/>
        <v>0.99960489924930862</v>
      </c>
      <c r="BX525" s="40">
        <f t="shared" si="131"/>
        <v>1.649620587264929E-2</v>
      </c>
      <c r="BY525" s="40">
        <f t="shared" si="132"/>
        <v>1.2867040580666447E-2</v>
      </c>
      <c r="BZ525" t="str">
        <f t="shared" si="133"/>
        <v>OK</v>
      </c>
      <c r="CA525">
        <f t="shared" si="134"/>
        <v>1</v>
      </c>
    </row>
    <row r="526" spans="1:80" x14ac:dyDescent="0.25">
      <c r="A526" s="35">
        <v>46063</v>
      </c>
      <c r="B526" s="36">
        <v>12</v>
      </c>
      <c r="C526" t="s">
        <v>119</v>
      </c>
      <c r="D526" t="s">
        <v>6</v>
      </c>
      <c r="E526" t="s">
        <v>114</v>
      </c>
      <c r="F526" t="s">
        <v>114</v>
      </c>
      <c r="G526">
        <v>3521</v>
      </c>
      <c r="H526">
        <v>2140110699</v>
      </c>
      <c r="I526" t="s">
        <v>115</v>
      </c>
      <c r="J526" s="37">
        <v>16750</v>
      </c>
      <c r="K526" s="37">
        <v>20</v>
      </c>
      <c r="M526">
        <v>4197</v>
      </c>
      <c r="O526">
        <v>180</v>
      </c>
      <c r="P526">
        <v>10</v>
      </c>
      <c r="Q526">
        <v>90</v>
      </c>
      <c r="T526">
        <v>5</v>
      </c>
      <c r="V526" t="s">
        <v>224</v>
      </c>
      <c r="Y526" s="38">
        <v>0.79166666666666663</v>
      </c>
      <c r="Z526" s="38">
        <v>0.29166666666666669</v>
      </c>
      <c r="AA526" t="s">
        <v>117</v>
      </c>
      <c r="AC526" t="s">
        <v>118</v>
      </c>
      <c r="AD526">
        <v>0.5</v>
      </c>
      <c r="AQ526">
        <v>0.25</v>
      </c>
      <c r="AR526">
        <v>0.75</v>
      </c>
      <c r="BJ526">
        <v>2.0832999999999999</v>
      </c>
      <c r="BK526">
        <f>0</f>
        <v>0</v>
      </c>
      <c r="BL526">
        <f t="shared" si="120"/>
        <v>3.5832999999999999</v>
      </c>
      <c r="BM526">
        <f t="shared" si="121"/>
        <v>0</v>
      </c>
      <c r="BN526">
        <f t="shared" si="122"/>
        <v>0</v>
      </c>
      <c r="BO526">
        <f t="shared" si="123"/>
        <v>1</v>
      </c>
      <c r="BP526" s="37">
        <f>IF($F526="","",IFERROR(INDEX(Familias!$C$5:$C$300,MATCH($F526,Familias!$A$5:$A$300,0)),""))</f>
        <v>2990</v>
      </c>
      <c r="BQ526" s="37">
        <f t="shared" si="124"/>
        <v>16770</v>
      </c>
      <c r="BR526" s="36">
        <f t="shared" si="125"/>
        <v>12</v>
      </c>
      <c r="BS526" s="36">
        <f t="shared" si="126"/>
        <v>3.5832999999999999</v>
      </c>
      <c r="BT526" s="36">
        <f t="shared" si="127"/>
        <v>8.4167000000000005</v>
      </c>
      <c r="BU526" s="36">
        <f t="shared" si="128"/>
        <v>5.6086999999999998</v>
      </c>
      <c r="BV526" s="39">
        <f t="shared" si="129"/>
        <v>0.66637755890075678</v>
      </c>
      <c r="BW526" s="39">
        <f t="shared" si="130"/>
        <v>0.99880739415623132</v>
      </c>
      <c r="BX526" s="40">
        <f t="shared" si="131"/>
        <v>4.5270431260424113E-2</v>
      </c>
      <c r="BY526" s="40">
        <f t="shared" si="132"/>
        <v>2.1443888491779844E-2</v>
      </c>
      <c r="BZ526" t="str">
        <f t="shared" si="133"/>
        <v>OK</v>
      </c>
      <c r="CA526">
        <f t="shared" si="134"/>
        <v>1</v>
      </c>
    </row>
    <row r="527" spans="1:80" x14ac:dyDescent="0.25">
      <c r="A527" s="35">
        <v>46064</v>
      </c>
      <c r="B527" s="36">
        <v>2.8043</v>
      </c>
      <c r="C527" t="s">
        <v>113</v>
      </c>
      <c r="D527" t="s">
        <v>6</v>
      </c>
      <c r="E527" t="s">
        <v>114</v>
      </c>
      <c r="F527" t="s">
        <v>114</v>
      </c>
      <c r="G527">
        <v>3521</v>
      </c>
      <c r="H527">
        <v>2140110699</v>
      </c>
      <c r="I527" t="s">
        <v>115</v>
      </c>
      <c r="J527" s="37">
        <v>5500</v>
      </c>
      <c r="K527" s="37"/>
      <c r="M527">
        <v>1799</v>
      </c>
      <c r="O527">
        <v>10</v>
      </c>
      <c r="P527">
        <v>9</v>
      </c>
      <c r="T527">
        <v>3</v>
      </c>
      <c r="V527" t="s">
        <v>120</v>
      </c>
      <c r="Y527" s="38">
        <v>0.29166666666666669</v>
      </c>
      <c r="Z527" s="38">
        <v>0.40833333333333333</v>
      </c>
      <c r="AA527" t="s">
        <v>117</v>
      </c>
      <c r="AC527" t="s">
        <v>136</v>
      </c>
      <c r="AD527">
        <v>7.7899999999999997E-2</v>
      </c>
      <c r="AO527">
        <v>7.7899999999999997E-2</v>
      </c>
      <c r="AQ527">
        <v>0.38950000000000001</v>
      </c>
      <c r="AR527">
        <v>0.17530000000000001</v>
      </c>
      <c r="BJ527">
        <v>0.66210000000000002</v>
      </c>
      <c r="BK527">
        <f>0</f>
        <v>0</v>
      </c>
      <c r="BL527">
        <f t="shared" si="120"/>
        <v>1.3827</v>
      </c>
      <c r="BM527">
        <f t="shared" si="121"/>
        <v>0</v>
      </c>
      <c r="BN527">
        <f t="shared" si="122"/>
        <v>0</v>
      </c>
      <c r="BO527">
        <f t="shared" si="123"/>
        <v>1</v>
      </c>
      <c r="BP527" s="37">
        <f>IF($F527="","",IFERROR(INDEX(Familias!$C$5:$C$300,MATCH($F527,Familias!$A$5:$A$300,0)),""))</f>
        <v>2990</v>
      </c>
      <c r="BQ527" s="37">
        <f t="shared" si="124"/>
        <v>5500</v>
      </c>
      <c r="BR527" s="36">
        <f t="shared" si="125"/>
        <v>2.8043</v>
      </c>
      <c r="BS527" s="36">
        <f t="shared" si="126"/>
        <v>1.3827</v>
      </c>
      <c r="BT527" s="36">
        <f t="shared" si="127"/>
        <v>1.4216</v>
      </c>
      <c r="BU527" s="36">
        <f t="shared" si="128"/>
        <v>1.8394999999999999</v>
      </c>
      <c r="BV527" s="39">
        <f t="shared" si="129"/>
        <v>1.2939645469893077</v>
      </c>
      <c r="BW527" s="39">
        <f t="shared" si="130"/>
        <v>1</v>
      </c>
      <c r="BX527" s="40">
        <f t="shared" si="131"/>
        <v>1.0561423012784881E-2</v>
      </c>
      <c r="BY527" s="40">
        <f t="shared" si="132"/>
        <v>0</v>
      </c>
      <c r="BZ527" t="str">
        <f t="shared" si="133"/>
        <v>Revisar rendimiento</v>
      </c>
      <c r="CA527">
        <f t="shared" si="134"/>
        <v>1</v>
      </c>
    </row>
    <row r="528" spans="1:80" x14ac:dyDescent="0.25">
      <c r="A528" s="35">
        <v>46064</v>
      </c>
      <c r="B528" s="36">
        <v>8.016</v>
      </c>
      <c r="C528" t="s">
        <v>113</v>
      </c>
      <c r="D528" t="s">
        <v>6</v>
      </c>
      <c r="E528" t="s">
        <v>114</v>
      </c>
      <c r="F528" t="s">
        <v>210</v>
      </c>
      <c r="G528">
        <v>3516</v>
      </c>
      <c r="H528">
        <v>2140110703</v>
      </c>
      <c r="I528" t="s">
        <v>216</v>
      </c>
      <c r="J528" s="37">
        <v>13250</v>
      </c>
      <c r="K528" s="37"/>
      <c r="M528">
        <v>2937</v>
      </c>
      <c r="O528">
        <v>53</v>
      </c>
      <c r="P528">
        <v>9</v>
      </c>
      <c r="T528">
        <v>3</v>
      </c>
      <c r="V528" t="s">
        <v>120</v>
      </c>
      <c r="Y528" s="38">
        <v>0.40833333333333333</v>
      </c>
      <c r="Z528" s="38">
        <v>0.74236111111111114</v>
      </c>
      <c r="AA528" t="s">
        <v>117</v>
      </c>
      <c r="AC528" t="s">
        <v>136</v>
      </c>
      <c r="AD528">
        <v>0.22270000000000001</v>
      </c>
      <c r="AO528">
        <v>0.22270000000000001</v>
      </c>
      <c r="AQ528">
        <v>1.1133</v>
      </c>
      <c r="AR528">
        <v>0.501</v>
      </c>
      <c r="BJ528">
        <v>1.8927</v>
      </c>
      <c r="BK528">
        <f>0</f>
        <v>0</v>
      </c>
      <c r="BL528">
        <f t="shared" si="120"/>
        <v>3.9523999999999999</v>
      </c>
      <c r="BM528">
        <f t="shared" si="121"/>
        <v>0</v>
      </c>
      <c r="BN528">
        <f t="shared" si="122"/>
        <v>0</v>
      </c>
      <c r="BO528">
        <f t="shared" si="123"/>
        <v>1</v>
      </c>
      <c r="BP528" s="37">
        <f>IF($F528="","",IFERROR(INDEX(Familias!$C$5:$C$300,MATCH($F528,Familias!$A$5:$A$300,0)),""))</f>
        <v>2520</v>
      </c>
      <c r="BQ528" s="37">
        <f t="shared" si="124"/>
        <v>13250</v>
      </c>
      <c r="BR528" s="36">
        <f t="shared" si="125"/>
        <v>8.016</v>
      </c>
      <c r="BS528" s="36">
        <f t="shared" si="126"/>
        <v>3.9523999999999999</v>
      </c>
      <c r="BT528" s="36">
        <f t="shared" si="127"/>
        <v>4.0636000000000001</v>
      </c>
      <c r="BU528" s="36">
        <f t="shared" si="128"/>
        <v>5.2579000000000002</v>
      </c>
      <c r="BV528" s="39">
        <f t="shared" si="129"/>
        <v>1.293901958854218</v>
      </c>
      <c r="BW528" s="39">
        <f t="shared" si="130"/>
        <v>1</v>
      </c>
      <c r="BX528" s="40">
        <f t="shared" si="131"/>
        <v>2.1109976166155942E-2</v>
      </c>
      <c r="BY528" s="40">
        <f t="shared" si="132"/>
        <v>0</v>
      </c>
      <c r="BZ528" t="str">
        <f t="shared" si="133"/>
        <v>Revisar rendimiento</v>
      </c>
      <c r="CA528">
        <f t="shared" si="134"/>
        <v>1</v>
      </c>
    </row>
    <row r="529" spans="1:80" x14ac:dyDescent="0.25">
      <c r="A529" s="35">
        <v>46064</v>
      </c>
      <c r="B529" s="36">
        <v>1.1797</v>
      </c>
      <c r="C529" t="s">
        <v>113</v>
      </c>
      <c r="D529" t="s">
        <v>6</v>
      </c>
      <c r="E529" t="s">
        <v>114</v>
      </c>
      <c r="F529" t="s">
        <v>210</v>
      </c>
      <c r="G529">
        <v>3517</v>
      </c>
      <c r="H529">
        <v>2140110707</v>
      </c>
      <c r="I529" t="s">
        <v>211</v>
      </c>
      <c r="J529" s="37">
        <v>1950</v>
      </c>
      <c r="K529" s="37"/>
      <c r="M529">
        <v>885</v>
      </c>
      <c r="O529">
        <v>10</v>
      </c>
      <c r="P529">
        <v>3</v>
      </c>
      <c r="T529">
        <v>0</v>
      </c>
      <c r="V529" t="s">
        <v>120</v>
      </c>
      <c r="Y529" s="38">
        <v>0.74236111111111114</v>
      </c>
      <c r="Z529" s="38">
        <v>0.79166666666666663</v>
      </c>
      <c r="AA529" t="s">
        <v>117</v>
      </c>
      <c r="AC529" t="s">
        <v>136</v>
      </c>
      <c r="AD529">
        <v>3.2800000000000003E-2</v>
      </c>
      <c r="AO529">
        <v>3.2800000000000003E-2</v>
      </c>
      <c r="AQ529">
        <v>0.1638</v>
      </c>
      <c r="AR529">
        <v>7.3700000000000002E-2</v>
      </c>
      <c r="BJ529">
        <v>0.27850000000000003</v>
      </c>
      <c r="BK529">
        <f>0</f>
        <v>0</v>
      </c>
      <c r="BL529">
        <f t="shared" si="120"/>
        <v>0.58160000000000001</v>
      </c>
      <c r="BM529">
        <f t="shared" si="121"/>
        <v>0</v>
      </c>
      <c r="BN529">
        <f t="shared" si="122"/>
        <v>0</v>
      </c>
      <c r="BO529">
        <f t="shared" si="123"/>
        <v>1</v>
      </c>
      <c r="BP529" s="37">
        <f>IF($F529="","",IFERROR(INDEX(Familias!$C$5:$C$300,MATCH($F529,Familias!$A$5:$A$300,0)),""))</f>
        <v>2520</v>
      </c>
      <c r="BQ529" s="37">
        <f t="shared" si="124"/>
        <v>1950</v>
      </c>
      <c r="BR529" s="36">
        <f t="shared" si="125"/>
        <v>1.1797</v>
      </c>
      <c r="BS529" s="36">
        <f t="shared" si="126"/>
        <v>0.58160000000000001</v>
      </c>
      <c r="BT529" s="36">
        <f t="shared" si="127"/>
        <v>0.59809999999999997</v>
      </c>
      <c r="BU529" s="36">
        <f t="shared" si="128"/>
        <v>0.77380000000000004</v>
      </c>
      <c r="BV529" s="39">
        <f t="shared" si="129"/>
        <v>1.2937635846848354</v>
      </c>
      <c r="BW529" s="39">
        <f t="shared" si="130"/>
        <v>1</v>
      </c>
      <c r="BX529" s="40">
        <f t="shared" si="131"/>
        <v>1.4689265536723164E-2</v>
      </c>
      <c r="BY529" s="40">
        <f t="shared" si="132"/>
        <v>0</v>
      </c>
      <c r="BZ529" t="str">
        <f t="shared" si="133"/>
        <v>Revisar rendimiento</v>
      </c>
      <c r="CA529">
        <f t="shared" si="134"/>
        <v>1</v>
      </c>
    </row>
    <row r="530" spans="1:80" x14ac:dyDescent="0.25">
      <c r="A530" s="35">
        <v>46064</v>
      </c>
      <c r="B530" s="36">
        <v>12</v>
      </c>
      <c r="C530" t="s">
        <v>119</v>
      </c>
      <c r="D530" t="s">
        <v>6</v>
      </c>
      <c r="E530" t="s">
        <v>114</v>
      </c>
      <c r="F530" t="s">
        <v>210</v>
      </c>
      <c r="G530">
        <v>3517</v>
      </c>
      <c r="H530">
        <v>2140110707</v>
      </c>
      <c r="I530" t="s">
        <v>211</v>
      </c>
      <c r="J530" s="37">
        <v>10900</v>
      </c>
      <c r="K530" s="37">
        <v>25</v>
      </c>
      <c r="M530">
        <v>2930</v>
      </c>
      <c r="O530">
        <v>150</v>
      </c>
      <c r="P530">
        <v>13</v>
      </c>
      <c r="Q530">
        <v>50</v>
      </c>
      <c r="T530">
        <v>4</v>
      </c>
      <c r="V530" t="s">
        <v>224</v>
      </c>
      <c r="Y530" s="38">
        <v>0.79166666666666663</v>
      </c>
      <c r="Z530" s="38">
        <v>0.29166666666666669</v>
      </c>
      <c r="AA530" t="s">
        <v>117</v>
      </c>
      <c r="AC530" t="s">
        <v>118</v>
      </c>
      <c r="AD530">
        <v>0.5</v>
      </c>
      <c r="AQ530">
        <v>0.25</v>
      </c>
      <c r="AR530">
        <v>0.75</v>
      </c>
      <c r="BJ530">
        <v>2.75</v>
      </c>
      <c r="BK530">
        <f>0</f>
        <v>0</v>
      </c>
      <c r="BL530">
        <f t="shared" si="120"/>
        <v>4.25</v>
      </c>
      <c r="BM530">
        <f t="shared" si="121"/>
        <v>0</v>
      </c>
      <c r="BN530">
        <f t="shared" si="122"/>
        <v>0</v>
      </c>
      <c r="BO530">
        <f t="shared" si="123"/>
        <v>1</v>
      </c>
      <c r="BP530" s="37">
        <f>IF($F530="","",IFERROR(INDEX(Familias!$C$5:$C$300,MATCH($F530,Familias!$A$5:$A$300,0)),""))</f>
        <v>2520</v>
      </c>
      <c r="BQ530" s="37">
        <f t="shared" si="124"/>
        <v>10925</v>
      </c>
      <c r="BR530" s="36">
        <f t="shared" si="125"/>
        <v>12</v>
      </c>
      <c r="BS530" s="36">
        <f t="shared" si="126"/>
        <v>4.25</v>
      </c>
      <c r="BT530" s="36">
        <f t="shared" si="127"/>
        <v>7.75</v>
      </c>
      <c r="BU530" s="36">
        <f t="shared" si="128"/>
        <v>4.3353000000000002</v>
      </c>
      <c r="BV530" s="39">
        <f t="shared" si="129"/>
        <v>0.55939354838709676</v>
      </c>
      <c r="BW530" s="39">
        <f t="shared" si="130"/>
        <v>0.99771167048054921</v>
      </c>
      <c r="BX530" s="40">
        <f t="shared" si="131"/>
        <v>5.5631399317406141E-2</v>
      </c>
      <c r="BY530" s="40">
        <f t="shared" si="132"/>
        <v>1.7064846416382253E-2</v>
      </c>
      <c r="BZ530" t="str">
        <f t="shared" si="133"/>
        <v>OK</v>
      </c>
      <c r="CA530">
        <f t="shared" si="134"/>
        <v>1</v>
      </c>
    </row>
    <row r="531" spans="1:80" x14ac:dyDescent="0.25">
      <c r="A531" s="35">
        <v>46065</v>
      </c>
      <c r="B531" s="36">
        <v>10.3055</v>
      </c>
      <c r="C531" t="s">
        <v>113</v>
      </c>
      <c r="D531" t="s">
        <v>6</v>
      </c>
      <c r="E531" t="s">
        <v>114</v>
      </c>
      <c r="F531" t="s">
        <v>210</v>
      </c>
      <c r="G531">
        <v>3517</v>
      </c>
      <c r="H531">
        <v>2140110707</v>
      </c>
      <c r="I531" t="s">
        <v>211</v>
      </c>
      <c r="J531" s="37">
        <v>19150</v>
      </c>
      <c r="K531" s="37">
        <v>8</v>
      </c>
      <c r="M531">
        <v>4866</v>
      </c>
      <c r="O531">
        <v>60</v>
      </c>
      <c r="P531">
        <v>24</v>
      </c>
      <c r="Q531">
        <v>64</v>
      </c>
      <c r="T531">
        <v>8</v>
      </c>
      <c r="V531" t="s">
        <v>120</v>
      </c>
      <c r="Y531" s="38">
        <v>0.29166666666666669</v>
      </c>
      <c r="Z531" s="38">
        <v>0.72083333333333333</v>
      </c>
      <c r="AA531" t="s">
        <v>117</v>
      </c>
      <c r="AC531" t="s">
        <v>121</v>
      </c>
      <c r="AD531">
        <v>0.501</v>
      </c>
      <c r="AF531">
        <v>2.3616999999999999</v>
      </c>
      <c r="AG531">
        <v>2.7911000000000001</v>
      </c>
      <c r="AR531">
        <v>0.64410000000000001</v>
      </c>
      <c r="BJ531">
        <v>3.7214</v>
      </c>
      <c r="BK531">
        <f>0</f>
        <v>0</v>
      </c>
      <c r="BL531">
        <f t="shared" si="120"/>
        <v>10.019300000000001</v>
      </c>
      <c r="BM531">
        <f t="shared" si="121"/>
        <v>0</v>
      </c>
      <c r="BN531">
        <f t="shared" si="122"/>
        <v>0</v>
      </c>
      <c r="BO531">
        <f t="shared" si="123"/>
        <v>1</v>
      </c>
      <c r="BP531" s="37">
        <f>IF($F531="","",IFERROR(INDEX(Familias!$C$5:$C$300,MATCH($F531,Familias!$A$5:$A$300,0)),""))</f>
        <v>2520</v>
      </c>
      <c r="BQ531" s="37">
        <f t="shared" si="124"/>
        <v>19158</v>
      </c>
      <c r="BR531" s="36">
        <f t="shared" si="125"/>
        <v>10.3055</v>
      </c>
      <c r="BS531" s="36">
        <f t="shared" si="126"/>
        <v>10.019299999999999</v>
      </c>
      <c r="BT531" s="36">
        <f t="shared" si="127"/>
        <v>0.28620000000000001</v>
      </c>
      <c r="BU531" s="36">
        <f t="shared" si="128"/>
        <v>7.6024000000000003</v>
      </c>
      <c r="BV531" s="39">
        <f t="shared" si="129"/>
        <v>26.56324248777079</v>
      </c>
      <c r="BW531" s="39">
        <f t="shared" si="130"/>
        <v>0.99958241987681384</v>
      </c>
      <c r="BX531" s="40">
        <f t="shared" si="131"/>
        <v>1.7262638717632551E-2</v>
      </c>
      <c r="BY531" s="40">
        <f t="shared" si="132"/>
        <v>1.3152486642005754E-2</v>
      </c>
      <c r="BZ531" t="str">
        <f t="shared" si="133"/>
        <v>Revisar rendimiento</v>
      </c>
      <c r="CA531">
        <f t="shared" si="134"/>
        <v>1</v>
      </c>
    </row>
    <row r="532" spans="1:80" x14ac:dyDescent="0.25">
      <c r="A532" s="35">
        <v>46065</v>
      </c>
      <c r="B532" s="36">
        <v>1.6944999999999999</v>
      </c>
      <c r="C532" t="s">
        <v>113</v>
      </c>
      <c r="D532" t="s">
        <v>6</v>
      </c>
      <c r="E532" t="s">
        <v>114</v>
      </c>
      <c r="F532" t="s">
        <v>210</v>
      </c>
      <c r="G532">
        <v>3510</v>
      </c>
      <c r="H532">
        <v>2140110709</v>
      </c>
      <c r="I532" t="s">
        <v>213</v>
      </c>
      <c r="J532" s="37">
        <v>3150</v>
      </c>
      <c r="K532" s="37"/>
      <c r="M532">
        <v>897</v>
      </c>
      <c r="O532">
        <v>60</v>
      </c>
      <c r="P532">
        <v>24</v>
      </c>
      <c r="Q532">
        <v>64</v>
      </c>
      <c r="T532">
        <v>2</v>
      </c>
      <c r="V532" t="s">
        <v>120</v>
      </c>
      <c r="Y532" s="38">
        <v>0.72083333333333333</v>
      </c>
      <c r="Z532" s="38">
        <v>0.79166666666666663</v>
      </c>
      <c r="AA532" t="s">
        <v>117</v>
      </c>
      <c r="AC532" t="s">
        <v>121</v>
      </c>
      <c r="AD532">
        <v>8.2400000000000001E-2</v>
      </c>
      <c r="AF532">
        <v>0.38829999999999998</v>
      </c>
      <c r="AG532">
        <v>0.45889999999999997</v>
      </c>
      <c r="AR532">
        <v>0.10589999999999999</v>
      </c>
      <c r="BJ532">
        <v>0.6119</v>
      </c>
      <c r="BK532">
        <f>0</f>
        <v>0</v>
      </c>
      <c r="BL532">
        <f t="shared" si="120"/>
        <v>1.6473999999999998</v>
      </c>
      <c r="BM532">
        <f t="shared" si="121"/>
        <v>0</v>
      </c>
      <c r="BN532">
        <f t="shared" si="122"/>
        <v>0</v>
      </c>
      <c r="BO532">
        <f t="shared" si="123"/>
        <v>1</v>
      </c>
      <c r="BP532" s="37">
        <f>IF($F532="","",IFERROR(INDEX(Familias!$C$5:$C$300,MATCH($F532,Familias!$A$5:$A$300,0)),""))</f>
        <v>2520</v>
      </c>
      <c r="BQ532" s="37">
        <f t="shared" si="124"/>
        <v>3150</v>
      </c>
      <c r="BR532" s="36">
        <f t="shared" si="125"/>
        <v>1.6944999999999999</v>
      </c>
      <c r="BS532" s="36">
        <f t="shared" si="126"/>
        <v>1.6474</v>
      </c>
      <c r="BT532" s="36">
        <f t="shared" si="127"/>
        <v>4.7100000000000003E-2</v>
      </c>
      <c r="BU532" s="36">
        <f t="shared" si="128"/>
        <v>1.25</v>
      </c>
      <c r="BV532" s="39">
        <f t="shared" si="129"/>
        <v>26.539278131634816</v>
      </c>
      <c r="BW532" s="39">
        <f t="shared" si="130"/>
        <v>1</v>
      </c>
      <c r="BX532" s="40">
        <f t="shared" si="131"/>
        <v>9.3645484949832769E-2</v>
      </c>
      <c r="BY532" s="40">
        <f t="shared" si="132"/>
        <v>7.1348940914158304E-2</v>
      </c>
      <c r="BZ532" t="str">
        <f t="shared" si="133"/>
        <v>Revisar rendimiento</v>
      </c>
      <c r="CA532">
        <f t="shared" si="134"/>
        <v>1</v>
      </c>
    </row>
    <row r="533" spans="1:80" x14ac:dyDescent="0.25">
      <c r="A533" s="35">
        <v>46065</v>
      </c>
      <c r="B533" s="36">
        <v>12</v>
      </c>
      <c r="C533" t="s">
        <v>119</v>
      </c>
      <c r="D533" t="s">
        <v>6</v>
      </c>
      <c r="E533" t="s">
        <v>114</v>
      </c>
      <c r="F533" t="s">
        <v>114</v>
      </c>
      <c r="G533">
        <v>3510</v>
      </c>
      <c r="H533">
        <v>2140110701</v>
      </c>
      <c r="I533" t="s">
        <v>123</v>
      </c>
      <c r="J533" s="37">
        <v>15000</v>
      </c>
      <c r="K533" s="37"/>
      <c r="M533">
        <v>4110</v>
      </c>
      <c r="O533">
        <v>90</v>
      </c>
      <c r="P533">
        <v>18</v>
      </c>
      <c r="Q533">
        <v>35</v>
      </c>
      <c r="T533">
        <v>7</v>
      </c>
      <c r="V533" t="s">
        <v>224</v>
      </c>
      <c r="Y533" s="38">
        <v>0.79166666666666663</v>
      </c>
      <c r="Z533" s="38">
        <v>0.29166666666666669</v>
      </c>
      <c r="AA533" t="s">
        <v>117</v>
      </c>
      <c r="AC533" t="s">
        <v>118</v>
      </c>
      <c r="AD533">
        <v>1</v>
      </c>
      <c r="AE533">
        <v>0.83330000000000004</v>
      </c>
      <c r="AQ533">
        <v>0.25</v>
      </c>
      <c r="AR533">
        <v>0.75</v>
      </c>
      <c r="BJ533">
        <v>0.5</v>
      </c>
      <c r="BK533">
        <f>0</f>
        <v>0</v>
      </c>
      <c r="BL533">
        <f t="shared" si="120"/>
        <v>3.3332999999999999</v>
      </c>
      <c r="BM533">
        <f t="shared" si="121"/>
        <v>0</v>
      </c>
      <c r="BN533">
        <f t="shared" si="122"/>
        <v>0</v>
      </c>
      <c r="BO533">
        <f t="shared" si="123"/>
        <v>1</v>
      </c>
      <c r="BP533" s="37">
        <f>IF($F533="","",IFERROR(INDEX(Familias!$C$5:$C$300,MATCH($F533,Familias!$A$5:$A$300,0)),""))</f>
        <v>2990</v>
      </c>
      <c r="BQ533" s="37">
        <f t="shared" si="124"/>
        <v>15000</v>
      </c>
      <c r="BR533" s="36">
        <f t="shared" si="125"/>
        <v>12</v>
      </c>
      <c r="BS533" s="36">
        <f t="shared" si="126"/>
        <v>3.3332999999999999</v>
      </c>
      <c r="BT533" s="36">
        <f t="shared" si="127"/>
        <v>8.6667000000000005</v>
      </c>
      <c r="BU533" s="36">
        <f t="shared" si="128"/>
        <v>5.0167000000000002</v>
      </c>
      <c r="BV533" s="39">
        <f t="shared" si="129"/>
        <v>0.57884777366240903</v>
      </c>
      <c r="BW533" s="39">
        <f t="shared" si="130"/>
        <v>1</v>
      </c>
      <c r="BX533" s="40">
        <f t="shared" si="131"/>
        <v>2.6277372262773723E-2</v>
      </c>
      <c r="BY533" s="40">
        <f t="shared" si="132"/>
        <v>8.5158150851581509E-3</v>
      </c>
      <c r="BZ533" t="str">
        <f t="shared" si="133"/>
        <v>OK</v>
      </c>
      <c r="CA533">
        <f t="shared" si="134"/>
        <v>1</v>
      </c>
    </row>
    <row r="534" spans="1:80" x14ac:dyDescent="0.25">
      <c r="A534" s="35">
        <v>46066</v>
      </c>
      <c r="B534" s="36">
        <v>12</v>
      </c>
      <c r="C534" t="s">
        <v>113</v>
      </c>
      <c r="D534" t="s">
        <v>6</v>
      </c>
      <c r="E534" t="s">
        <v>114</v>
      </c>
      <c r="F534" t="s">
        <v>114</v>
      </c>
      <c r="G534">
        <v>3652</v>
      </c>
      <c r="H534">
        <v>2140110700</v>
      </c>
      <c r="I534" t="s">
        <v>122</v>
      </c>
      <c r="J534" s="37">
        <v>21900</v>
      </c>
      <c r="K534" s="37">
        <v>5</v>
      </c>
      <c r="M534">
        <v>5668</v>
      </c>
      <c r="P534">
        <v>30</v>
      </c>
      <c r="T534">
        <v>10</v>
      </c>
      <c r="V534" t="s">
        <v>120</v>
      </c>
      <c r="Y534" s="38">
        <v>0.29166666666666669</v>
      </c>
      <c r="Z534" s="38">
        <v>0.79166666666666663</v>
      </c>
      <c r="AA534" t="s">
        <v>117</v>
      </c>
      <c r="AC534" t="s">
        <v>118</v>
      </c>
      <c r="AD534">
        <v>0.33329999999999999</v>
      </c>
      <c r="AF534">
        <v>4.6666999999999996</v>
      </c>
      <c r="AQ534">
        <v>0.25</v>
      </c>
      <c r="AR534">
        <v>0.75</v>
      </c>
      <c r="BK534">
        <f>0</f>
        <v>0</v>
      </c>
      <c r="BL534">
        <f t="shared" si="120"/>
        <v>6</v>
      </c>
      <c r="BM534">
        <f t="shared" si="121"/>
        <v>0</v>
      </c>
      <c r="BN534">
        <f t="shared" si="122"/>
        <v>0</v>
      </c>
      <c r="BO534">
        <f t="shared" si="123"/>
        <v>1</v>
      </c>
      <c r="BP534" s="37">
        <f>IF($F534="","",IFERROR(INDEX(Familias!$C$5:$C$300,MATCH($F534,Familias!$A$5:$A$300,0)),""))</f>
        <v>2990</v>
      </c>
      <c r="BQ534" s="37">
        <f t="shared" si="124"/>
        <v>21905</v>
      </c>
      <c r="BR534" s="36">
        <f t="shared" si="125"/>
        <v>12</v>
      </c>
      <c r="BS534" s="36">
        <f t="shared" si="126"/>
        <v>6</v>
      </c>
      <c r="BT534" s="36">
        <f t="shared" si="127"/>
        <v>6</v>
      </c>
      <c r="BU534" s="36">
        <f t="shared" si="128"/>
        <v>7.3261000000000003</v>
      </c>
      <c r="BV534" s="39">
        <f t="shared" si="129"/>
        <v>1.2210166666666666</v>
      </c>
      <c r="BW534" s="39">
        <f t="shared" si="130"/>
        <v>0.99977174161150417</v>
      </c>
      <c r="BX534" s="40">
        <f t="shared" si="131"/>
        <v>5.2928722653493299E-3</v>
      </c>
      <c r="BY534" s="40">
        <f t="shared" si="132"/>
        <v>0</v>
      </c>
      <c r="BZ534" t="str">
        <f t="shared" si="133"/>
        <v>Revisar rendimiento</v>
      </c>
      <c r="CA534">
        <f t="shared" si="134"/>
        <v>1</v>
      </c>
    </row>
    <row r="535" spans="1:80" x14ac:dyDescent="0.25">
      <c r="A535" s="35">
        <v>46066</v>
      </c>
      <c r="B535" s="36">
        <v>2.4857999999999998</v>
      </c>
      <c r="C535" t="s">
        <v>119</v>
      </c>
      <c r="D535" t="s">
        <v>6</v>
      </c>
      <c r="E535" t="s">
        <v>114</v>
      </c>
      <c r="F535" t="s">
        <v>114</v>
      </c>
      <c r="G535">
        <v>3652</v>
      </c>
      <c r="H535">
        <v>2140110700</v>
      </c>
      <c r="I535" t="s">
        <v>122</v>
      </c>
      <c r="J535" s="37">
        <v>3100</v>
      </c>
      <c r="K535" s="37"/>
      <c r="M535">
        <v>661</v>
      </c>
      <c r="O535">
        <v>15</v>
      </c>
      <c r="P535">
        <v>3</v>
      </c>
      <c r="T535">
        <v>1</v>
      </c>
      <c r="V535" t="s">
        <v>224</v>
      </c>
      <c r="Y535" s="38">
        <v>0.79166666666666663</v>
      </c>
      <c r="Z535" s="38">
        <v>0.89513888888888893</v>
      </c>
      <c r="AA535" t="s">
        <v>117</v>
      </c>
      <c r="AC535" t="s">
        <v>121</v>
      </c>
      <c r="AE535">
        <v>1.9507000000000001</v>
      </c>
      <c r="AQ535">
        <v>5.1799999999999999E-2</v>
      </c>
      <c r="AR535">
        <v>0.15540000000000001</v>
      </c>
      <c r="BK535">
        <f>0</f>
        <v>0</v>
      </c>
      <c r="BL535">
        <f t="shared" si="120"/>
        <v>2.1579000000000002</v>
      </c>
      <c r="BM535">
        <f t="shared" si="121"/>
        <v>0</v>
      </c>
      <c r="BN535">
        <f t="shared" si="122"/>
        <v>0</v>
      </c>
      <c r="BO535">
        <f t="shared" si="123"/>
        <v>1</v>
      </c>
      <c r="BP535" s="37">
        <f>IF($F535="","",IFERROR(INDEX(Familias!$C$5:$C$300,MATCH($F535,Familias!$A$5:$A$300,0)),""))</f>
        <v>2990</v>
      </c>
      <c r="BQ535" s="37">
        <f t="shared" si="124"/>
        <v>3100</v>
      </c>
      <c r="BR535" s="36">
        <f t="shared" si="125"/>
        <v>2.4857999999999998</v>
      </c>
      <c r="BS535" s="36">
        <f t="shared" si="126"/>
        <v>2.1579000000000002</v>
      </c>
      <c r="BT535" s="36">
        <f t="shared" si="127"/>
        <v>0.32790000000000002</v>
      </c>
      <c r="BU535" s="36">
        <f t="shared" si="128"/>
        <v>1.0367999999999999</v>
      </c>
      <c r="BV535" s="39">
        <f t="shared" si="129"/>
        <v>3.1619396157365047</v>
      </c>
      <c r="BW535" s="39">
        <f t="shared" si="130"/>
        <v>1</v>
      </c>
      <c r="BX535" s="40">
        <f t="shared" si="131"/>
        <v>2.7231467473524961E-2</v>
      </c>
      <c r="BY535" s="40">
        <f t="shared" si="132"/>
        <v>0</v>
      </c>
      <c r="BZ535" t="str">
        <f t="shared" si="133"/>
        <v>Revisar rendimiento</v>
      </c>
      <c r="CA535">
        <f t="shared" si="134"/>
        <v>1</v>
      </c>
    </row>
    <row r="536" spans="1:80" x14ac:dyDescent="0.25">
      <c r="A536" s="35">
        <v>46066</v>
      </c>
      <c r="B536" s="36">
        <v>9.5142000000000007</v>
      </c>
      <c r="C536" t="s">
        <v>119</v>
      </c>
      <c r="D536" t="s">
        <v>6</v>
      </c>
      <c r="E536" t="s">
        <v>114</v>
      </c>
      <c r="F536" t="s">
        <v>210</v>
      </c>
      <c r="G536">
        <v>3512</v>
      </c>
      <c r="H536">
        <v>2140110704</v>
      </c>
      <c r="I536" t="s">
        <v>217</v>
      </c>
      <c r="J536" s="37">
        <v>10000</v>
      </c>
      <c r="K536" s="37"/>
      <c r="M536">
        <v>2615</v>
      </c>
      <c r="O536">
        <v>30</v>
      </c>
      <c r="T536">
        <v>5</v>
      </c>
      <c r="V536" t="s">
        <v>224</v>
      </c>
      <c r="Y536" s="38">
        <v>0.89513888888888893</v>
      </c>
      <c r="Z536" s="38">
        <v>0.29166666666666669</v>
      </c>
      <c r="AA536" t="s">
        <v>117</v>
      </c>
      <c r="AC536" t="s">
        <v>121</v>
      </c>
      <c r="AE536">
        <v>7.4660000000000002</v>
      </c>
      <c r="AQ536">
        <v>0.19819999999999999</v>
      </c>
      <c r="AR536">
        <v>0.59460000000000002</v>
      </c>
      <c r="BK536">
        <f>0</f>
        <v>0</v>
      </c>
      <c r="BL536">
        <f t="shared" si="120"/>
        <v>8.2588000000000008</v>
      </c>
      <c r="BM536">
        <f t="shared" si="121"/>
        <v>0</v>
      </c>
      <c r="BN536">
        <f t="shared" si="122"/>
        <v>0</v>
      </c>
      <c r="BO536">
        <f t="shared" si="123"/>
        <v>1</v>
      </c>
      <c r="BP536" s="37">
        <f>IF($F536="","",IFERROR(INDEX(Familias!$C$5:$C$300,MATCH($F536,Familias!$A$5:$A$300,0)),""))</f>
        <v>2520</v>
      </c>
      <c r="BQ536" s="37">
        <f t="shared" si="124"/>
        <v>10000</v>
      </c>
      <c r="BR536" s="36">
        <f t="shared" si="125"/>
        <v>9.5142000000000007</v>
      </c>
      <c r="BS536" s="36">
        <f t="shared" si="126"/>
        <v>8.2588000000000008</v>
      </c>
      <c r="BT536" s="36">
        <f t="shared" si="127"/>
        <v>1.2554000000000001</v>
      </c>
      <c r="BU536" s="36">
        <f t="shared" si="128"/>
        <v>3.9683000000000002</v>
      </c>
      <c r="BV536" s="39">
        <f t="shared" si="129"/>
        <v>3.1609845467580056</v>
      </c>
      <c r="BW536" s="39">
        <f t="shared" si="130"/>
        <v>1</v>
      </c>
      <c r="BX536" s="40">
        <f t="shared" si="131"/>
        <v>1.1472275334608031E-2</v>
      </c>
      <c r="BY536" s="40">
        <f t="shared" si="132"/>
        <v>0</v>
      </c>
      <c r="BZ536" t="str">
        <f t="shared" si="133"/>
        <v>Revisar rendimiento</v>
      </c>
      <c r="CA536">
        <f t="shared" si="134"/>
        <v>1</v>
      </c>
    </row>
    <row r="537" spans="1:80" x14ac:dyDescent="0.25">
      <c r="A537" s="35">
        <v>46069</v>
      </c>
      <c r="B537" s="36">
        <v>12</v>
      </c>
      <c r="C537" t="s">
        <v>113</v>
      </c>
      <c r="D537" t="s">
        <v>6</v>
      </c>
      <c r="E537" t="s">
        <v>114</v>
      </c>
      <c r="F537" t="s">
        <v>114</v>
      </c>
      <c r="G537">
        <v>3653</v>
      </c>
      <c r="H537">
        <v>2140110702</v>
      </c>
      <c r="I537" t="s">
        <v>236</v>
      </c>
      <c r="J537" s="37">
        <v>6200</v>
      </c>
      <c r="K537" s="37">
        <v>10</v>
      </c>
      <c r="M537">
        <v>1627</v>
      </c>
      <c r="O537">
        <v>35</v>
      </c>
      <c r="R537">
        <v>50</v>
      </c>
      <c r="T537">
        <v>3</v>
      </c>
      <c r="V537" t="s">
        <v>224</v>
      </c>
      <c r="Y537" s="38">
        <v>0.29166666666666669</v>
      </c>
      <c r="Z537" s="38">
        <v>0.79166666666666663</v>
      </c>
      <c r="AA537" t="s">
        <v>200</v>
      </c>
      <c r="AB537" t="s">
        <v>201</v>
      </c>
      <c r="AC537" t="s">
        <v>118</v>
      </c>
      <c r="AD537">
        <v>1</v>
      </c>
      <c r="AE537">
        <v>2.25</v>
      </c>
      <c r="AQ537">
        <v>2.85</v>
      </c>
      <c r="AR537">
        <v>0.75</v>
      </c>
      <c r="BK537">
        <f>0</f>
        <v>0</v>
      </c>
      <c r="BL537">
        <f t="shared" si="120"/>
        <v>6.85</v>
      </c>
      <c r="BM537">
        <f t="shared" si="121"/>
        <v>0</v>
      </c>
      <c r="BN537">
        <f t="shared" si="122"/>
        <v>0</v>
      </c>
      <c r="BO537">
        <f t="shared" si="123"/>
        <v>1</v>
      </c>
      <c r="BP537" s="37">
        <f>IF($F537="","",IFERROR(INDEX(Familias!$C$5:$C$300,MATCH($F537,Familias!$A$5:$A$300,0)),""))</f>
        <v>2990</v>
      </c>
      <c r="BQ537" s="37">
        <f t="shared" si="124"/>
        <v>6210</v>
      </c>
      <c r="BR537" s="36">
        <f t="shared" si="125"/>
        <v>12</v>
      </c>
      <c r="BS537" s="36">
        <f t="shared" si="126"/>
        <v>6.85</v>
      </c>
      <c r="BT537" s="36">
        <f t="shared" si="127"/>
        <v>5.15</v>
      </c>
      <c r="BU537" s="36">
        <f t="shared" si="128"/>
        <v>2.0769000000000002</v>
      </c>
      <c r="BV537" s="39">
        <f t="shared" si="129"/>
        <v>0.40328155339805827</v>
      </c>
      <c r="BW537" s="39">
        <f t="shared" si="130"/>
        <v>0.99838969404186795</v>
      </c>
      <c r="BX537" s="40">
        <f t="shared" si="131"/>
        <v>5.2243392747387832E-2</v>
      </c>
      <c r="BY537" s="40">
        <f t="shared" si="132"/>
        <v>0</v>
      </c>
      <c r="BZ537" t="str">
        <f t="shared" si="133"/>
        <v>Paradas no digitadas</v>
      </c>
      <c r="CA537">
        <f t="shared" si="134"/>
        <v>0</v>
      </c>
    </row>
    <row r="538" spans="1:80" x14ac:dyDescent="0.25">
      <c r="A538" s="35">
        <v>46070</v>
      </c>
      <c r="B538" s="36">
        <v>12</v>
      </c>
      <c r="C538" t="s">
        <v>113</v>
      </c>
      <c r="D538" t="s">
        <v>6</v>
      </c>
      <c r="E538" t="s">
        <v>147</v>
      </c>
      <c r="F538" t="s">
        <v>193</v>
      </c>
      <c r="G538">
        <v>3657</v>
      </c>
      <c r="H538">
        <v>2140110688</v>
      </c>
      <c r="I538" t="s">
        <v>195</v>
      </c>
      <c r="J538" s="37">
        <v>7644</v>
      </c>
      <c r="K538" s="37">
        <v>19</v>
      </c>
      <c r="M538">
        <v>2863</v>
      </c>
      <c r="O538">
        <v>40</v>
      </c>
      <c r="P538">
        <v>18</v>
      </c>
      <c r="R538">
        <v>85</v>
      </c>
      <c r="T538">
        <v>5</v>
      </c>
      <c r="V538" t="s">
        <v>116</v>
      </c>
      <c r="Y538" s="38">
        <v>0.29166666666666669</v>
      </c>
      <c r="Z538" s="38">
        <v>0.79166666666666663</v>
      </c>
      <c r="AA538" t="s">
        <v>117</v>
      </c>
      <c r="AC538" t="s">
        <v>118</v>
      </c>
      <c r="AD538">
        <v>1</v>
      </c>
      <c r="AQ538">
        <v>0.25</v>
      </c>
      <c r="AR538">
        <v>0.75</v>
      </c>
      <c r="BK538">
        <f>0</f>
        <v>0</v>
      </c>
      <c r="BL538">
        <f t="shared" si="120"/>
        <v>2</v>
      </c>
      <c r="BM538">
        <f t="shared" si="121"/>
        <v>0</v>
      </c>
      <c r="BN538">
        <f t="shared" si="122"/>
        <v>0</v>
      </c>
      <c r="BO538">
        <f t="shared" si="123"/>
        <v>1</v>
      </c>
      <c r="BP538" s="37">
        <f>IF($F538="","",IFERROR(INDEX(Familias!$C$5:$C$300,MATCH($F538,Familias!$A$5:$A$300,0)),""))</f>
        <v>1880</v>
      </c>
      <c r="BQ538" s="37">
        <f t="shared" si="124"/>
        <v>7663</v>
      </c>
      <c r="BR538" s="36">
        <f t="shared" si="125"/>
        <v>12</v>
      </c>
      <c r="BS538" s="36">
        <f t="shared" si="126"/>
        <v>2</v>
      </c>
      <c r="BT538" s="36">
        <f t="shared" si="127"/>
        <v>10</v>
      </c>
      <c r="BU538" s="36">
        <f t="shared" si="128"/>
        <v>4.0761000000000003</v>
      </c>
      <c r="BV538" s="39">
        <f t="shared" si="129"/>
        <v>0.40761000000000003</v>
      </c>
      <c r="BW538" s="39">
        <f t="shared" si="130"/>
        <v>0.99752055330810385</v>
      </c>
      <c r="BX538" s="40">
        <f t="shared" si="131"/>
        <v>4.994760740482012E-2</v>
      </c>
      <c r="BY538" s="40">
        <f t="shared" si="132"/>
        <v>0</v>
      </c>
      <c r="BZ538" t="str">
        <f t="shared" si="133"/>
        <v>OK</v>
      </c>
      <c r="CA538">
        <f t="shared" si="134"/>
        <v>1</v>
      </c>
    </row>
    <row r="539" spans="1:80" x14ac:dyDescent="0.25">
      <c r="A539" s="35">
        <v>46070</v>
      </c>
      <c r="B539" s="36">
        <v>12</v>
      </c>
      <c r="C539" t="s">
        <v>119</v>
      </c>
      <c r="D539" t="s">
        <v>6</v>
      </c>
      <c r="E539" t="s">
        <v>147</v>
      </c>
      <c r="F539" t="s">
        <v>193</v>
      </c>
      <c r="G539">
        <v>3657</v>
      </c>
      <c r="H539">
        <v>2140110688</v>
      </c>
      <c r="I539" t="s">
        <v>195</v>
      </c>
      <c r="J539" s="37">
        <v>3670</v>
      </c>
      <c r="K539" s="37">
        <v>10</v>
      </c>
      <c r="M539">
        <v>2898</v>
      </c>
      <c r="O539">
        <v>60</v>
      </c>
      <c r="P539">
        <v>15</v>
      </c>
      <c r="Q539">
        <v>36</v>
      </c>
      <c r="T539">
        <v>6</v>
      </c>
      <c r="V539" t="s">
        <v>120</v>
      </c>
      <c r="Y539" s="38">
        <v>0.79166666666666663</v>
      </c>
      <c r="Z539" s="38">
        <v>0.29166666666666669</v>
      </c>
      <c r="AA539" t="s">
        <v>117</v>
      </c>
      <c r="AC539" t="s">
        <v>118</v>
      </c>
      <c r="AD539">
        <v>1</v>
      </c>
      <c r="AQ539">
        <v>2.5</v>
      </c>
      <c r="AR539">
        <v>0.75</v>
      </c>
      <c r="BK539">
        <f>0</f>
        <v>0</v>
      </c>
      <c r="BL539">
        <f t="shared" si="120"/>
        <v>4.25</v>
      </c>
      <c r="BM539">
        <f t="shared" si="121"/>
        <v>0</v>
      </c>
      <c r="BN539">
        <f t="shared" si="122"/>
        <v>0</v>
      </c>
      <c r="BO539">
        <f t="shared" si="123"/>
        <v>1</v>
      </c>
      <c r="BP539" s="37">
        <f>IF($F539="","",IFERROR(INDEX(Familias!$C$5:$C$300,MATCH($F539,Familias!$A$5:$A$300,0)),""))</f>
        <v>1880</v>
      </c>
      <c r="BQ539" s="37">
        <f t="shared" si="124"/>
        <v>3680</v>
      </c>
      <c r="BR539" s="36">
        <f t="shared" si="125"/>
        <v>12</v>
      </c>
      <c r="BS539" s="36">
        <f t="shared" si="126"/>
        <v>4.25</v>
      </c>
      <c r="BT539" s="36">
        <f t="shared" si="127"/>
        <v>7.75</v>
      </c>
      <c r="BU539" s="36">
        <f t="shared" si="128"/>
        <v>1.9574</v>
      </c>
      <c r="BV539" s="39">
        <f t="shared" si="129"/>
        <v>0.25256774193548387</v>
      </c>
      <c r="BW539" s="39">
        <f t="shared" si="130"/>
        <v>0.99728260869565222</v>
      </c>
      <c r="BX539" s="40">
        <f t="shared" si="131"/>
        <v>2.5879917184265012E-2</v>
      </c>
      <c r="BY539" s="40">
        <f t="shared" si="132"/>
        <v>1.2422360248447204E-2</v>
      </c>
      <c r="BZ539" t="str">
        <f t="shared" si="133"/>
        <v>OK</v>
      </c>
      <c r="CA539">
        <f t="shared" si="134"/>
        <v>1</v>
      </c>
    </row>
    <row r="540" spans="1:80" x14ac:dyDescent="0.25">
      <c r="A540" s="35">
        <v>46071</v>
      </c>
      <c r="B540" s="36">
        <v>12</v>
      </c>
      <c r="C540" t="s">
        <v>113</v>
      </c>
      <c r="D540" t="s">
        <v>6</v>
      </c>
      <c r="E540" t="s">
        <v>126</v>
      </c>
      <c r="F540" t="s">
        <v>133</v>
      </c>
      <c r="G540">
        <v>3656</v>
      </c>
      <c r="H540">
        <v>2140110605</v>
      </c>
      <c r="I540" t="s">
        <v>140</v>
      </c>
      <c r="J540" s="37">
        <v>18450</v>
      </c>
      <c r="K540" s="37">
        <v>20</v>
      </c>
      <c r="M540">
        <v>6500</v>
      </c>
      <c r="O540">
        <v>85</v>
      </c>
      <c r="P540">
        <v>26</v>
      </c>
      <c r="Q540">
        <v>21</v>
      </c>
      <c r="T540">
        <v>9</v>
      </c>
      <c r="V540" t="s">
        <v>116</v>
      </c>
      <c r="Y540" s="38">
        <v>0.29166666666666669</v>
      </c>
      <c r="Z540" s="38">
        <v>0.79166666666666663</v>
      </c>
      <c r="AA540" t="s">
        <v>200</v>
      </c>
      <c r="AB540" t="s">
        <v>237</v>
      </c>
      <c r="AC540" t="s">
        <v>118</v>
      </c>
      <c r="AD540">
        <v>1.3332999999999999</v>
      </c>
      <c r="AQ540">
        <v>0.25</v>
      </c>
      <c r="AR540">
        <v>0.75</v>
      </c>
      <c r="BK540">
        <f>0</f>
        <v>0</v>
      </c>
      <c r="BL540">
        <f t="shared" si="120"/>
        <v>2.3332999999999999</v>
      </c>
      <c r="BM540">
        <f t="shared" si="121"/>
        <v>0</v>
      </c>
      <c r="BN540">
        <f t="shared" si="122"/>
        <v>0</v>
      </c>
      <c r="BO540">
        <f t="shared" si="123"/>
        <v>1</v>
      </c>
      <c r="BP540" s="37">
        <f>IF($F540="","",IFERROR(INDEX(Familias!$C$5:$C$300,MATCH($F540,Familias!$A$5:$A$300,0)),""))</f>
        <v>2320</v>
      </c>
      <c r="BQ540" s="37">
        <f t="shared" si="124"/>
        <v>18470</v>
      </c>
      <c r="BR540" s="36">
        <f t="shared" si="125"/>
        <v>12</v>
      </c>
      <c r="BS540" s="36">
        <f t="shared" si="126"/>
        <v>2.3332999999999999</v>
      </c>
      <c r="BT540" s="36">
        <f t="shared" si="127"/>
        <v>9.6667000000000005</v>
      </c>
      <c r="BU540" s="36">
        <f t="shared" si="128"/>
        <v>7.9611999999999998</v>
      </c>
      <c r="BV540" s="39">
        <f t="shared" si="129"/>
        <v>0.82356957389802099</v>
      </c>
      <c r="BW540" s="39">
        <f t="shared" si="130"/>
        <v>0.99891716296697342</v>
      </c>
      <c r="BX540" s="40">
        <f t="shared" si="131"/>
        <v>1.7076923076923076E-2</v>
      </c>
      <c r="BY540" s="40">
        <f t="shared" si="132"/>
        <v>3.2307692307692306E-3</v>
      </c>
      <c r="BZ540" t="str">
        <f t="shared" si="133"/>
        <v>Paradas no digitadas</v>
      </c>
      <c r="CA540">
        <f t="shared" si="134"/>
        <v>0</v>
      </c>
    </row>
    <row r="541" spans="1:80" x14ac:dyDescent="0.25">
      <c r="A541" s="35">
        <v>46071</v>
      </c>
      <c r="B541" s="36">
        <v>12</v>
      </c>
      <c r="C541" t="s">
        <v>119</v>
      </c>
      <c r="D541" t="s">
        <v>6</v>
      </c>
      <c r="E541" t="s">
        <v>126</v>
      </c>
      <c r="F541" t="s">
        <v>133</v>
      </c>
      <c r="G541">
        <v>3656</v>
      </c>
      <c r="H541">
        <v>2140110605</v>
      </c>
      <c r="I541" t="s">
        <v>140</v>
      </c>
      <c r="J541" s="37">
        <v>16500</v>
      </c>
      <c r="K541" s="37">
        <v>20</v>
      </c>
      <c r="M541">
        <v>5767</v>
      </c>
      <c r="O541">
        <v>108</v>
      </c>
      <c r="P541">
        <v>15</v>
      </c>
      <c r="Q541">
        <v>53</v>
      </c>
      <c r="T541">
        <v>7</v>
      </c>
      <c r="V541" t="s">
        <v>120</v>
      </c>
      <c r="Y541" s="38">
        <v>0.79166666666666663</v>
      </c>
      <c r="Z541" s="38">
        <v>0.29166666666666669</v>
      </c>
      <c r="AA541" t="s">
        <v>200</v>
      </c>
      <c r="AB541" t="s">
        <v>238</v>
      </c>
      <c r="AC541" t="s">
        <v>118</v>
      </c>
      <c r="AQ541">
        <v>0.25</v>
      </c>
      <c r="AR541">
        <v>0.75</v>
      </c>
      <c r="BK541">
        <f>0</f>
        <v>0</v>
      </c>
      <c r="BL541">
        <f t="shared" si="120"/>
        <v>1</v>
      </c>
      <c r="BM541">
        <f t="shared" si="121"/>
        <v>0</v>
      </c>
      <c r="BN541">
        <f t="shared" si="122"/>
        <v>0</v>
      </c>
      <c r="BO541">
        <f t="shared" si="123"/>
        <v>1</v>
      </c>
      <c r="BP541" s="37">
        <f>IF($F541="","",IFERROR(INDEX(Familias!$C$5:$C$300,MATCH($F541,Familias!$A$5:$A$300,0)),""))</f>
        <v>2320</v>
      </c>
      <c r="BQ541" s="37">
        <f t="shared" si="124"/>
        <v>16520</v>
      </c>
      <c r="BR541" s="36">
        <f t="shared" si="125"/>
        <v>12</v>
      </c>
      <c r="BS541" s="36">
        <f t="shared" si="126"/>
        <v>1</v>
      </c>
      <c r="BT541" s="36">
        <f t="shared" si="127"/>
        <v>11</v>
      </c>
      <c r="BU541" s="36">
        <f t="shared" si="128"/>
        <v>7.1207000000000003</v>
      </c>
      <c r="BV541" s="39">
        <f t="shared" si="129"/>
        <v>0.64733636363636371</v>
      </c>
      <c r="BW541" s="39">
        <f t="shared" si="130"/>
        <v>0.99878934624697335</v>
      </c>
      <c r="BX541" s="40">
        <f t="shared" si="131"/>
        <v>2.1328246922143228E-2</v>
      </c>
      <c r="BY541" s="40">
        <f t="shared" si="132"/>
        <v>9.1902202184844812E-3</v>
      </c>
      <c r="BZ541" t="str">
        <f t="shared" si="133"/>
        <v>Paradas no digitadas</v>
      </c>
      <c r="CA541">
        <f t="shared" si="134"/>
        <v>0</v>
      </c>
    </row>
    <row r="542" spans="1:80" x14ac:dyDescent="0.25">
      <c r="A542" s="35">
        <v>46072</v>
      </c>
      <c r="B542" s="36">
        <v>0.67669999999999997</v>
      </c>
      <c r="C542" t="s">
        <v>113</v>
      </c>
      <c r="D542" t="s">
        <v>6</v>
      </c>
      <c r="E542" t="s">
        <v>126</v>
      </c>
      <c r="F542" t="s">
        <v>133</v>
      </c>
      <c r="G542">
        <v>3656</v>
      </c>
      <c r="H542">
        <v>2140110605</v>
      </c>
      <c r="I542" t="s">
        <v>140</v>
      </c>
      <c r="J542" s="37">
        <v>1050</v>
      </c>
      <c r="K542" s="37"/>
      <c r="M542">
        <v>364</v>
      </c>
      <c r="O542">
        <v>6</v>
      </c>
      <c r="T542">
        <v>1</v>
      </c>
      <c r="V542" t="s">
        <v>116</v>
      </c>
      <c r="Y542" s="38">
        <v>0.29166666666666669</v>
      </c>
      <c r="Z542" s="38">
        <v>0.32013888888888892</v>
      </c>
      <c r="AA542" t="s">
        <v>200</v>
      </c>
      <c r="AB542" t="s">
        <v>239</v>
      </c>
      <c r="AC542" t="s">
        <v>121</v>
      </c>
      <c r="AD542">
        <v>1.8800000000000001E-2</v>
      </c>
      <c r="AE542">
        <v>3.7600000000000001E-2</v>
      </c>
      <c r="AQ542">
        <v>1.41E-2</v>
      </c>
      <c r="AR542">
        <v>4.2299999999999997E-2</v>
      </c>
      <c r="BK542">
        <f>0</f>
        <v>0</v>
      </c>
      <c r="BL542">
        <f t="shared" si="120"/>
        <v>0.11280000000000001</v>
      </c>
      <c r="BM542">
        <f t="shared" si="121"/>
        <v>0</v>
      </c>
      <c r="BN542">
        <f t="shared" si="122"/>
        <v>0</v>
      </c>
      <c r="BO542">
        <f t="shared" si="123"/>
        <v>1</v>
      </c>
      <c r="BP542" s="37">
        <f>IF($F542="","",IFERROR(INDEX(Familias!$C$5:$C$300,MATCH($F542,Familias!$A$5:$A$300,0)),""))</f>
        <v>2320</v>
      </c>
      <c r="BQ542" s="37">
        <f t="shared" si="124"/>
        <v>1050</v>
      </c>
      <c r="BR542" s="36">
        <f t="shared" si="125"/>
        <v>0.67669999999999997</v>
      </c>
      <c r="BS542" s="36">
        <f t="shared" si="126"/>
        <v>0.1128</v>
      </c>
      <c r="BT542" s="36">
        <f t="shared" si="127"/>
        <v>0.56389999999999996</v>
      </c>
      <c r="BU542" s="36">
        <f t="shared" si="128"/>
        <v>0.4526</v>
      </c>
      <c r="BV542" s="39">
        <f t="shared" si="129"/>
        <v>0.802624578826033</v>
      </c>
      <c r="BW542" s="39">
        <f t="shared" si="130"/>
        <v>1</v>
      </c>
      <c r="BX542" s="40">
        <f t="shared" si="131"/>
        <v>1.6483516483516484E-2</v>
      </c>
      <c r="BY542" s="40">
        <f t="shared" si="132"/>
        <v>0</v>
      </c>
      <c r="BZ542" t="str">
        <f t="shared" si="133"/>
        <v>Paradas no digitadas</v>
      </c>
      <c r="CA542">
        <f t="shared" si="134"/>
        <v>0</v>
      </c>
    </row>
    <row r="543" spans="1:80" x14ac:dyDescent="0.25">
      <c r="A543" s="35">
        <v>46072</v>
      </c>
      <c r="B543" s="36">
        <v>11.3233</v>
      </c>
      <c r="C543" t="s">
        <v>113</v>
      </c>
      <c r="D543" t="s">
        <v>6</v>
      </c>
      <c r="E543" t="s">
        <v>126</v>
      </c>
      <c r="F543" t="s">
        <v>133</v>
      </c>
      <c r="G543">
        <v>3658</v>
      </c>
      <c r="H543">
        <v>2140110606</v>
      </c>
      <c r="I543" t="s">
        <v>141</v>
      </c>
      <c r="J543" s="37">
        <v>17550</v>
      </c>
      <c r="K543" s="37">
        <v>20</v>
      </c>
      <c r="M543">
        <v>6225</v>
      </c>
      <c r="O543">
        <v>82</v>
      </c>
      <c r="P543">
        <v>31</v>
      </c>
      <c r="R543">
        <v>55</v>
      </c>
      <c r="T543">
        <v>8</v>
      </c>
      <c r="V543" t="s">
        <v>116</v>
      </c>
      <c r="Y543" s="38">
        <v>0.32013888888888892</v>
      </c>
      <c r="Z543" s="38">
        <v>0.79166666666666663</v>
      </c>
      <c r="AA543" t="s">
        <v>200</v>
      </c>
      <c r="AC543" t="s">
        <v>121</v>
      </c>
      <c r="AD543">
        <v>0.3145</v>
      </c>
      <c r="AE543">
        <v>0.62909999999999999</v>
      </c>
      <c r="AQ543">
        <v>0.2359</v>
      </c>
      <c r="AR543">
        <v>0.7077</v>
      </c>
      <c r="BK543">
        <f>0</f>
        <v>0</v>
      </c>
      <c r="BL543">
        <f t="shared" si="120"/>
        <v>1.8872</v>
      </c>
      <c r="BM543">
        <f t="shared" si="121"/>
        <v>0</v>
      </c>
      <c r="BN543">
        <f t="shared" si="122"/>
        <v>0</v>
      </c>
      <c r="BO543">
        <f t="shared" si="123"/>
        <v>1</v>
      </c>
      <c r="BP543" s="37">
        <f>IF($F543="","",IFERROR(INDEX(Familias!$C$5:$C$300,MATCH($F543,Familias!$A$5:$A$300,0)),""))</f>
        <v>2320</v>
      </c>
      <c r="BQ543" s="37">
        <f t="shared" si="124"/>
        <v>17570</v>
      </c>
      <c r="BR543" s="36">
        <f t="shared" si="125"/>
        <v>11.3233</v>
      </c>
      <c r="BS543" s="36">
        <f t="shared" si="126"/>
        <v>1.8872</v>
      </c>
      <c r="BT543" s="36">
        <f t="shared" si="127"/>
        <v>9.4360999999999997</v>
      </c>
      <c r="BU543" s="36">
        <f t="shared" si="128"/>
        <v>7.5732999999999997</v>
      </c>
      <c r="BV543" s="39">
        <f t="shared" si="129"/>
        <v>0.80258793357425207</v>
      </c>
      <c r="BW543" s="39">
        <f t="shared" si="130"/>
        <v>0.99886169607285147</v>
      </c>
      <c r="BX543" s="40">
        <f t="shared" si="131"/>
        <v>2.6987951807228915E-2</v>
      </c>
      <c r="BY543" s="40">
        <f t="shared" si="132"/>
        <v>0</v>
      </c>
      <c r="BZ543" t="str">
        <f t="shared" si="133"/>
        <v>Paradas no digitadas</v>
      </c>
      <c r="CA543">
        <f t="shared" si="134"/>
        <v>0</v>
      </c>
    </row>
    <row r="544" spans="1:80" x14ac:dyDescent="0.25">
      <c r="A544" s="35">
        <v>46072</v>
      </c>
      <c r="B544" s="36">
        <v>12</v>
      </c>
      <c r="C544" t="s">
        <v>119</v>
      </c>
      <c r="D544" t="s">
        <v>6</v>
      </c>
      <c r="E544" t="s">
        <v>126</v>
      </c>
      <c r="F544" t="s">
        <v>133</v>
      </c>
      <c r="G544">
        <v>3658</v>
      </c>
      <c r="H544">
        <v>2140110606</v>
      </c>
      <c r="I544" t="s">
        <v>141</v>
      </c>
      <c r="J544" s="37">
        <v>20025</v>
      </c>
      <c r="K544" s="37">
        <v>10</v>
      </c>
      <c r="M544">
        <v>6893</v>
      </c>
      <c r="O544">
        <v>81</v>
      </c>
      <c r="P544">
        <v>24</v>
      </c>
      <c r="Q544">
        <v>7</v>
      </c>
      <c r="T544">
        <v>8</v>
      </c>
      <c r="V544" t="s">
        <v>120</v>
      </c>
      <c r="Y544" s="38">
        <v>0.79166666666666663</v>
      </c>
      <c r="Z544" s="38">
        <v>0.29166666666666669</v>
      </c>
      <c r="AA544" t="s">
        <v>117</v>
      </c>
      <c r="AC544" t="s">
        <v>118</v>
      </c>
      <c r="AD544">
        <v>0.33329999999999999</v>
      </c>
      <c r="AR544">
        <v>0.75</v>
      </c>
      <c r="BK544">
        <f>0</f>
        <v>0</v>
      </c>
      <c r="BL544">
        <f t="shared" si="120"/>
        <v>1.0832999999999999</v>
      </c>
      <c r="BM544">
        <f t="shared" si="121"/>
        <v>0</v>
      </c>
      <c r="BN544">
        <f t="shared" si="122"/>
        <v>0</v>
      </c>
      <c r="BO544">
        <f t="shared" si="123"/>
        <v>1</v>
      </c>
      <c r="BP544" s="37">
        <f>IF($F544="","",IFERROR(INDEX(Familias!$C$5:$C$300,MATCH($F544,Familias!$A$5:$A$300,0)),""))</f>
        <v>2320</v>
      </c>
      <c r="BQ544" s="37">
        <f t="shared" si="124"/>
        <v>20035</v>
      </c>
      <c r="BR544" s="36">
        <f t="shared" si="125"/>
        <v>12</v>
      </c>
      <c r="BS544" s="36">
        <f t="shared" si="126"/>
        <v>1.0832999999999999</v>
      </c>
      <c r="BT544" s="36">
        <f t="shared" si="127"/>
        <v>10.916700000000001</v>
      </c>
      <c r="BU544" s="36">
        <f t="shared" si="128"/>
        <v>8.6357999999999997</v>
      </c>
      <c r="BV544" s="39">
        <f t="shared" si="129"/>
        <v>0.79106323339470708</v>
      </c>
      <c r="BW544" s="39">
        <f t="shared" si="130"/>
        <v>0.99950087347142502</v>
      </c>
      <c r="BX544" s="40">
        <f t="shared" si="131"/>
        <v>1.5232844915131293E-2</v>
      </c>
      <c r="BY544" s="40">
        <f t="shared" si="132"/>
        <v>1.0155229943420861E-3</v>
      </c>
      <c r="BZ544" t="str">
        <f t="shared" si="133"/>
        <v>OK</v>
      </c>
      <c r="CA544">
        <f t="shared" si="134"/>
        <v>1</v>
      </c>
    </row>
    <row r="545" spans="1:80" x14ac:dyDescent="0.25">
      <c r="A545" s="35">
        <v>46073</v>
      </c>
      <c r="B545" s="36">
        <v>1.8938999999999999</v>
      </c>
      <c r="C545" t="s">
        <v>113</v>
      </c>
      <c r="D545" t="s">
        <v>6</v>
      </c>
      <c r="E545" t="s">
        <v>126</v>
      </c>
      <c r="F545" t="s">
        <v>133</v>
      </c>
      <c r="G545">
        <v>3658</v>
      </c>
      <c r="H545">
        <v>2140110606</v>
      </c>
      <c r="I545" t="s">
        <v>141</v>
      </c>
      <c r="J545" s="37">
        <v>2425</v>
      </c>
      <c r="K545" s="37"/>
      <c r="M545">
        <v>850</v>
      </c>
      <c r="O545">
        <v>18</v>
      </c>
      <c r="Q545">
        <v>31</v>
      </c>
      <c r="T545">
        <v>1</v>
      </c>
      <c r="V545" t="s">
        <v>116</v>
      </c>
      <c r="Y545" s="38">
        <v>0.29166666666666669</v>
      </c>
      <c r="Z545" s="38">
        <v>0.37083333333333329</v>
      </c>
      <c r="AA545" t="s">
        <v>117</v>
      </c>
      <c r="AC545" t="s">
        <v>136</v>
      </c>
      <c r="AD545">
        <v>5.2600000000000001E-2</v>
      </c>
      <c r="AE545">
        <v>0.26300000000000001</v>
      </c>
      <c r="AQ545">
        <v>3.95E-2</v>
      </c>
      <c r="AR545">
        <v>0.11840000000000001</v>
      </c>
      <c r="BK545">
        <f>0</f>
        <v>0</v>
      </c>
      <c r="BL545">
        <f t="shared" si="120"/>
        <v>0.47349999999999998</v>
      </c>
      <c r="BM545">
        <f t="shared" si="121"/>
        <v>0</v>
      </c>
      <c r="BN545">
        <f t="shared" si="122"/>
        <v>0</v>
      </c>
      <c r="BO545">
        <f t="shared" si="123"/>
        <v>1</v>
      </c>
      <c r="BP545" s="37">
        <f>IF($F545="","",IFERROR(INDEX(Familias!$C$5:$C$300,MATCH($F545,Familias!$A$5:$A$300,0)),""))</f>
        <v>2320</v>
      </c>
      <c r="BQ545" s="37">
        <f t="shared" si="124"/>
        <v>2425</v>
      </c>
      <c r="BR545" s="36">
        <f t="shared" si="125"/>
        <v>1.8938999999999999</v>
      </c>
      <c r="BS545" s="36">
        <f t="shared" si="126"/>
        <v>0.47349999999999998</v>
      </c>
      <c r="BT545" s="36">
        <f t="shared" si="127"/>
        <v>1.4204000000000001</v>
      </c>
      <c r="BU545" s="36">
        <f t="shared" si="128"/>
        <v>1.0452999999999999</v>
      </c>
      <c r="BV545" s="39">
        <f t="shared" si="129"/>
        <v>0.73591945930723723</v>
      </c>
      <c r="BW545" s="39">
        <f t="shared" si="130"/>
        <v>1</v>
      </c>
      <c r="BX545" s="40">
        <f t="shared" si="131"/>
        <v>2.1176470588235293E-2</v>
      </c>
      <c r="BY545" s="40">
        <f t="shared" si="132"/>
        <v>3.6470588235294116E-2</v>
      </c>
      <c r="BZ545" t="str">
        <f t="shared" si="133"/>
        <v>OK</v>
      </c>
      <c r="CA545">
        <f t="shared" si="134"/>
        <v>1</v>
      </c>
    </row>
    <row r="546" spans="1:80" x14ac:dyDescent="0.25">
      <c r="A546" s="35">
        <v>46073</v>
      </c>
      <c r="B546" s="36">
        <v>7.8372000000000002</v>
      </c>
      <c r="C546" t="s">
        <v>113</v>
      </c>
      <c r="D546" t="s">
        <v>6</v>
      </c>
      <c r="E546" t="s">
        <v>126</v>
      </c>
      <c r="F546" t="s">
        <v>133</v>
      </c>
      <c r="G546">
        <v>3714</v>
      </c>
      <c r="H546">
        <v>2140110694</v>
      </c>
      <c r="I546" t="s">
        <v>143</v>
      </c>
      <c r="J546" s="37">
        <v>10000</v>
      </c>
      <c r="K546" s="37">
        <v>35</v>
      </c>
      <c r="M546">
        <v>3511</v>
      </c>
      <c r="O546">
        <v>75</v>
      </c>
      <c r="P546">
        <v>21</v>
      </c>
      <c r="R546">
        <v>45</v>
      </c>
      <c r="T546">
        <v>5</v>
      </c>
      <c r="V546" t="s">
        <v>116</v>
      </c>
      <c r="Y546" s="38">
        <v>0.37083333333333329</v>
      </c>
      <c r="Z546" s="38">
        <v>0.69722222222222219</v>
      </c>
      <c r="AA546" t="s">
        <v>117</v>
      </c>
      <c r="AC546" t="s">
        <v>136</v>
      </c>
      <c r="AD546">
        <v>0.2177</v>
      </c>
      <c r="AE546">
        <v>1.0885</v>
      </c>
      <c r="AQ546">
        <v>0.1633</v>
      </c>
      <c r="AR546">
        <v>0.48980000000000001</v>
      </c>
      <c r="BK546">
        <f>0</f>
        <v>0</v>
      </c>
      <c r="BL546">
        <f t="shared" si="120"/>
        <v>1.9593</v>
      </c>
      <c r="BM546">
        <f t="shared" si="121"/>
        <v>0</v>
      </c>
      <c r="BN546">
        <f t="shared" si="122"/>
        <v>0</v>
      </c>
      <c r="BO546">
        <f t="shared" si="123"/>
        <v>1</v>
      </c>
      <c r="BP546" s="37">
        <f>IF($F546="","",IFERROR(INDEX(Familias!$C$5:$C$300,MATCH($F546,Familias!$A$5:$A$300,0)),""))</f>
        <v>2320</v>
      </c>
      <c r="BQ546" s="37">
        <f t="shared" si="124"/>
        <v>10035</v>
      </c>
      <c r="BR546" s="36">
        <f t="shared" si="125"/>
        <v>7.8372000000000002</v>
      </c>
      <c r="BS546" s="36">
        <f t="shared" si="126"/>
        <v>1.9593</v>
      </c>
      <c r="BT546" s="36">
        <f t="shared" si="127"/>
        <v>5.8779000000000003</v>
      </c>
      <c r="BU546" s="36">
        <f t="shared" si="128"/>
        <v>4.3254000000000001</v>
      </c>
      <c r="BV546" s="39">
        <f t="shared" si="129"/>
        <v>0.73587505741846571</v>
      </c>
      <c r="BW546" s="39">
        <f t="shared" si="130"/>
        <v>0.99651220727453915</v>
      </c>
      <c r="BX546" s="40">
        <f t="shared" si="131"/>
        <v>4.0159498718313869E-2</v>
      </c>
      <c r="BY546" s="40">
        <f t="shared" si="132"/>
        <v>0</v>
      </c>
      <c r="BZ546" t="str">
        <f t="shared" si="133"/>
        <v>OK</v>
      </c>
      <c r="CA546">
        <f t="shared" si="134"/>
        <v>1</v>
      </c>
    </row>
    <row r="547" spans="1:80" x14ac:dyDescent="0.25">
      <c r="A547" s="35">
        <v>46073</v>
      </c>
      <c r="B547" s="36">
        <v>2.2688000000000001</v>
      </c>
      <c r="C547" t="s">
        <v>113</v>
      </c>
      <c r="D547" t="s">
        <v>6</v>
      </c>
      <c r="E547" t="s">
        <v>147</v>
      </c>
      <c r="F547" t="s">
        <v>147</v>
      </c>
      <c r="G547">
        <v>3654</v>
      </c>
      <c r="H547">
        <v>2140110663</v>
      </c>
      <c r="I547" t="s">
        <v>148</v>
      </c>
      <c r="J547" s="37">
        <v>2825</v>
      </c>
      <c r="K547" s="37">
        <v>30</v>
      </c>
      <c r="M547">
        <v>1024</v>
      </c>
      <c r="O547">
        <v>17</v>
      </c>
      <c r="P547">
        <v>14</v>
      </c>
      <c r="R547">
        <v>35</v>
      </c>
      <c r="T547">
        <v>2</v>
      </c>
      <c r="V547" t="s">
        <v>116</v>
      </c>
      <c r="Y547" s="38">
        <v>0.69722222222222219</v>
      </c>
      <c r="Z547" s="38">
        <v>0.79166666666666663</v>
      </c>
      <c r="AA547" t="s">
        <v>117</v>
      </c>
      <c r="AC547" t="s">
        <v>136</v>
      </c>
      <c r="AD547">
        <v>6.3E-2</v>
      </c>
      <c r="AE547">
        <v>0.31509999999999999</v>
      </c>
      <c r="AQ547">
        <v>4.7300000000000002E-2</v>
      </c>
      <c r="AR547">
        <v>0.14180000000000001</v>
      </c>
      <c r="BK547">
        <f>0</f>
        <v>0</v>
      </c>
      <c r="BL547">
        <f t="shared" si="120"/>
        <v>0.56720000000000004</v>
      </c>
      <c r="BM547">
        <f t="shared" si="121"/>
        <v>0</v>
      </c>
      <c r="BN547">
        <f t="shared" si="122"/>
        <v>0</v>
      </c>
      <c r="BO547">
        <f t="shared" si="123"/>
        <v>1</v>
      </c>
      <c r="BP547" s="37">
        <f>IF($F547="","",IFERROR(INDEX(Familias!$C$5:$C$300,MATCH($F547,Familias!$A$5:$A$300,0)),""))</f>
        <v>2280</v>
      </c>
      <c r="BQ547" s="37">
        <f t="shared" si="124"/>
        <v>2855</v>
      </c>
      <c r="BR547" s="36">
        <f t="shared" si="125"/>
        <v>2.2688000000000001</v>
      </c>
      <c r="BS547" s="36">
        <f t="shared" si="126"/>
        <v>0.56720000000000004</v>
      </c>
      <c r="BT547" s="36">
        <f t="shared" si="127"/>
        <v>1.7016</v>
      </c>
      <c r="BU547" s="36">
        <f t="shared" si="128"/>
        <v>1.2522</v>
      </c>
      <c r="BV547" s="39">
        <f t="shared" si="129"/>
        <v>0.73589562764456984</v>
      </c>
      <c r="BW547" s="39">
        <f t="shared" si="130"/>
        <v>0.989492119089317</v>
      </c>
      <c r="BX547" s="40">
        <f t="shared" si="131"/>
        <v>6.4453125E-2</v>
      </c>
      <c r="BY547" s="40">
        <f t="shared" si="132"/>
        <v>0</v>
      </c>
      <c r="BZ547" t="str">
        <f t="shared" si="133"/>
        <v>OK</v>
      </c>
      <c r="CA547">
        <f t="shared" si="134"/>
        <v>1</v>
      </c>
    </row>
    <row r="548" spans="1:80" x14ac:dyDescent="0.25">
      <c r="A548" s="35">
        <v>46073</v>
      </c>
      <c r="B548" s="36">
        <v>12</v>
      </c>
      <c r="C548" t="s">
        <v>119</v>
      </c>
      <c r="D548" t="s">
        <v>6</v>
      </c>
      <c r="E548" t="s">
        <v>147</v>
      </c>
      <c r="F548" t="s">
        <v>147</v>
      </c>
      <c r="G548">
        <v>3654</v>
      </c>
      <c r="H548">
        <v>2140110663</v>
      </c>
      <c r="I548" t="s">
        <v>148</v>
      </c>
      <c r="J548" s="37">
        <v>18275</v>
      </c>
      <c r="K548" s="37">
        <v>11</v>
      </c>
      <c r="M548">
        <v>5330</v>
      </c>
      <c r="O548">
        <v>86</v>
      </c>
      <c r="P548">
        <v>24</v>
      </c>
      <c r="Q548">
        <v>27</v>
      </c>
      <c r="T548">
        <v>9</v>
      </c>
      <c r="V548" t="s">
        <v>120</v>
      </c>
      <c r="Y548" s="38">
        <v>0.79166666666666663</v>
      </c>
      <c r="Z548" s="38">
        <v>0.29166666666666669</v>
      </c>
      <c r="AA548" t="s">
        <v>117</v>
      </c>
      <c r="AC548" t="s">
        <v>118</v>
      </c>
      <c r="AD548">
        <v>1</v>
      </c>
      <c r="AG548">
        <v>0.5</v>
      </c>
      <c r="AQ548">
        <v>0.5</v>
      </c>
      <c r="AR548">
        <v>0.75</v>
      </c>
      <c r="BK548">
        <f>0</f>
        <v>0</v>
      </c>
      <c r="BL548">
        <f t="shared" si="120"/>
        <v>2.75</v>
      </c>
      <c r="BM548">
        <f t="shared" si="121"/>
        <v>0</v>
      </c>
      <c r="BN548">
        <f t="shared" si="122"/>
        <v>0</v>
      </c>
      <c r="BO548">
        <f t="shared" si="123"/>
        <v>1</v>
      </c>
      <c r="BP548" s="37">
        <f>IF($F548="","",IFERROR(INDEX(Familias!$C$5:$C$300,MATCH($F548,Familias!$A$5:$A$300,0)),""))</f>
        <v>2280</v>
      </c>
      <c r="BQ548" s="37">
        <f t="shared" si="124"/>
        <v>18286</v>
      </c>
      <c r="BR548" s="36">
        <f t="shared" si="125"/>
        <v>12</v>
      </c>
      <c r="BS548" s="36">
        <f t="shared" si="126"/>
        <v>2.75</v>
      </c>
      <c r="BT548" s="36">
        <f t="shared" si="127"/>
        <v>9.25</v>
      </c>
      <c r="BU548" s="36">
        <f t="shared" si="128"/>
        <v>8.0202000000000009</v>
      </c>
      <c r="BV548" s="39">
        <f t="shared" si="129"/>
        <v>0.86704864864864872</v>
      </c>
      <c r="BW548" s="39">
        <f t="shared" si="130"/>
        <v>0.99939844689926716</v>
      </c>
      <c r="BX548" s="40">
        <f t="shared" si="131"/>
        <v>2.0637898686679174E-2</v>
      </c>
      <c r="BY548" s="40">
        <f t="shared" si="132"/>
        <v>5.0656660412757978E-3</v>
      </c>
      <c r="BZ548" t="str">
        <f t="shared" si="133"/>
        <v>OK</v>
      </c>
      <c r="CA548">
        <f t="shared" si="134"/>
        <v>1</v>
      </c>
    </row>
    <row r="549" spans="1:80" x14ac:dyDescent="0.25">
      <c r="A549" s="35">
        <v>46074</v>
      </c>
      <c r="B549" s="36">
        <v>12</v>
      </c>
      <c r="C549" t="s">
        <v>113</v>
      </c>
      <c r="D549" t="s">
        <v>6</v>
      </c>
      <c r="E549" t="s">
        <v>147</v>
      </c>
      <c r="F549" t="s">
        <v>147</v>
      </c>
      <c r="G549">
        <v>3654</v>
      </c>
      <c r="H549">
        <v>2140110663</v>
      </c>
      <c r="I549" t="s">
        <v>148</v>
      </c>
      <c r="J549" s="37">
        <v>4800</v>
      </c>
      <c r="K549" s="37">
        <v>25</v>
      </c>
      <c r="M549">
        <v>1669</v>
      </c>
      <c r="O549">
        <v>143</v>
      </c>
      <c r="P549">
        <v>3</v>
      </c>
      <c r="Q549">
        <v>59</v>
      </c>
      <c r="T549">
        <v>3</v>
      </c>
      <c r="V549" t="s">
        <v>224</v>
      </c>
      <c r="Y549" s="38">
        <v>0.29166666666666669</v>
      </c>
      <c r="Z549" s="38">
        <v>0.79166666666666663</v>
      </c>
      <c r="AA549" t="s">
        <v>200</v>
      </c>
      <c r="AB549" t="s">
        <v>240</v>
      </c>
      <c r="AC549" t="s">
        <v>118</v>
      </c>
      <c r="AD549">
        <v>0.5</v>
      </c>
      <c r="AE549">
        <v>1</v>
      </c>
      <c r="AG549">
        <v>1</v>
      </c>
      <c r="AQ549">
        <v>0.25</v>
      </c>
      <c r="AR549">
        <v>0.75</v>
      </c>
      <c r="BA549">
        <v>1.25</v>
      </c>
      <c r="BJ549">
        <v>0.5</v>
      </c>
      <c r="BK549">
        <f>0</f>
        <v>0</v>
      </c>
      <c r="BL549">
        <f t="shared" si="120"/>
        <v>4</v>
      </c>
      <c r="BM549">
        <f t="shared" si="121"/>
        <v>1.25</v>
      </c>
      <c r="BN549">
        <f t="shared" si="122"/>
        <v>0</v>
      </c>
      <c r="BO549">
        <f t="shared" si="123"/>
        <v>1</v>
      </c>
      <c r="BP549" s="37">
        <f>IF($F549="","",IFERROR(INDEX(Familias!$C$5:$C$300,MATCH($F549,Familias!$A$5:$A$300,0)),""))</f>
        <v>2280</v>
      </c>
      <c r="BQ549" s="37">
        <f t="shared" si="124"/>
        <v>4825</v>
      </c>
      <c r="BR549" s="36">
        <f t="shared" si="125"/>
        <v>12</v>
      </c>
      <c r="BS549" s="36">
        <f t="shared" si="126"/>
        <v>5.25</v>
      </c>
      <c r="BT549" s="36">
        <f t="shared" si="127"/>
        <v>6.75</v>
      </c>
      <c r="BU549" s="36">
        <f t="shared" si="128"/>
        <v>2.1162000000000001</v>
      </c>
      <c r="BV549" s="39">
        <f t="shared" si="129"/>
        <v>0.31351111111111113</v>
      </c>
      <c r="BW549" s="39">
        <f t="shared" si="130"/>
        <v>0.99481865284974091</v>
      </c>
      <c r="BX549" s="40">
        <f t="shared" si="131"/>
        <v>8.7477531455961655E-2</v>
      </c>
      <c r="BY549" s="40">
        <f t="shared" si="132"/>
        <v>3.5350509286998205E-2</v>
      </c>
      <c r="BZ549" t="str">
        <f t="shared" si="133"/>
        <v>Paradas no digitadas</v>
      </c>
      <c r="CA549">
        <f t="shared" si="134"/>
        <v>0</v>
      </c>
    </row>
    <row r="550" spans="1:80" x14ac:dyDescent="0.25">
      <c r="A550" s="35">
        <v>46074</v>
      </c>
      <c r="B550" s="36">
        <v>12</v>
      </c>
      <c r="C550" t="s">
        <v>119</v>
      </c>
      <c r="D550" t="s">
        <v>6</v>
      </c>
      <c r="J550" s="37"/>
      <c r="K550" s="37"/>
      <c r="V550" t="s">
        <v>120</v>
      </c>
      <c r="Y550" s="38">
        <v>0.79166666666666663</v>
      </c>
      <c r="Z550" s="38">
        <v>0.29166666666666669</v>
      </c>
      <c r="AA550" t="s">
        <v>200</v>
      </c>
      <c r="AB550" t="s">
        <v>241</v>
      </c>
      <c r="AC550" t="s">
        <v>118</v>
      </c>
      <c r="AD550">
        <v>1</v>
      </c>
      <c r="AQ550">
        <v>0.5</v>
      </c>
      <c r="AR550">
        <v>0.75</v>
      </c>
      <c r="BK550">
        <f>0</f>
        <v>0</v>
      </c>
      <c r="BL550">
        <f t="shared" si="120"/>
        <v>2.25</v>
      </c>
      <c r="BM550">
        <f t="shared" si="121"/>
        <v>0</v>
      </c>
      <c r="BN550">
        <f t="shared" si="122"/>
        <v>0</v>
      </c>
      <c r="BO550">
        <f t="shared" si="123"/>
        <v>1</v>
      </c>
      <c r="BP550" s="37" t="str">
        <f>IF($F550="","",IFERROR(INDEX(Familias!$C$5:$C$300,MATCH($F550,Familias!$A$5:$A$300,0)),""))</f>
        <v/>
      </c>
      <c r="BQ550" s="37" t="str">
        <f t="shared" si="124"/>
        <v/>
      </c>
      <c r="BR550" s="36">
        <f t="shared" si="125"/>
        <v>12</v>
      </c>
      <c r="BS550" s="36">
        <f t="shared" si="126"/>
        <v>2.25</v>
      </c>
      <c r="BT550" s="36">
        <f t="shared" si="127"/>
        <v>9.75</v>
      </c>
      <c r="BU550" s="36" t="str">
        <f t="shared" si="128"/>
        <v/>
      </c>
      <c r="BV550" s="39" t="str">
        <f t="shared" si="129"/>
        <v/>
      </c>
      <c r="BW550" s="39" t="str">
        <f t="shared" si="130"/>
        <v/>
      </c>
      <c r="BX550" s="40" t="str">
        <f t="shared" si="131"/>
        <v/>
      </c>
      <c r="BY550" s="40" t="str">
        <f t="shared" si="132"/>
        <v/>
      </c>
      <c r="BZ550" t="str">
        <f t="shared" si="133"/>
        <v>Paradas no digitadas</v>
      </c>
      <c r="CA550">
        <f t="shared" si="134"/>
        <v>0</v>
      </c>
    </row>
    <row r="551" spans="1:80" x14ac:dyDescent="0.25">
      <c r="A551" s="35">
        <v>46076</v>
      </c>
      <c r="B551" s="36">
        <v>12</v>
      </c>
      <c r="C551" t="s">
        <v>113</v>
      </c>
      <c r="D551" t="s">
        <v>6</v>
      </c>
      <c r="E551" t="s">
        <v>147</v>
      </c>
      <c r="F551" t="s">
        <v>147</v>
      </c>
      <c r="G551">
        <v>3654</v>
      </c>
      <c r="H551">
        <v>2140110663</v>
      </c>
      <c r="I551" t="s">
        <v>148</v>
      </c>
      <c r="J551" s="37">
        <v>14175</v>
      </c>
      <c r="K551" s="37">
        <v>20</v>
      </c>
      <c r="M551">
        <v>4221</v>
      </c>
      <c r="O551">
        <v>70</v>
      </c>
      <c r="P551">
        <v>21</v>
      </c>
      <c r="Q551">
        <v>84</v>
      </c>
      <c r="T551">
        <v>7</v>
      </c>
      <c r="V551" t="s">
        <v>120</v>
      </c>
      <c r="Y551" s="38">
        <v>0.29166666666666669</v>
      </c>
      <c r="Z551" s="38">
        <v>0.79166666666666663</v>
      </c>
      <c r="AA551" t="s">
        <v>117</v>
      </c>
      <c r="AC551" t="s">
        <v>118</v>
      </c>
      <c r="AD551">
        <v>1.5</v>
      </c>
      <c r="AM551">
        <v>1.3332999999999999</v>
      </c>
      <c r="AO551">
        <v>0.5</v>
      </c>
      <c r="AQ551">
        <v>0.25</v>
      </c>
      <c r="AR551">
        <v>0.75</v>
      </c>
      <c r="BA551">
        <v>2.5</v>
      </c>
      <c r="BJ551">
        <v>2</v>
      </c>
      <c r="BK551">
        <f>0</f>
        <v>0</v>
      </c>
      <c r="BL551">
        <f t="shared" si="120"/>
        <v>6.3332999999999995</v>
      </c>
      <c r="BM551">
        <f t="shared" si="121"/>
        <v>2.5</v>
      </c>
      <c r="BN551">
        <f t="shared" si="122"/>
        <v>0</v>
      </c>
      <c r="BO551">
        <f t="shared" si="123"/>
        <v>1</v>
      </c>
      <c r="BP551" s="37">
        <f>IF($F551="","",IFERROR(INDEX(Familias!$C$5:$C$300,MATCH($F551,Familias!$A$5:$A$300,0)),""))</f>
        <v>2280</v>
      </c>
      <c r="BQ551" s="37">
        <f t="shared" si="124"/>
        <v>14195</v>
      </c>
      <c r="BR551" s="36">
        <f t="shared" si="125"/>
        <v>12</v>
      </c>
      <c r="BS551" s="36">
        <f t="shared" si="126"/>
        <v>8.8332999999999995</v>
      </c>
      <c r="BT551" s="36">
        <f t="shared" si="127"/>
        <v>3.1667000000000001</v>
      </c>
      <c r="BU551" s="36">
        <f t="shared" si="128"/>
        <v>6.2259000000000002</v>
      </c>
      <c r="BV551" s="39">
        <f t="shared" si="129"/>
        <v>1.9660529889159062</v>
      </c>
      <c r="BW551" s="39">
        <f t="shared" si="130"/>
        <v>0.99859105318774222</v>
      </c>
      <c r="BX551" s="40">
        <f t="shared" si="131"/>
        <v>2.1558872305140961E-2</v>
      </c>
      <c r="BY551" s="40">
        <f t="shared" si="132"/>
        <v>1.9900497512437811E-2</v>
      </c>
      <c r="BZ551" t="str">
        <f t="shared" si="133"/>
        <v>Revisar rendimiento</v>
      </c>
      <c r="CA551">
        <f t="shared" si="134"/>
        <v>1</v>
      </c>
    </row>
    <row r="552" spans="1:80" x14ac:dyDescent="0.25">
      <c r="A552" s="35">
        <v>46076</v>
      </c>
      <c r="B552" s="36">
        <v>8.2151999999999994</v>
      </c>
      <c r="C552" t="s">
        <v>119</v>
      </c>
      <c r="D552" t="s">
        <v>6</v>
      </c>
      <c r="E552" t="s">
        <v>147</v>
      </c>
      <c r="F552" t="s">
        <v>147</v>
      </c>
      <c r="G552">
        <v>3654</v>
      </c>
      <c r="H552">
        <v>2140110663</v>
      </c>
      <c r="I552" t="s">
        <v>148</v>
      </c>
      <c r="J552" s="37">
        <v>9925</v>
      </c>
      <c r="K552" s="37">
        <v>25</v>
      </c>
      <c r="M552">
        <v>3017</v>
      </c>
      <c r="O552">
        <v>85</v>
      </c>
      <c r="P552">
        <v>38</v>
      </c>
      <c r="T552">
        <v>6</v>
      </c>
      <c r="V552" t="s">
        <v>224</v>
      </c>
      <c r="Y552" s="38">
        <v>0.79166666666666663</v>
      </c>
      <c r="Z552" s="38">
        <v>0.1340277777777778</v>
      </c>
      <c r="AA552" t="s">
        <v>117</v>
      </c>
      <c r="AC552" t="s">
        <v>121</v>
      </c>
      <c r="AD552">
        <v>0.34229999999999999</v>
      </c>
      <c r="AE552">
        <v>0.28520000000000001</v>
      </c>
      <c r="AO552">
        <v>0.51339999999999997</v>
      </c>
      <c r="AQ552">
        <v>0.1711</v>
      </c>
      <c r="AR552">
        <v>0.51339999999999997</v>
      </c>
      <c r="BK552">
        <f>0</f>
        <v>0</v>
      </c>
      <c r="BL552">
        <f t="shared" si="120"/>
        <v>1.8253999999999997</v>
      </c>
      <c r="BM552">
        <f t="shared" si="121"/>
        <v>0</v>
      </c>
      <c r="BN552">
        <f t="shared" si="122"/>
        <v>0</v>
      </c>
      <c r="BO552">
        <f t="shared" si="123"/>
        <v>1</v>
      </c>
      <c r="BP552" s="37">
        <f>IF($F552="","",IFERROR(INDEX(Familias!$C$5:$C$300,MATCH($F552,Familias!$A$5:$A$300,0)),""))</f>
        <v>2280</v>
      </c>
      <c r="BQ552" s="37">
        <f t="shared" si="124"/>
        <v>9950</v>
      </c>
      <c r="BR552" s="36">
        <f t="shared" si="125"/>
        <v>8.2151999999999994</v>
      </c>
      <c r="BS552" s="36">
        <f t="shared" si="126"/>
        <v>1.8253999999999999</v>
      </c>
      <c r="BT552" s="36">
        <f t="shared" si="127"/>
        <v>6.3898000000000001</v>
      </c>
      <c r="BU552" s="36">
        <f t="shared" si="128"/>
        <v>4.3639999999999999</v>
      </c>
      <c r="BV552" s="39">
        <f t="shared" si="129"/>
        <v>0.6829634730351497</v>
      </c>
      <c r="BW552" s="39">
        <f t="shared" si="130"/>
        <v>0.99748743718592969</v>
      </c>
      <c r="BX552" s="40">
        <f t="shared" si="131"/>
        <v>4.0768975803778591E-2</v>
      </c>
      <c r="BY552" s="40">
        <f t="shared" si="132"/>
        <v>0</v>
      </c>
      <c r="BZ552" t="str">
        <f t="shared" si="133"/>
        <v>OK</v>
      </c>
      <c r="CA552">
        <f t="shared" si="134"/>
        <v>1</v>
      </c>
    </row>
    <row r="553" spans="1:80" x14ac:dyDescent="0.25">
      <c r="A553" s="35">
        <v>46076</v>
      </c>
      <c r="B553" s="36">
        <v>3.7848000000000002</v>
      </c>
      <c r="C553" t="s">
        <v>119</v>
      </c>
      <c r="D553" t="s">
        <v>6</v>
      </c>
      <c r="E553" t="s">
        <v>147</v>
      </c>
      <c r="F553" t="s">
        <v>175</v>
      </c>
      <c r="G553">
        <v>3655</v>
      </c>
      <c r="H553">
        <v>2140110669</v>
      </c>
      <c r="I553" t="s">
        <v>177</v>
      </c>
      <c r="J553" s="37">
        <v>4750</v>
      </c>
      <c r="K553" s="37">
        <v>15</v>
      </c>
      <c r="M553">
        <v>1361</v>
      </c>
      <c r="O553">
        <v>36</v>
      </c>
      <c r="P553">
        <v>7</v>
      </c>
      <c r="T553">
        <v>2</v>
      </c>
      <c r="V553" t="s">
        <v>224</v>
      </c>
      <c r="Y553" s="38">
        <v>0.1340277777777778</v>
      </c>
      <c r="Z553" s="38">
        <v>0.29166666666666669</v>
      </c>
      <c r="AA553" t="s">
        <v>117</v>
      </c>
      <c r="AC553" t="s">
        <v>121</v>
      </c>
      <c r="AD553">
        <v>0.15770000000000001</v>
      </c>
      <c r="AE553">
        <v>0.13139999999999999</v>
      </c>
      <c r="AO553">
        <v>0.2366</v>
      </c>
      <c r="AQ553">
        <v>7.8899999999999998E-2</v>
      </c>
      <c r="AR553">
        <v>0.2366</v>
      </c>
      <c r="BK553">
        <f>0</f>
        <v>0</v>
      </c>
      <c r="BL553">
        <f t="shared" si="120"/>
        <v>0.84120000000000006</v>
      </c>
      <c r="BM553">
        <f t="shared" si="121"/>
        <v>0</v>
      </c>
      <c r="BN553">
        <f t="shared" si="122"/>
        <v>0</v>
      </c>
      <c r="BO553">
        <f t="shared" si="123"/>
        <v>1</v>
      </c>
      <c r="BP553" s="37">
        <f>IF($F553="","",IFERROR(INDEX(Familias!$C$5:$C$300,MATCH($F553,Familias!$A$5:$A$300,0)),""))</f>
        <v>2370</v>
      </c>
      <c r="BQ553" s="37">
        <f t="shared" si="124"/>
        <v>4765</v>
      </c>
      <c r="BR553" s="36">
        <f t="shared" si="125"/>
        <v>3.7848000000000002</v>
      </c>
      <c r="BS553" s="36">
        <f t="shared" si="126"/>
        <v>0.84119999999999995</v>
      </c>
      <c r="BT553" s="36">
        <f t="shared" si="127"/>
        <v>2.9436</v>
      </c>
      <c r="BU553" s="36">
        <f t="shared" si="128"/>
        <v>2.0105</v>
      </c>
      <c r="BV553" s="39">
        <f t="shared" si="129"/>
        <v>0.68300720206549803</v>
      </c>
      <c r="BW553" s="39">
        <f t="shared" si="130"/>
        <v>0.99685204616998946</v>
      </c>
      <c r="BX553" s="40">
        <f t="shared" si="131"/>
        <v>3.1594415870683318E-2</v>
      </c>
      <c r="BY553" s="40">
        <f t="shared" si="132"/>
        <v>0</v>
      </c>
      <c r="BZ553" t="str">
        <f t="shared" si="133"/>
        <v>OK</v>
      </c>
      <c r="CA553">
        <f t="shared" si="134"/>
        <v>1</v>
      </c>
    </row>
    <row r="554" spans="1:80" x14ac:dyDescent="0.25">
      <c r="A554" s="35">
        <v>46077</v>
      </c>
      <c r="B554" s="36">
        <v>3.6091000000000002</v>
      </c>
      <c r="C554" t="s">
        <v>113</v>
      </c>
      <c r="D554" t="s">
        <v>6</v>
      </c>
      <c r="E554" t="s">
        <v>147</v>
      </c>
      <c r="F554" t="s">
        <v>175</v>
      </c>
      <c r="G554">
        <v>3655</v>
      </c>
      <c r="H554">
        <v>2140110669</v>
      </c>
      <c r="I554" t="s">
        <v>177</v>
      </c>
      <c r="J554" s="37">
        <v>5250</v>
      </c>
      <c r="K554" s="37"/>
      <c r="M554">
        <v>1553</v>
      </c>
      <c r="O554">
        <v>20</v>
      </c>
      <c r="P554">
        <v>10</v>
      </c>
      <c r="T554">
        <v>3</v>
      </c>
      <c r="V554" t="s">
        <v>120</v>
      </c>
      <c r="Y554" s="38">
        <v>0.29166666666666669</v>
      </c>
      <c r="Z554" s="38">
        <v>0.44236111111111109</v>
      </c>
      <c r="AA554" t="s">
        <v>117</v>
      </c>
      <c r="AC554" t="s">
        <v>136</v>
      </c>
      <c r="AD554">
        <v>0.15040000000000001</v>
      </c>
      <c r="AF554">
        <v>0.42609999999999998</v>
      </c>
      <c r="AQ554">
        <v>7.5200000000000003E-2</v>
      </c>
      <c r="AR554">
        <v>0.22559999999999999</v>
      </c>
      <c r="BA554">
        <v>0.30080000000000001</v>
      </c>
      <c r="BJ554">
        <v>0.60150000000000003</v>
      </c>
      <c r="BK554">
        <f>0</f>
        <v>0</v>
      </c>
      <c r="BL554">
        <f t="shared" si="120"/>
        <v>1.4788000000000001</v>
      </c>
      <c r="BM554">
        <f t="shared" si="121"/>
        <v>0.30080000000000001</v>
      </c>
      <c r="BN554">
        <f t="shared" si="122"/>
        <v>0</v>
      </c>
      <c r="BO554">
        <f t="shared" si="123"/>
        <v>1</v>
      </c>
      <c r="BP554" s="37">
        <f>IF($F554="","",IFERROR(INDEX(Familias!$C$5:$C$300,MATCH($F554,Familias!$A$5:$A$300,0)),""))</f>
        <v>2370</v>
      </c>
      <c r="BQ554" s="37">
        <f t="shared" si="124"/>
        <v>5250</v>
      </c>
      <c r="BR554" s="36">
        <f t="shared" si="125"/>
        <v>3.6091000000000002</v>
      </c>
      <c r="BS554" s="36">
        <f t="shared" si="126"/>
        <v>1.7796000000000001</v>
      </c>
      <c r="BT554" s="36">
        <f t="shared" si="127"/>
        <v>1.8294999999999999</v>
      </c>
      <c r="BU554" s="36">
        <f t="shared" si="128"/>
        <v>2.2151999999999998</v>
      </c>
      <c r="BV554" s="39">
        <f t="shared" si="129"/>
        <v>1.210822629133643</v>
      </c>
      <c r="BW554" s="39">
        <f t="shared" si="130"/>
        <v>1</v>
      </c>
      <c r="BX554" s="40">
        <f t="shared" si="131"/>
        <v>1.9317450096587252E-2</v>
      </c>
      <c r="BY554" s="40">
        <f t="shared" si="132"/>
        <v>0</v>
      </c>
      <c r="BZ554" t="str">
        <f t="shared" si="133"/>
        <v>Revisar rendimiento</v>
      </c>
      <c r="CA554">
        <f t="shared" si="134"/>
        <v>1</v>
      </c>
    </row>
    <row r="555" spans="1:80" x14ac:dyDescent="0.25">
      <c r="A555" s="35">
        <v>46077</v>
      </c>
      <c r="B555" s="36">
        <v>4.359</v>
      </c>
      <c r="C555" t="s">
        <v>113</v>
      </c>
      <c r="D555" t="s">
        <v>6</v>
      </c>
      <c r="E555" t="s">
        <v>147</v>
      </c>
      <c r="F555" t="s">
        <v>147</v>
      </c>
      <c r="G555">
        <v>3659</v>
      </c>
      <c r="H555">
        <v>2140110714</v>
      </c>
      <c r="I555" t="s">
        <v>190</v>
      </c>
      <c r="J555" s="37">
        <v>6100</v>
      </c>
      <c r="K555" s="37"/>
      <c r="M555">
        <v>1918</v>
      </c>
      <c r="O555">
        <v>30</v>
      </c>
      <c r="P555">
        <v>12</v>
      </c>
      <c r="R555">
        <v>69</v>
      </c>
      <c r="T555">
        <v>4</v>
      </c>
      <c r="V555" t="s">
        <v>120</v>
      </c>
      <c r="Y555" s="38">
        <v>0.44236111111111109</v>
      </c>
      <c r="Z555" s="38">
        <v>0.62361111111111112</v>
      </c>
      <c r="AA555" t="s">
        <v>117</v>
      </c>
      <c r="AC555" t="s">
        <v>136</v>
      </c>
      <c r="AD555">
        <v>0.18160000000000001</v>
      </c>
      <c r="AF555">
        <v>0.51459999999999995</v>
      </c>
      <c r="AQ555">
        <v>9.0800000000000006E-2</v>
      </c>
      <c r="AR555">
        <v>0.27239999999999998</v>
      </c>
      <c r="BA555">
        <v>0.36320000000000002</v>
      </c>
      <c r="BJ555">
        <v>0.72650000000000003</v>
      </c>
      <c r="BK555">
        <f>0</f>
        <v>0</v>
      </c>
      <c r="BL555">
        <f t="shared" si="120"/>
        <v>1.7858999999999998</v>
      </c>
      <c r="BM555">
        <f t="shared" si="121"/>
        <v>0.36320000000000002</v>
      </c>
      <c r="BN555">
        <f t="shared" si="122"/>
        <v>0</v>
      </c>
      <c r="BO555">
        <f t="shared" si="123"/>
        <v>1</v>
      </c>
      <c r="BP555" s="37">
        <f>IF($F555="","",IFERROR(INDEX(Familias!$C$5:$C$300,MATCH($F555,Familias!$A$5:$A$300,0)),""))</f>
        <v>2280</v>
      </c>
      <c r="BQ555" s="37">
        <f t="shared" si="124"/>
        <v>6100</v>
      </c>
      <c r="BR555" s="36">
        <f t="shared" si="125"/>
        <v>4.359</v>
      </c>
      <c r="BS555" s="36">
        <f t="shared" si="126"/>
        <v>2.1490999999999998</v>
      </c>
      <c r="BT555" s="36">
        <f t="shared" si="127"/>
        <v>2.2099000000000002</v>
      </c>
      <c r="BU555" s="36">
        <f t="shared" si="128"/>
        <v>2.6753999999999998</v>
      </c>
      <c r="BV555" s="39">
        <f t="shared" si="129"/>
        <v>1.2106430155210641</v>
      </c>
      <c r="BW555" s="39">
        <f t="shared" si="130"/>
        <v>1</v>
      </c>
      <c r="BX555" s="40">
        <f t="shared" si="131"/>
        <v>5.7872784150156412E-2</v>
      </c>
      <c r="BY555" s="40">
        <f t="shared" si="132"/>
        <v>0</v>
      </c>
      <c r="BZ555" t="str">
        <f t="shared" si="133"/>
        <v>Revisar rendimiento</v>
      </c>
      <c r="CA555">
        <f t="shared" si="134"/>
        <v>1</v>
      </c>
    </row>
    <row r="556" spans="1:80" x14ac:dyDescent="0.25">
      <c r="A556" s="35">
        <v>46077</v>
      </c>
      <c r="B556" s="36">
        <v>4.0319000000000003</v>
      </c>
      <c r="C556" t="s">
        <v>113</v>
      </c>
      <c r="D556" t="s">
        <v>6</v>
      </c>
      <c r="E556" t="s">
        <v>147</v>
      </c>
      <c r="F556" t="s">
        <v>175</v>
      </c>
      <c r="G556">
        <v>3733</v>
      </c>
      <c r="H556">
        <v>2140110720</v>
      </c>
      <c r="I556" t="s">
        <v>242</v>
      </c>
      <c r="J556" s="37">
        <v>5850</v>
      </c>
      <c r="K556" s="37">
        <v>15</v>
      </c>
      <c r="M556">
        <v>1624</v>
      </c>
      <c r="O556">
        <v>30</v>
      </c>
      <c r="P556">
        <v>9</v>
      </c>
      <c r="T556">
        <v>3</v>
      </c>
      <c r="V556" t="s">
        <v>120</v>
      </c>
      <c r="Y556" s="38">
        <v>0.62361111111111112</v>
      </c>
      <c r="Z556" s="38">
        <v>0.79166666666666663</v>
      </c>
      <c r="AA556" t="s">
        <v>117</v>
      </c>
      <c r="AC556" t="s">
        <v>136</v>
      </c>
      <c r="AD556">
        <v>0.16800000000000001</v>
      </c>
      <c r="AF556">
        <v>0.47599999999999998</v>
      </c>
      <c r="AQ556">
        <v>8.4000000000000005E-2</v>
      </c>
      <c r="AR556">
        <v>0.252</v>
      </c>
      <c r="BA556">
        <v>0.33600000000000002</v>
      </c>
      <c r="BJ556">
        <v>0.67200000000000004</v>
      </c>
      <c r="BK556">
        <f>0</f>
        <v>0</v>
      </c>
      <c r="BL556">
        <f t="shared" si="120"/>
        <v>1.6520000000000001</v>
      </c>
      <c r="BM556">
        <f t="shared" si="121"/>
        <v>0.33600000000000002</v>
      </c>
      <c r="BN556">
        <f t="shared" si="122"/>
        <v>0</v>
      </c>
      <c r="BO556">
        <f t="shared" si="123"/>
        <v>1</v>
      </c>
      <c r="BP556" s="37">
        <f>IF($F556="","",IFERROR(INDEX(Familias!$C$5:$C$300,MATCH($F556,Familias!$A$5:$A$300,0)),""))</f>
        <v>2370</v>
      </c>
      <c r="BQ556" s="37">
        <f t="shared" si="124"/>
        <v>5865</v>
      </c>
      <c r="BR556" s="36">
        <f t="shared" si="125"/>
        <v>4.0319000000000003</v>
      </c>
      <c r="BS556" s="36">
        <f t="shared" si="126"/>
        <v>1.988</v>
      </c>
      <c r="BT556" s="36">
        <f t="shared" si="127"/>
        <v>2.0438999999999998</v>
      </c>
      <c r="BU556" s="36">
        <f t="shared" si="128"/>
        <v>2.4746999999999999</v>
      </c>
      <c r="BV556" s="39">
        <f t="shared" si="129"/>
        <v>1.2107735212094526</v>
      </c>
      <c r="BW556" s="39">
        <f t="shared" si="130"/>
        <v>0.99744245524296671</v>
      </c>
      <c r="BX556" s="40">
        <f t="shared" si="131"/>
        <v>2.4014778325123151E-2</v>
      </c>
      <c r="BY556" s="40">
        <f t="shared" si="132"/>
        <v>0</v>
      </c>
      <c r="BZ556" t="str">
        <f t="shared" si="133"/>
        <v>Revisar rendimiento</v>
      </c>
      <c r="CA556">
        <f t="shared" si="134"/>
        <v>1</v>
      </c>
    </row>
    <row r="557" spans="1:80" x14ac:dyDescent="0.25">
      <c r="A557" s="35">
        <v>46077</v>
      </c>
      <c r="B557" s="36">
        <v>12</v>
      </c>
      <c r="C557" t="s">
        <v>119</v>
      </c>
      <c r="D557" t="s">
        <v>6</v>
      </c>
      <c r="E557" t="s">
        <v>147</v>
      </c>
      <c r="F557" t="s">
        <v>175</v>
      </c>
      <c r="G557">
        <v>3733</v>
      </c>
      <c r="H557">
        <v>2140110720</v>
      </c>
      <c r="I557" t="s">
        <v>242</v>
      </c>
      <c r="J557" s="37">
        <v>650</v>
      </c>
      <c r="K557" s="37"/>
      <c r="M557">
        <v>267</v>
      </c>
      <c r="O557">
        <v>8</v>
      </c>
      <c r="T557">
        <v>1</v>
      </c>
      <c r="V557" t="s">
        <v>224</v>
      </c>
      <c r="Y557" s="38">
        <v>0.79166666666666663</v>
      </c>
      <c r="Z557" s="38">
        <v>0.29166666666666669</v>
      </c>
      <c r="AA557" t="s">
        <v>117</v>
      </c>
      <c r="AC557" t="s">
        <v>121</v>
      </c>
      <c r="AD557">
        <v>1</v>
      </c>
      <c r="AE557">
        <v>0.25</v>
      </c>
      <c r="AQ557">
        <v>0.25</v>
      </c>
      <c r="AR557">
        <v>0.75</v>
      </c>
      <c r="BK557">
        <f>0</f>
        <v>0</v>
      </c>
      <c r="BL557">
        <f t="shared" si="120"/>
        <v>2.25</v>
      </c>
      <c r="BM557">
        <f t="shared" si="121"/>
        <v>0</v>
      </c>
      <c r="BN557">
        <f t="shared" si="122"/>
        <v>0</v>
      </c>
      <c r="BO557">
        <f t="shared" si="123"/>
        <v>1</v>
      </c>
      <c r="BP557" s="37">
        <f>IF($F557="","",IFERROR(INDEX(Familias!$C$5:$C$300,MATCH($F557,Familias!$A$5:$A$300,0)),""))</f>
        <v>2370</v>
      </c>
      <c r="BQ557" s="37">
        <f t="shared" si="124"/>
        <v>650</v>
      </c>
      <c r="BR557" s="36">
        <f t="shared" si="125"/>
        <v>12</v>
      </c>
      <c r="BS557" s="36">
        <f t="shared" si="126"/>
        <v>2.25</v>
      </c>
      <c r="BT557" s="36">
        <f t="shared" si="127"/>
        <v>9.75</v>
      </c>
      <c r="BU557" s="36">
        <f t="shared" si="128"/>
        <v>0.27429999999999999</v>
      </c>
      <c r="BV557" s="39">
        <f t="shared" si="129"/>
        <v>2.8133333333333333E-2</v>
      </c>
      <c r="BW557" s="39">
        <f t="shared" si="130"/>
        <v>1</v>
      </c>
      <c r="BX557" s="40">
        <f t="shared" si="131"/>
        <v>2.9962546816479401E-2</v>
      </c>
      <c r="BY557" s="40">
        <f t="shared" si="132"/>
        <v>0</v>
      </c>
      <c r="BZ557" t="str">
        <f t="shared" si="133"/>
        <v>OK</v>
      </c>
      <c r="CA557">
        <f t="shared" si="134"/>
        <v>1</v>
      </c>
    </row>
    <row r="558" spans="1:80" x14ac:dyDescent="0.25">
      <c r="A558" s="35">
        <v>46077</v>
      </c>
      <c r="B558" s="36">
        <v>0</v>
      </c>
      <c r="C558" t="s">
        <v>119</v>
      </c>
      <c r="D558" t="s">
        <v>6</v>
      </c>
      <c r="E558" t="s">
        <v>126</v>
      </c>
      <c r="F558" t="s">
        <v>191</v>
      </c>
      <c r="G558">
        <v>3728</v>
      </c>
      <c r="H558">
        <v>2140110533</v>
      </c>
      <c r="I558" t="s">
        <v>192</v>
      </c>
      <c r="J558" s="37"/>
      <c r="K558" s="37"/>
      <c r="M558">
        <v>89</v>
      </c>
      <c r="R558">
        <v>100</v>
      </c>
      <c r="T558">
        <v>0</v>
      </c>
      <c r="V558" t="s">
        <v>224</v>
      </c>
      <c r="Y558" s="38">
        <v>0.29166666666666669</v>
      </c>
      <c r="Z558" s="38">
        <v>0.29166666666666669</v>
      </c>
      <c r="AA558" t="s">
        <v>117</v>
      </c>
      <c r="AC558" t="s">
        <v>121</v>
      </c>
      <c r="BK558">
        <f>0</f>
        <v>0</v>
      </c>
      <c r="BL558">
        <f t="shared" si="120"/>
        <v>0</v>
      </c>
      <c r="BM558">
        <f t="shared" si="121"/>
        <v>0</v>
      </c>
      <c r="BN558">
        <f t="shared" si="122"/>
        <v>0</v>
      </c>
      <c r="BO558">
        <f t="shared" si="123"/>
        <v>1</v>
      </c>
      <c r="BP558" s="37">
        <f>IF($F558="","",IFERROR(INDEX(Familias!$C$5:$C$300,MATCH($F558,Familias!$A$5:$A$300,0)),""))</f>
        <v>3710</v>
      </c>
      <c r="BQ558" s="37" t="str">
        <f t="shared" si="124"/>
        <v/>
      </c>
      <c r="BR558" s="36">
        <f t="shared" si="125"/>
        <v>0</v>
      </c>
      <c r="BS558" s="36">
        <f t="shared" si="126"/>
        <v>0</v>
      </c>
      <c r="BT558" s="36">
        <f t="shared" si="127"/>
        <v>0</v>
      </c>
      <c r="BU558" s="36" t="str">
        <f t="shared" si="128"/>
        <v/>
      </c>
      <c r="BV558" s="39" t="str">
        <f t="shared" si="129"/>
        <v/>
      </c>
      <c r="BW558" s="39" t="str">
        <f t="shared" si="130"/>
        <v/>
      </c>
      <c r="BX558" s="40">
        <f t="shared" si="131"/>
        <v>1.1235955056179776</v>
      </c>
      <c r="BY558" s="40">
        <f t="shared" si="132"/>
        <v>0</v>
      </c>
      <c r="BZ558" t="str">
        <f t="shared" si="133"/>
        <v>Parada total</v>
      </c>
      <c r="CA558">
        <f t="shared" si="134"/>
        <v>0</v>
      </c>
    </row>
    <row r="559" spans="1:80" x14ac:dyDescent="0.25">
      <c r="A559" s="35">
        <v>46078</v>
      </c>
      <c r="B559" s="36">
        <v>12</v>
      </c>
      <c r="C559" t="s">
        <v>113</v>
      </c>
      <c r="D559" t="s">
        <v>6</v>
      </c>
      <c r="E559" t="s">
        <v>126</v>
      </c>
      <c r="F559" t="s">
        <v>191</v>
      </c>
      <c r="G559">
        <v>3728</v>
      </c>
      <c r="H559">
        <v>2140110533</v>
      </c>
      <c r="I559" t="s">
        <v>192</v>
      </c>
      <c r="J559" s="37">
        <v>19450</v>
      </c>
      <c r="K559" s="37">
        <v>31</v>
      </c>
      <c r="M559">
        <v>3328</v>
      </c>
      <c r="O559">
        <v>80</v>
      </c>
      <c r="R559">
        <v>35</v>
      </c>
      <c r="T559">
        <v>6</v>
      </c>
      <c r="V559" t="s">
        <v>120</v>
      </c>
      <c r="Y559" s="38">
        <v>0.29166666666666669</v>
      </c>
      <c r="Z559" s="38">
        <v>0.79166666666666663</v>
      </c>
      <c r="AA559" t="s">
        <v>117</v>
      </c>
      <c r="AC559" t="s">
        <v>118</v>
      </c>
      <c r="AD559">
        <v>1</v>
      </c>
      <c r="AJ559">
        <v>0.33329999999999999</v>
      </c>
      <c r="AL559">
        <v>4.4166999999999996</v>
      </c>
      <c r="AQ559">
        <v>0.25</v>
      </c>
      <c r="AR559">
        <v>0.75</v>
      </c>
      <c r="BK559">
        <f>0</f>
        <v>0</v>
      </c>
      <c r="BL559">
        <f t="shared" si="120"/>
        <v>6.75</v>
      </c>
      <c r="BM559">
        <f t="shared" si="121"/>
        <v>0</v>
      </c>
      <c r="BN559">
        <f t="shared" si="122"/>
        <v>0</v>
      </c>
      <c r="BO559">
        <f t="shared" si="123"/>
        <v>1</v>
      </c>
      <c r="BP559" s="37">
        <f>IF($F559="","",IFERROR(INDEX(Familias!$C$5:$C$300,MATCH($F559,Familias!$A$5:$A$300,0)),""))</f>
        <v>3710</v>
      </c>
      <c r="BQ559" s="37">
        <f t="shared" si="124"/>
        <v>19481</v>
      </c>
      <c r="BR559" s="36">
        <f t="shared" si="125"/>
        <v>12</v>
      </c>
      <c r="BS559" s="36">
        <f t="shared" si="126"/>
        <v>6.75</v>
      </c>
      <c r="BT559" s="36">
        <f t="shared" si="127"/>
        <v>5.25</v>
      </c>
      <c r="BU559" s="36">
        <f t="shared" si="128"/>
        <v>5.2508999999999997</v>
      </c>
      <c r="BV559" s="39">
        <f t="shared" si="129"/>
        <v>1.0001714285714285</v>
      </c>
      <c r="BW559" s="39">
        <f t="shared" si="130"/>
        <v>0.99840870591858732</v>
      </c>
      <c r="BX559" s="40">
        <f t="shared" si="131"/>
        <v>3.4555288461538464E-2</v>
      </c>
      <c r="BY559" s="40">
        <f t="shared" si="132"/>
        <v>0</v>
      </c>
      <c r="BZ559" t="str">
        <f t="shared" si="133"/>
        <v>OK</v>
      </c>
      <c r="CA559">
        <f t="shared" si="134"/>
        <v>1</v>
      </c>
    </row>
    <row r="560" spans="1:80" x14ac:dyDescent="0.25">
      <c r="A560" s="35">
        <v>46078</v>
      </c>
      <c r="B560" s="36">
        <v>12</v>
      </c>
      <c r="C560" t="s">
        <v>119</v>
      </c>
      <c r="D560" t="s">
        <v>6</v>
      </c>
      <c r="E560" t="s">
        <v>126</v>
      </c>
      <c r="F560" t="s">
        <v>191</v>
      </c>
      <c r="G560">
        <v>3728</v>
      </c>
      <c r="H560">
        <v>2140110533</v>
      </c>
      <c r="I560" t="s">
        <v>192</v>
      </c>
      <c r="J560" s="37">
        <v>22350</v>
      </c>
      <c r="K560" s="37">
        <v>30</v>
      </c>
      <c r="M560">
        <v>4139</v>
      </c>
      <c r="O560">
        <v>50</v>
      </c>
      <c r="T560">
        <v>8</v>
      </c>
      <c r="V560" t="s">
        <v>224</v>
      </c>
      <c r="Y560" s="38">
        <v>0.79166666666666663</v>
      </c>
      <c r="Z560" s="38">
        <v>0.29166666666666669</v>
      </c>
      <c r="AA560" t="s">
        <v>117</v>
      </c>
      <c r="AC560" t="s">
        <v>118</v>
      </c>
      <c r="AD560">
        <v>0.41670000000000001</v>
      </c>
      <c r="AQ560">
        <v>0.25</v>
      </c>
      <c r="AR560">
        <v>0.75</v>
      </c>
      <c r="AV560">
        <v>0.5</v>
      </c>
      <c r="BJ560">
        <v>0.5</v>
      </c>
      <c r="BK560">
        <f>0</f>
        <v>0</v>
      </c>
      <c r="BL560">
        <f t="shared" si="120"/>
        <v>1.9167000000000001</v>
      </c>
      <c r="BM560">
        <f t="shared" si="121"/>
        <v>0</v>
      </c>
      <c r="BN560">
        <f t="shared" si="122"/>
        <v>0.5</v>
      </c>
      <c r="BO560">
        <f t="shared" si="123"/>
        <v>1</v>
      </c>
      <c r="BP560" s="37">
        <f>IF($F560="","",IFERROR(INDEX(Familias!$C$5:$C$300,MATCH($F560,Familias!$A$5:$A$300,0)),""))</f>
        <v>3710</v>
      </c>
      <c r="BQ560" s="37">
        <f t="shared" si="124"/>
        <v>22380</v>
      </c>
      <c r="BR560" s="36">
        <f t="shared" si="125"/>
        <v>12</v>
      </c>
      <c r="BS560" s="36">
        <f t="shared" si="126"/>
        <v>2.4167000000000001</v>
      </c>
      <c r="BT560" s="36">
        <f t="shared" si="127"/>
        <v>9.5832999999999995</v>
      </c>
      <c r="BU560" s="36">
        <f t="shared" si="128"/>
        <v>6.0323000000000002</v>
      </c>
      <c r="BV560" s="39">
        <f t="shared" si="129"/>
        <v>0.62945958072897645</v>
      </c>
      <c r="BW560" s="39">
        <f t="shared" si="130"/>
        <v>0.99865951742627346</v>
      </c>
      <c r="BX560" s="40">
        <f t="shared" si="131"/>
        <v>1.2080212611741966E-2</v>
      </c>
      <c r="BY560" s="40">
        <f t="shared" si="132"/>
        <v>0</v>
      </c>
      <c r="BZ560" t="str">
        <f t="shared" si="133"/>
        <v>OK</v>
      </c>
      <c r="CA560">
        <f t="shared" si="134"/>
        <v>1</v>
      </c>
    </row>
    <row r="561" spans="1:80" x14ac:dyDescent="0.25">
      <c r="A561" s="35">
        <v>46079</v>
      </c>
      <c r="B561" s="36">
        <v>9.9824000000000002</v>
      </c>
      <c r="C561" t="s">
        <v>113</v>
      </c>
      <c r="D561" t="s">
        <v>6</v>
      </c>
      <c r="E561" t="s">
        <v>126</v>
      </c>
      <c r="F561" t="s">
        <v>191</v>
      </c>
      <c r="G561">
        <v>3728</v>
      </c>
      <c r="H561">
        <v>2140110533</v>
      </c>
      <c r="I561" t="s">
        <v>192</v>
      </c>
      <c r="J561" s="37">
        <v>8200</v>
      </c>
      <c r="K561" s="37">
        <v>10</v>
      </c>
      <c r="M561">
        <v>1523</v>
      </c>
      <c r="O561">
        <v>30</v>
      </c>
      <c r="P561">
        <v>9</v>
      </c>
      <c r="T561">
        <v>4</v>
      </c>
      <c r="V561" t="s">
        <v>120</v>
      </c>
      <c r="Y561" s="38">
        <v>0.29166666666666669</v>
      </c>
      <c r="Z561" s="38">
        <v>0.70763888888888893</v>
      </c>
      <c r="AA561" t="s">
        <v>200</v>
      </c>
      <c r="AB561" t="s">
        <v>201</v>
      </c>
      <c r="AC561" t="s">
        <v>121</v>
      </c>
      <c r="AD561">
        <v>0.41589999999999999</v>
      </c>
      <c r="AF561">
        <v>0.62390000000000001</v>
      </c>
      <c r="AG561">
        <v>1.2478</v>
      </c>
      <c r="AQ561">
        <v>0.29120000000000001</v>
      </c>
      <c r="AR561">
        <v>0.62390000000000001</v>
      </c>
      <c r="AU561">
        <v>0.83189999999999997</v>
      </c>
      <c r="BJ561">
        <v>2.9115000000000002</v>
      </c>
      <c r="BK561">
        <f>0</f>
        <v>0</v>
      </c>
      <c r="BL561">
        <f t="shared" si="120"/>
        <v>6.9461000000000004</v>
      </c>
      <c r="BM561">
        <f t="shared" si="121"/>
        <v>0</v>
      </c>
      <c r="BN561">
        <f t="shared" si="122"/>
        <v>0</v>
      </c>
      <c r="BO561">
        <f t="shared" si="123"/>
        <v>1</v>
      </c>
      <c r="BP561" s="37">
        <f>IF($F561="","",IFERROR(INDEX(Familias!$C$5:$C$300,MATCH($F561,Familias!$A$5:$A$300,0)),""))</f>
        <v>3710</v>
      </c>
      <c r="BQ561" s="37">
        <f t="shared" si="124"/>
        <v>8210</v>
      </c>
      <c r="BR561" s="36">
        <f t="shared" si="125"/>
        <v>9.9824000000000002</v>
      </c>
      <c r="BS561" s="36">
        <f t="shared" si="126"/>
        <v>6.9461000000000004</v>
      </c>
      <c r="BT561" s="36">
        <f t="shared" si="127"/>
        <v>3.0363000000000002</v>
      </c>
      <c r="BU561" s="36">
        <f t="shared" si="128"/>
        <v>2.2128999999999999</v>
      </c>
      <c r="BV561" s="39">
        <f t="shared" si="129"/>
        <v>0.72881467575667747</v>
      </c>
      <c r="BW561" s="39">
        <f t="shared" si="130"/>
        <v>0.99878197320341044</v>
      </c>
      <c r="BX561" s="40">
        <f t="shared" si="131"/>
        <v>2.5607353906762966E-2</v>
      </c>
      <c r="BY561" s="40">
        <f t="shared" si="132"/>
        <v>0</v>
      </c>
      <c r="BZ561" t="str">
        <f t="shared" si="133"/>
        <v>Paradas no digitadas</v>
      </c>
      <c r="CA561">
        <f t="shared" si="134"/>
        <v>0</v>
      </c>
    </row>
    <row r="562" spans="1:80" x14ac:dyDescent="0.25">
      <c r="A562" s="35">
        <v>46079</v>
      </c>
      <c r="B562" s="36">
        <v>2.0175999999999998</v>
      </c>
      <c r="C562" t="s">
        <v>113</v>
      </c>
      <c r="D562" t="s">
        <v>6</v>
      </c>
      <c r="E562" t="s">
        <v>147</v>
      </c>
      <c r="F562" t="s">
        <v>175</v>
      </c>
      <c r="G562">
        <v>3732</v>
      </c>
      <c r="H562">
        <v>2140110721</v>
      </c>
      <c r="I562" t="s">
        <v>243</v>
      </c>
      <c r="J562" s="37">
        <v>1050</v>
      </c>
      <c r="K562" s="37">
        <v>10</v>
      </c>
      <c r="M562">
        <v>400</v>
      </c>
      <c r="O562">
        <v>10</v>
      </c>
      <c r="R562">
        <v>22</v>
      </c>
      <c r="T562">
        <v>1</v>
      </c>
      <c r="V562" t="s">
        <v>120</v>
      </c>
      <c r="Y562" s="38">
        <v>0.70763888888888893</v>
      </c>
      <c r="Z562" s="38">
        <v>0.79166666666666663</v>
      </c>
      <c r="AA562" t="s">
        <v>200</v>
      </c>
      <c r="AC562" t="s">
        <v>121</v>
      </c>
      <c r="AD562">
        <v>8.4099999999999994E-2</v>
      </c>
      <c r="AF562">
        <v>0.12609999999999999</v>
      </c>
      <c r="AG562">
        <v>0.25219999999999998</v>
      </c>
      <c r="AQ562">
        <v>5.8799999999999998E-2</v>
      </c>
      <c r="AR562">
        <v>0.12609999999999999</v>
      </c>
      <c r="AU562">
        <v>0.1681</v>
      </c>
      <c r="BJ562">
        <v>0.58850000000000002</v>
      </c>
      <c r="BK562">
        <f>0</f>
        <v>0</v>
      </c>
      <c r="BL562">
        <f t="shared" si="120"/>
        <v>1.4039000000000001</v>
      </c>
      <c r="BM562">
        <f t="shared" si="121"/>
        <v>0</v>
      </c>
      <c r="BN562">
        <f t="shared" si="122"/>
        <v>0</v>
      </c>
      <c r="BO562">
        <f t="shared" si="123"/>
        <v>1</v>
      </c>
      <c r="BP562" s="37">
        <f>IF($F562="","",IFERROR(INDEX(Familias!$C$5:$C$300,MATCH($F562,Familias!$A$5:$A$300,0)),""))</f>
        <v>2370</v>
      </c>
      <c r="BQ562" s="37">
        <f t="shared" si="124"/>
        <v>1060</v>
      </c>
      <c r="BR562" s="36">
        <f t="shared" si="125"/>
        <v>2.0175999999999998</v>
      </c>
      <c r="BS562" s="36">
        <f t="shared" si="126"/>
        <v>1.4038999999999999</v>
      </c>
      <c r="BT562" s="36">
        <f t="shared" si="127"/>
        <v>0.61370000000000002</v>
      </c>
      <c r="BU562" s="36">
        <f t="shared" si="128"/>
        <v>0.44729999999999998</v>
      </c>
      <c r="BV562" s="39">
        <f t="shared" si="129"/>
        <v>0.72885774808538362</v>
      </c>
      <c r="BW562" s="39">
        <f t="shared" si="130"/>
        <v>0.99056603773584906</v>
      </c>
      <c r="BX562" s="40">
        <f t="shared" si="131"/>
        <v>0.08</v>
      </c>
      <c r="BY562" s="40">
        <f t="shared" si="132"/>
        <v>0</v>
      </c>
      <c r="BZ562" t="str">
        <f t="shared" si="133"/>
        <v>Paradas no digitadas</v>
      </c>
      <c r="CA562">
        <f t="shared" si="134"/>
        <v>0</v>
      </c>
    </row>
    <row r="563" spans="1:80" x14ac:dyDescent="0.25">
      <c r="A563" s="35">
        <v>46083</v>
      </c>
      <c r="B563" s="36">
        <v>10.35</v>
      </c>
      <c r="C563" t="s">
        <v>113</v>
      </c>
      <c r="D563" t="s">
        <v>6</v>
      </c>
      <c r="E563" t="s">
        <v>147</v>
      </c>
      <c r="F563" t="s">
        <v>175</v>
      </c>
      <c r="G563">
        <v>3732</v>
      </c>
      <c r="H563">
        <v>2140110721</v>
      </c>
      <c r="I563" t="s">
        <v>243</v>
      </c>
      <c r="J563" s="37">
        <v>5300</v>
      </c>
      <c r="K563" s="37">
        <v>7</v>
      </c>
      <c r="M563">
        <v>1640</v>
      </c>
      <c r="O563">
        <v>30</v>
      </c>
      <c r="P563">
        <v>9</v>
      </c>
      <c r="R563">
        <v>38</v>
      </c>
      <c r="T563">
        <v>3</v>
      </c>
      <c r="V563" t="s">
        <v>120</v>
      </c>
      <c r="Y563" s="38">
        <v>0.29166666666666669</v>
      </c>
      <c r="Z563" s="38">
        <v>0.72291666666666665</v>
      </c>
      <c r="AA563" t="s">
        <v>117</v>
      </c>
      <c r="AC563" t="s">
        <v>118</v>
      </c>
      <c r="AD563">
        <v>1</v>
      </c>
      <c r="AF563">
        <v>0.5</v>
      </c>
      <c r="AQ563">
        <v>4.5999999999999996</v>
      </c>
      <c r="AR563">
        <v>0.75</v>
      </c>
      <c r="BC563">
        <v>3.5</v>
      </c>
      <c r="BK563">
        <f>0</f>
        <v>0</v>
      </c>
      <c r="BL563">
        <f t="shared" si="120"/>
        <v>10.35</v>
      </c>
      <c r="BM563">
        <f t="shared" si="121"/>
        <v>0</v>
      </c>
      <c r="BN563">
        <f t="shared" si="122"/>
        <v>0</v>
      </c>
      <c r="BO563">
        <f t="shared" si="123"/>
        <v>1</v>
      </c>
      <c r="BP563" s="37">
        <f>IF($F563="","",IFERROR(INDEX(Familias!$C$5:$C$300,MATCH($F563,Familias!$A$5:$A$300,0)),""))</f>
        <v>2370</v>
      </c>
      <c r="BQ563" s="37">
        <f t="shared" si="124"/>
        <v>5307</v>
      </c>
      <c r="BR563" s="36">
        <f t="shared" si="125"/>
        <v>10.35</v>
      </c>
      <c r="BS563" s="36">
        <f t="shared" si="126"/>
        <v>10.35</v>
      </c>
      <c r="BT563" s="36">
        <f t="shared" si="127"/>
        <v>0</v>
      </c>
      <c r="BU563" s="36">
        <f t="shared" si="128"/>
        <v>2.2391999999999999</v>
      </c>
      <c r="BV563" s="39" t="str">
        <f t="shared" si="129"/>
        <v/>
      </c>
      <c r="BW563" s="39">
        <f t="shared" si="130"/>
        <v>0.99868098737516486</v>
      </c>
      <c r="BX563" s="40">
        <f t="shared" si="131"/>
        <v>4.6951219512195122E-2</v>
      </c>
      <c r="BY563" s="40">
        <f t="shared" si="132"/>
        <v>0</v>
      </c>
      <c r="BZ563" t="str">
        <f t="shared" si="133"/>
        <v>OK</v>
      </c>
      <c r="CA563">
        <f t="shared" si="134"/>
        <v>1</v>
      </c>
    </row>
    <row r="564" spans="1:80" x14ac:dyDescent="0.25">
      <c r="A564" s="35">
        <v>46094</v>
      </c>
      <c r="B564" s="36">
        <v>10.35</v>
      </c>
      <c r="C564" t="s">
        <v>113</v>
      </c>
      <c r="D564" t="s">
        <v>6</v>
      </c>
      <c r="F564" t="s">
        <v>124</v>
      </c>
      <c r="G564">
        <v>3760</v>
      </c>
      <c r="H564">
        <v>2310320089</v>
      </c>
      <c r="I564" t="s">
        <v>125</v>
      </c>
      <c r="J564" s="37">
        <v>2179</v>
      </c>
      <c r="K564" s="37">
        <v>25</v>
      </c>
      <c r="M564">
        <v>799</v>
      </c>
      <c r="O564">
        <v>30</v>
      </c>
      <c r="P564">
        <v>4</v>
      </c>
      <c r="R564">
        <v>116</v>
      </c>
      <c r="T564">
        <v>1</v>
      </c>
      <c r="V564" t="s">
        <v>224</v>
      </c>
      <c r="Y564" s="38">
        <v>0.29166666666666669</v>
      </c>
      <c r="Z564" s="38">
        <v>0.72291666666666665</v>
      </c>
      <c r="AA564" t="s">
        <v>200</v>
      </c>
      <c r="AB564" t="s">
        <v>244</v>
      </c>
      <c r="AC564" t="s">
        <v>118</v>
      </c>
      <c r="AE564">
        <v>5</v>
      </c>
      <c r="AQ564">
        <v>0.6</v>
      </c>
      <c r="AR564">
        <v>1.5</v>
      </c>
      <c r="AW564">
        <v>2.9167000000000001</v>
      </c>
      <c r="BB564">
        <v>1.25</v>
      </c>
      <c r="BJ564">
        <v>5.3333000000000004</v>
      </c>
      <c r="BK564">
        <f>0</f>
        <v>0</v>
      </c>
      <c r="BL564">
        <f t="shared" si="120"/>
        <v>15.350000000000001</v>
      </c>
      <c r="BM564">
        <f t="shared" si="121"/>
        <v>1.25</v>
      </c>
      <c r="BN564">
        <f t="shared" si="122"/>
        <v>0</v>
      </c>
      <c r="BO564">
        <f t="shared" si="123"/>
        <v>1</v>
      </c>
      <c r="BP564" s="37">
        <f>IF($F564="","",IFERROR(INDEX(Familias!$C$5:$C$300,MATCH($F564,Familias!$A$5:$A$300,0)),""))</f>
        <v>2840</v>
      </c>
      <c r="BQ564" s="37">
        <f t="shared" si="124"/>
        <v>2204</v>
      </c>
      <c r="BR564" s="36">
        <f t="shared" si="125"/>
        <v>10.35</v>
      </c>
      <c r="BS564" s="36">
        <f t="shared" si="126"/>
        <v>16.600000000000001</v>
      </c>
      <c r="BT564" s="36">
        <f t="shared" si="127"/>
        <v>0</v>
      </c>
      <c r="BU564" s="36">
        <f t="shared" si="128"/>
        <v>0.77610000000000001</v>
      </c>
      <c r="BV564" s="39" t="str">
        <f t="shared" si="129"/>
        <v/>
      </c>
      <c r="BW564" s="39">
        <f t="shared" si="130"/>
        <v>0.98865698729582574</v>
      </c>
      <c r="BX564" s="40">
        <f t="shared" si="131"/>
        <v>0.18773466833541927</v>
      </c>
      <c r="BY564" s="40">
        <f t="shared" si="132"/>
        <v>0</v>
      </c>
      <c r="BZ564" t="str">
        <f t="shared" si="133"/>
        <v>Paradas no digitadas</v>
      </c>
      <c r="CA564">
        <f t="shared" si="134"/>
        <v>0</v>
      </c>
    </row>
    <row r="565" spans="1:80" x14ac:dyDescent="0.25">
      <c r="A565" s="35">
        <v>46097</v>
      </c>
      <c r="B565" s="36">
        <v>10.35</v>
      </c>
      <c r="C565" t="s">
        <v>113</v>
      </c>
      <c r="D565" t="s">
        <v>6</v>
      </c>
      <c r="F565" t="s">
        <v>124</v>
      </c>
      <c r="G565">
        <v>3760</v>
      </c>
      <c r="H565">
        <v>2310320089</v>
      </c>
      <c r="I565" t="s">
        <v>125</v>
      </c>
      <c r="J565" s="37">
        <v>10418</v>
      </c>
      <c r="K565" s="37">
        <v>185</v>
      </c>
      <c r="M565">
        <v>2696</v>
      </c>
      <c r="O565">
        <v>110</v>
      </c>
      <c r="T565">
        <v>3</v>
      </c>
      <c r="V565" t="s">
        <v>224</v>
      </c>
      <c r="Y565" s="38">
        <v>0.29166666666666669</v>
      </c>
      <c r="Z565" s="38">
        <v>0.72291666666666665</v>
      </c>
      <c r="AA565" t="s">
        <v>161</v>
      </c>
      <c r="AB565" t="s">
        <v>162</v>
      </c>
      <c r="AC565" t="s">
        <v>118</v>
      </c>
      <c r="BK565">
        <f>0</f>
        <v>0</v>
      </c>
      <c r="BL565">
        <f t="shared" si="120"/>
        <v>0</v>
      </c>
      <c r="BM565">
        <f t="shared" si="121"/>
        <v>0</v>
      </c>
      <c r="BN565">
        <f t="shared" si="122"/>
        <v>0</v>
      </c>
      <c r="BO565">
        <f t="shared" si="123"/>
        <v>1</v>
      </c>
      <c r="BP565" s="37">
        <f>IF($F565="","",IFERROR(INDEX(Familias!$C$5:$C$300,MATCH($F565,Familias!$A$5:$A$300,0)),""))</f>
        <v>2840</v>
      </c>
      <c r="BQ565" s="37">
        <f t="shared" si="124"/>
        <v>10603</v>
      </c>
      <c r="BR565" s="36">
        <f t="shared" si="125"/>
        <v>10.35</v>
      </c>
      <c r="BS565" s="36">
        <f t="shared" si="126"/>
        <v>0</v>
      </c>
      <c r="BT565" s="36">
        <f t="shared" si="127"/>
        <v>10.35</v>
      </c>
      <c r="BU565" s="36">
        <f t="shared" si="128"/>
        <v>3.7334999999999998</v>
      </c>
      <c r="BV565" s="39">
        <f t="shared" si="129"/>
        <v>0.36072463768115942</v>
      </c>
      <c r="BW565" s="39">
        <f t="shared" si="130"/>
        <v>0.98255210789399228</v>
      </c>
      <c r="BX565" s="40">
        <f t="shared" si="131"/>
        <v>4.0801186943620178E-2</v>
      </c>
      <c r="BY565" s="40">
        <f t="shared" si="132"/>
        <v>0</v>
      </c>
      <c r="BZ565" t="str">
        <f t="shared" si="133"/>
        <v>Paradas no digitadas</v>
      </c>
      <c r="CA565">
        <f t="shared" si="134"/>
        <v>0</v>
      </c>
    </row>
    <row r="566" spans="1:80" x14ac:dyDescent="0.25">
      <c r="A566" s="35">
        <v>46104</v>
      </c>
      <c r="B566" s="36">
        <v>10.35</v>
      </c>
      <c r="C566" t="s">
        <v>113</v>
      </c>
      <c r="D566" t="s">
        <v>6</v>
      </c>
      <c r="E566" t="s">
        <v>126</v>
      </c>
      <c r="F566" t="s">
        <v>133</v>
      </c>
      <c r="G566">
        <v>3840</v>
      </c>
      <c r="H566">
        <v>2140110604</v>
      </c>
      <c r="I566" t="s">
        <v>139</v>
      </c>
      <c r="J566" s="37">
        <v>16750</v>
      </c>
      <c r="K566" s="37">
        <v>35</v>
      </c>
      <c r="M566">
        <v>5997</v>
      </c>
      <c r="O566">
        <v>140</v>
      </c>
      <c r="P566">
        <v>160</v>
      </c>
      <c r="T566">
        <v>9</v>
      </c>
      <c r="V566" t="s">
        <v>116</v>
      </c>
      <c r="Y566" s="38">
        <v>0.29166666666666669</v>
      </c>
      <c r="Z566" s="38">
        <v>0.72291666666666665</v>
      </c>
      <c r="AA566" t="s">
        <v>200</v>
      </c>
      <c r="AB566" t="s">
        <v>245</v>
      </c>
      <c r="AC566" t="s">
        <v>118</v>
      </c>
      <c r="AD566">
        <v>2</v>
      </c>
      <c r="AQ566">
        <v>0.25</v>
      </c>
      <c r="AR566">
        <v>0.75</v>
      </c>
      <c r="BK566">
        <f>0</f>
        <v>0</v>
      </c>
      <c r="BL566">
        <f t="shared" si="120"/>
        <v>3</v>
      </c>
      <c r="BM566">
        <f t="shared" si="121"/>
        <v>0</v>
      </c>
      <c r="BN566">
        <f t="shared" si="122"/>
        <v>0</v>
      </c>
      <c r="BO566">
        <f t="shared" si="123"/>
        <v>1</v>
      </c>
      <c r="BP566" s="37">
        <f>IF($F566="","",IFERROR(INDEX(Familias!$C$5:$C$300,MATCH($F566,Familias!$A$5:$A$300,0)),""))</f>
        <v>2320</v>
      </c>
      <c r="BQ566" s="37">
        <f t="shared" si="124"/>
        <v>16785</v>
      </c>
      <c r="BR566" s="36">
        <f t="shared" si="125"/>
        <v>10.35</v>
      </c>
      <c r="BS566" s="36">
        <f t="shared" si="126"/>
        <v>3</v>
      </c>
      <c r="BT566" s="36">
        <f t="shared" si="127"/>
        <v>7.35</v>
      </c>
      <c r="BU566" s="36">
        <f t="shared" si="128"/>
        <v>7.2348999999999997</v>
      </c>
      <c r="BV566" s="39">
        <f t="shared" si="129"/>
        <v>0.98434013605442172</v>
      </c>
      <c r="BW566" s="39">
        <f t="shared" si="130"/>
        <v>0.99791480488531425</v>
      </c>
      <c r="BX566" s="40">
        <f t="shared" si="131"/>
        <v>5.0025012506253123E-2</v>
      </c>
      <c r="BY566" s="40">
        <f t="shared" si="132"/>
        <v>0</v>
      </c>
      <c r="BZ566" t="str">
        <f t="shared" si="133"/>
        <v>Paradas no digitadas</v>
      </c>
      <c r="CA566">
        <f t="shared" si="134"/>
        <v>0</v>
      </c>
    </row>
    <row r="567" spans="1:80" x14ac:dyDescent="0.25">
      <c r="A567" s="35">
        <v>46105</v>
      </c>
      <c r="B567" s="36">
        <v>8.1080000000000005</v>
      </c>
      <c r="C567" t="s">
        <v>113</v>
      </c>
      <c r="D567" t="s">
        <v>6</v>
      </c>
      <c r="E567" t="s">
        <v>126</v>
      </c>
      <c r="F567" t="s">
        <v>133</v>
      </c>
      <c r="G567">
        <v>3840</v>
      </c>
      <c r="H567">
        <v>2140110604</v>
      </c>
      <c r="I567" t="s">
        <v>139</v>
      </c>
      <c r="J567" s="37">
        <v>13800</v>
      </c>
      <c r="K567" s="37">
        <v>18</v>
      </c>
      <c r="M567">
        <v>1705</v>
      </c>
      <c r="O567">
        <v>80</v>
      </c>
      <c r="P567">
        <v>6</v>
      </c>
      <c r="T567">
        <v>3</v>
      </c>
      <c r="V567" t="s">
        <v>116</v>
      </c>
      <c r="Y567" s="38">
        <v>0.29166666666666669</v>
      </c>
      <c r="Z567" s="38">
        <v>0.62916666666666665</v>
      </c>
      <c r="AA567" t="s">
        <v>200</v>
      </c>
      <c r="AB567" t="s">
        <v>245</v>
      </c>
      <c r="AC567" t="s">
        <v>121</v>
      </c>
      <c r="AD567">
        <v>0.78339999999999999</v>
      </c>
      <c r="AL567">
        <v>0.39169999999999999</v>
      </c>
      <c r="AQ567">
        <v>0.1958</v>
      </c>
      <c r="AR567">
        <v>0.58750000000000002</v>
      </c>
      <c r="AW567">
        <v>0.39169999999999999</v>
      </c>
      <c r="BJ567">
        <v>1.3709</v>
      </c>
      <c r="BK567">
        <f>0</f>
        <v>0</v>
      </c>
      <c r="BL567">
        <f t="shared" si="120"/>
        <v>3.7210000000000001</v>
      </c>
      <c r="BM567">
        <f t="shared" si="121"/>
        <v>0</v>
      </c>
      <c r="BN567">
        <f t="shared" si="122"/>
        <v>0</v>
      </c>
      <c r="BO567">
        <f t="shared" si="123"/>
        <v>1</v>
      </c>
      <c r="BP567" s="37">
        <f>IF($F567="","",IFERROR(INDEX(Familias!$C$5:$C$300,MATCH($F567,Familias!$A$5:$A$300,0)),""))</f>
        <v>2320</v>
      </c>
      <c r="BQ567" s="37">
        <f t="shared" si="124"/>
        <v>13818</v>
      </c>
      <c r="BR567" s="36">
        <f t="shared" si="125"/>
        <v>8.1080000000000005</v>
      </c>
      <c r="BS567" s="36">
        <f t="shared" si="126"/>
        <v>3.7210000000000001</v>
      </c>
      <c r="BT567" s="36">
        <f t="shared" si="127"/>
        <v>4.3869999999999996</v>
      </c>
      <c r="BU567" s="36">
        <f t="shared" si="128"/>
        <v>5.9560000000000004</v>
      </c>
      <c r="BV567" s="39">
        <f t="shared" si="129"/>
        <v>1.3576475951675406</v>
      </c>
      <c r="BW567" s="39">
        <f t="shared" si="130"/>
        <v>0.99869735128093795</v>
      </c>
      <c r="BX567" s="40">
        <f t="shared" si="131"/>
        <v>5.0439882697947212E-2</v>
      </c>
      <c r="BY567" s="40">
        <f t="shared" si="132"/>
        <v>0</v>
      </c>
      <c r="BZ567" t="str">
        <f t="shared" si="133"/>
        <v>Paradas no digitadas</v>
      </c>
      <c r="CA567">
        <f t="shared" si="134"/>
        <v>0</v>
      </c>
    </row>
    <row r="568" spans="1:80" x14ac:dyDescent="0.25">
      <c r="A568" s="35">
        <v>46105</v>
      </c>
      <c r="B568" s="36">
        <v>2.242</v>
      </c>
      <c r="C568" t="s">
        <v>113</v>
      </c>
      <c r="D568" t="s">
        <v>6</v>
      </c>
      <c r="E568" t="s">
        <v>126</v>
      </c>
      <c r="F568" t="s">
        <v>127</v>
      </c>
      <c r="G568">
        <v>3858</v>
      </c>
      <c r="H568">
        <v>2140110610</v>
      </c>
      <c r="I568" t="s">
        <v>128</v>
      </c>
      <c r="J568" s="37">
        <v>4000</v>
      </c>
      <c r="K568" s="37">
        <v>35</v>
      </c>
      <c r="M568">
        <v>4538</v>
      </c>
      <c r="O568">
        <v>95</v>
      </c>
      <c r="P568">
        <v>23</v>
      </c>
      <c r="T568">
        <v>7</v>
      </c>
      <c r="V568" t="s">
        <v>116</v>
      </c>
      <c r="Y568" s="38">
        <v>0.62916666666666665</v>
      </c>
      <c r="Z568" s="38">
        <v>0.72291666666666665</v>
      </c>
      <c r="AA568" t="s">
        <v>200</v>
      </c>
      <c r="AC568" t="s">
        <v>121</v>
      </c>
      <c r="AD568">
        <v>0.21659999999999999</v>
      </c>
      <c r="AL568">
        <v>0.10829999999999999</v>
      </c>
      <c r="AQ568">
        <v>5.4199999999999998E-2</v>
      </c>
      <c r="AR568">
        <v>0.16250000000000001</v>
      </c>
      <c r="AW568">
        <v>0.10829999999999999</v>
      </c>
      <c r="BJ568">
        <v>0.37909999999999999</v>
      </c>
      <c r="BK568">
        <f>0</f>
        <v>0</v>
      </c>
      <c r="BL568">
        <f t="shared" si="120"/>
        <v>1.0289999999999999</v>
      </c>
      <c r="BM568">
        <f t="shared" si="121"/>
        <v>0</v>
      </c>
      <c r="BN568">
        <f t="shared" si="122"/>
        <v>0</v>
      </c>
      <c r="BO568">
        <f t="shared" si="123"/>
        <v>1</v>
      </c>
      <c r="BP568" s="37">
        <f>IF($F568="","",IFERROR(INDEX(Familias!$C$5:$C$300,MATCH($F568,Familias!$A$5:$A$300,0)),""))</f>
        <v>2450</v>
      </c>
      <c r="BQ568" s="37">
        <f t="shared" si="124"/>
        <v>4035</v>
      </c>
      <c r="BR568" s="36">
        <f t="shared" si="125"/>
        <v>2.242</v>
      </c>
      <c r="BS568" s="36">
        <f t="shared" si="126"/>
        <v>1.0289999999999999</v>
      </c>
      <c r="BT568" s="36">
        <f t="shared" si="127"/>
        <v>1.2130000000000001</v>
      </c>
      <c r="BU568" s="36">
        <f t="shared" si="128"/>
        <v>1.6469</v>
      </c>
      <c r="BV568" s="39">
        <f t="shared" si="129"/>
        <v>1.3577081615828523</v>
      </c>
      <c r="BW568" s="39">
        <f t="shared" si="130"/>
        <v>0.99132589838909546</v>
      </c>
      <c r="BX568" s="40">
        <f t="shared" si="131"/>
        <v>2.6002644336712209E-2</v>
      </c>
      <c r="BY568" s="40">
        <f t="shared" si="132"/>
        <v>0</v>
      </c>
      <c r="BZ568" t="str">
        <f t="shared" si="133"/>
        <v>Paradas no digitadas</v>
      </c>
      <c r="CA568">
        <f t="shared" si="134"/>
        <v>0</v>
      </c>
    </row>
    <row r="569" spans="1:80" x14ac:dyDescent="0.25">
      <c r="A569" s="35">
        <v>46106</v>
      </c>
      <c r="B569" s="36">
        <v>10.35</v>
      </c>
      <c r="C569" t="s">
        <v>113</v>
      </c>
      <c r="D569" t="s">
        <v>6</v>
      </c>
      <c r="E569" t="s">
        <v>126</v>
      </c>
      <c r="F569" t="s">
        <v>127</v>
      </c>
      <c r="G569">
        <v>3858</v>
      </c>
      <c r="H569">
        <v>2140110610</v>
      </c>
      <c r="I569" t="s">
        <v>128</v>
      </c>
      <c r="J569" s="37">
        <v>21900</v>
      </c>
      <c r="K569" s="37">
        <v>20</v>
      </c>
      <c r="M569">
        <v>8158</v>
      </c>
      <c r="O569">
        <v>125</v>
      </c>
      <c r="P569">
        <v>29</v>
      </c>
      <c r="T569">
        <v>10</v>
      </c>
      <c r="V569" t="s">
        <v>116</v>
      </c>
      <c r="Y569" s="38">
        <v>0.29166666666666669</v>
      </c>
      <c r="Z569" s="38">
        <v>0.72291666666666665</v>
      </c>
      <c r="AA569" t="s">
        <v>200</v>
      </c>
      <c r="AB569" t="s">
        <v>245</v>
      </c>
      <c r="AC569" t="s">
        <v>118</v>
      </c>
      <c r="AD569">
        <v>1</v>
      </c>
      <c r="AJ569">
        <v>1.75</v>
      </c>
      <c r="AQ569">
        <v>0.25</v>
      </c>
      <c r="AR569">
        <v>0.75</v>
      </c>
      <c r="BJ569">
        <v>0.33329999999999999</v>
      </c>
      <c r="BK569">
        <f>0</f>
        <v>0</v>
      </c>
      <c r="BL569">
        <f t="shared" si="120"/>
        <v>4.0833000000000004</v>
      </c>
      <c r="BM569">
        <f t="shared" si="121"/>
        <v>0</v>
      </c>
      <c r="BN569">
        <f t="shared" si="122"/>
        <v>0</v>
      </c>
      <c r="BO569">
        <f t="shared" si="123"/>
        <v>1</v>
      </c>
      <c r="BP569" s="37">
        <f>IF($F569="","",IFERROR(INDEX(Familias!$C$5:$C$300,MATCH($F569,Familias!$A$5:$A$300,0)),""))</f>
        <v>2450</v>
      </c>
      <c r="BQ569" s="37">
        <f t="shared" si="124"/>
        <v>21920</v>
      </c>
      <c r="BR569" s="36">
        <f t="shared" si="125"/>
        <v>10.35</v>
      </c>
      <c r="BS569" s="36">
        <f t="shared" si="126"/>
        <v>4.0833000000000004</v>
      </c>
      <c r="BT569" s="36">
        <f t="shared" si="127"/>
        <v>6.2667000000000002</v>
      </c>
      <c r="BU569" s="36">
        <f t="shared" si="128"/>
        <v>8.9468999999999994</v>
      </c>
      <c r="BV569" s="39">
        <f t="shared" si="129"/>
        <v>1.427689214419072</v>
      </c>
      <c r="BW569" s="39">
        <f t="shared" si="130"/>
        <v>0.99908759124087587</v>
      </c>
      <c r="BX569" s="40">
        <f t="shared" si="131"/>
        <v>1.8877175778377053E-2</v>
      </c>
      <c r="BY569" s="40">
        <f t="shared" si="132"/>
        <v>0</v>
      </c>
      <c r="BZ569" t="str">
        <f t="shared" si="133"/>
        <v>Paradas no digitadas</v>
      </c>
      <c r="CA569">
        <f t="shared" si="134"/>
        <v>0</v>
      </c>
    </row>
    <row r="570" spans="1:80" x14ac:dyDescent="0.25">
      <c r="A570" s="35">
        <v>46107</v>
      </c>
      <c r="B570" s="36">
        <v>7.8404999999999996</v>
      </c>
      <c r="C570" t="s">
        <v>113</v>
      </c>
      <c r="D570" t="s">
        <v>6</v>
      </c>
      <c r="E570" t="s">
        <v>126</v>
      </c>
      <c r="F570" t="s">
        <v>127</v>
      </c>
      <c r="G570">
        <v>3858</v>
      </c>
      <c r="H570">
        <v>2140110610</v>
      </c>
      <c r="I570" t="s">
        <v>128</v>
      </c>
      <c r="J570" s="37">
        <v>14100</v>
      </c>
      <c r="K570" s="37">
        <v>700</v>
      </c>
      <c r="M570">
        <v>5282</v>
      </c>
      <c r="O570">
        <v>100</v>
      </c>
      <c r="P570">
        <v>27</v>
      </c>
      <c r="T570">
        <v>6</v>
      </c>
      <c r="V570" t="s">
        <v>116</v>
      </c>
      <c r="Y570" s="38">
        <v>0.29166666666666669</v>
      </c>
      <c r="Z570" s="38">
        <v>0.61805555555555558</v>
      </c>
      <c r="AA570" t="s">
        <v>200</v>
      </c>
      <c r="AB570" t="s">
        <v>245</v>
      </c>
      <c r="AC570" t="s">
        <v>121</v>
      </c>
      <c r="AE570">
        <v>1.9570000000000001</v>
      </c>
      <c r="AQ570">
        <v>0.18940000000000001</v>
      </c>
      <c r="AR570">
        <v>0.56810000000000005</v>
      </c>
      <c r="BI570">
        <v>0.75749999999999995</v>
      </c>
      <c r="BJ570">
        <v>0.75749999999999995</v>
      </c>
      <c r="BK570">
        <f>0</f>
        <v>0</v>
      </c>
      <c r="BL570">
        <f t="shared" si="120"/>
        <v>4.2294999999999998</v>
      </c>
      <c r="BM570">
        <f t="shared" si="121"/>
        <v>0</v>
      </c>
      <c r="BN570">
        <f t="shared" si="122"/>
        <v>0</v>
      </c>
      <c r="BO570">
        <f t="shared" si="123"/>
        <v>1</v>
      </c>
      <c r="BP570" s="37">
        <f>IF($F570="","",IFERROR(INDEX(Familias!$C$5:$C$300,MATCH($F570,Familias!$A$5:$A$300,0)),""))</f>
        <v>2450</v>
      </c>
      <c r="BQ570" s="37">
        <f t="shared" si="124"/>
        <v>14800</v>
      </c>
      <c r="BR570" s="36">
        <f t="shared" si="125"/>
        <v>7.8404999999999996</v>
      </c>
      <c r="BS570" s="36">
        <f t="shared" si="126"/>
        <v>4.2294999999999998</v>
      </c>
      <c r="BT570" s="36">
        <f t="shared" si="127"/>
        <v>3.6110000000000002</v>
      </c>
      <c r="BU570" s="36">
        <f t="shared" si="128"/>
        <v>6.0407999999999999</v>
      </c>
      <c r="BV570" s="39">
        <f t="shared" si="129"/>
        <v>1.6728883965660482</v>
      </c>
      <c r="BW570" s="39">
        <f t="shared" si="130"/>
        <v>0.95270270270270274</v>
      </c>
      <c r="BX570" s="40">
        <f t="shared" si="131"/>
        <v>2.4043922756531617E-2</v>
      </c>
      <c r="BY570" s="40">
        <f t="shared" si="132"/>
        <v>0</v>
      </c>
      <c r="BZ570" t="str">
        <f t="shared" si="133"/>
        <v>Paradas no digitadas</v>
      </c>
      <c r="CA570">
        <f t="shared" si="134"/>
        <v>0</v>
      </c>
    </row>
    <row r="571" spans="1:80" x14ac:dyDescent="0.25">
      <c r="A571" s="35">
        <v>46107</v>
      </c>
      <c r="B571" s="36">
        <v>2.5095000000000001</v>
      </c>
      <c r="C571" t="s">
        <v>113</v>
      </c>
      <c r="D571" t="s">
        <v>6</v>
      </c>
      <c r="E571" t="s">
        <v>147</v>
      </c>
      <c r="F571" t="s">
        <v>193</v>
      </c>
      <c r="G571">
        <v>3905</v>
      </c>
      <c r="H571">
        <v>2140110687</v>
      </c>
      <c r="I571" t="s">
        <v>196</v>
      </c>
      <c r="J571" s="37">
        <v>3635</v>
      </c>
      <c r="K571" s="37"/>
      <c r="M571">
        <v>1101</v>
      </c>
      <c r="O571">
        <v>15</v>
      </c>
      <c r="P571">
        <v>6</v>
      </c>
      <c r="R571">
        <v>35</v>
      </c>
      <c r="T571">
        <v>2</v>
      </c>
      <c r="V571" t="s">
        <v>116</v>
      </c>
      <c r="Y571" s="38">
        <v>0.61805555555555558</v>
      </c>
      <c r="Z571" s="38">
        <v>0.72291666666666665</v>
      </c>
      <c r="AA571" t="s">
        <v>200</v>
      </c>
      <c r="AC571" t="s">
        <v>121</v>
      </c>
      <c r="AE571">
        <v>0.62639999999999996</v>
      </c>
      <c r="AQ571">
        <v>6.0600000000000001E-2</v>
      </c>
      <c r="AR571">
        <v>0.18190000000000001</v>
      </c>
      <c r="BI571">
        <v>0.24249999999999999</v>
      </c>
      <c r="BJ571">
        <v>0.24249999999999999</v>
      </c>
      <c r="BK571">
        <f>0</f>
        <v>0</v>
      </c>
      <c r="BL571">
        <f t="shared" si="120"/>
        <v>1.3538999999999999</v>
      </c>
      <c r="BM571">
        <f t="shared" si="121"/>
        <v>0</v>
      </c>
      <c r="BN571">
        <f t="shared" si="122"/>
        <v>0</v>
      </c>
      <c r="BO571">
        <f t="shared" si="123"/>
        <v>1</v>
      </c>
      <c r="BP571" s="37">
        <f>IF($F571="","",IFERROR(INDEX(Familias!$C$5:$C$300,MATCH($F571,Familias!$A$5:$A$300,0)),""))</f>
        <v>1880</v>
      </c>
      <c r="BQ571" s="37">
        <f t="shared" si="124"/>
        <v>3635</v>
      </c>
      <c r="BR571" s="36">
        <f t="shared" si="125"/>
        <v>2.5095000000000001</v>
      </c>
      <c r="BS571" s="36">
        <f t="shared" si="126"/>
        <v>1.3539000000000001</v>
      </c>
      <c r="BT571" s="36">
        <f t="shared" si="127"/>
        <v>1.1556</v>
      </c>
      <c r="BU571" s="36">
        <f t="shared" si="128"/>
        <v>1.9335</v>
      </c>
      <c r="BV571" s="39">
        <f t="shared" si="129"/>
        <v>1.6731568016614746</v>
      </c>
      <c r="BW571" s="39">
        <f t="shared" si="130"/>
        <v>1</v>
      </c>
      <c r="BX571" s="40">
        <f t="shared" si="131"/>
        <v>5.0862851952770211E-2</v>
      </c>
      <c r="BY571" s="40">
        <f t="shared" si="132"/>
        <v>0</v>
      </c>
      <c r="BZ571" t="str">
        <f t="shared" si="133"/>
        <v>Paradas no digitadas</v>
      </c>
      <c r="CA571">
        <f t="shared" si="134"/>
        <v>0</v>
      </c>
    </row>
    <row r="572" spans="1:80" x14ac:dyDescent="0.25">
      <c r="A572" s="35">
        <v>46108</v>
      </c>
      <c r="B572" s="36">
        <v>9.3744999999999994</v>
      </c>
      <c r="C572" t="s">
        <v>113</v>
      </c>
      <c r="D572" t="s">
        <v>6</v>
      </c>
      <c r="E572" t="s">
        <v>147</v>
      </c>
      <c r="F572" t="s">
        <v>193</v>
      </c>
      <c r="G572">
        <v>3905</v>
      </c>
      <c r="H572">
        <v>2140110687</v>
      </c>
      <c r="I572" t="s">
        <v>196</v>
      </c>
      <c r="J572" s="37">
        <v>14400</v>
      </c>
      <c r="K572" s="37">
        <v>15</v>
      </c>
      <c r="M572">
        <v>5278</v>
      </c>
      <c r="O572">
        <v>70</v>
      </c>
      <c r="P572">
        <v>42</v>
      </c>
      <c r="T572">
        <v>10</v>
      </c>
      <c r="V572" t="s">
        <v>116</v>
      </c>
      <c r="Y572" s="38">
        <v>0.29166666666666669</v>
      </c>
      <c r="Z572" s="38">
        <v>0.68194444444444446</v>
      </c>
      <c r="AA572" t="s">
        <v>200</v>
      </c>
      <c r="AB572" t="s">
        <v>246</v>
      </c>
      <c r="AC572" t="s">
        <v>121</v>
      </c>
      <c r="AD572">
        <v>0.90569999999999995</v>
      </c>
      <c r="AQ572">
        <v>0.22639999999999999</v>
      </c>
      <c r="AR572">
        <v>0.67930000000000001</v>
      </c>
      <c r="BJ572">
        <v>0.45290000000000002</v>
      </c>
      <c r="BK572">
        <f>0</f>
        <v>0</v>
      </c>
      <c r="BL572">
        <f t="shared" si="120"/>
        <v>2.2643</v>
      </c>
      <c r="BM572">
        <f t="shared" si="121"/>
        <v>0</v>
      </c>
      <c r="BN572">
        <f t="shared" si="122"/>
        <v>0</v>
      </c>
      <c r="BO572">
        <f t="shared" si="123"/>
        <v>1</v>
      </c>
      <c r="BP572" s="37">
        <f>IF($F572="","",IFERROR(INDEX(Familias!$C$5:$C$300,MATCH($F572,Familias!$A$5:$A$300,0)),""))</f>
        <v>1880</v>
      </c>
      <c r="BQ572" s="37">
        <f t="shared" si="124"/>
        <v>14415</v>
      </c>
      <c r="BR572" s="36">
        <f t="shared" si="125"/>
        <v>9.3744999999999994</v>
      </c>
      <c r="BS572" s="36">
        <f t="shared" si="126"/>
        <v>2.2643</v>
      </c>
      <c r="BT572" s="36">
        <f t="shared" si="127"/>
        <v>7.1101999999999999</v>
      </c>
      <c r="BU572" s="36">
        <f t="shared" si="128"/>
        <v>7.6676000000000002</v>
      </c>
      <c r="BV572" s="39">
        <f t="shared" si="129"/>
        <v>1.078394419284971</v>
      </c>
      <c r="BW572" s="39">
        <f t="shared" si="130"/>
        <v>0.99895941727367321</v>
      </c>
      <c r="BX572" s="40">
        <f t="shared" si="131"/>
        <v>2.1220159151193633E-2</v>
      </c>
      <c r="BY572" s="40">
        <f t="shared" si="132"/>
        <v>0</v>
      </c>
      <c r="BZ572" t="str">
        <f t="shared" si="133"/>
        <v>Paradas no digitadas</v>
      </c>
      <c r="CA572">
        <f t="shared" si="134"/>
        <v>0</v>
      </c>
    </row>
    <row r="573" spans="1:80" x14ac:dyDescent="0.25">
      <c r="A573" s="35">
        <v>46108</v>
      </c>
      <c r="B573" s="36">
        <v>0.97550000000000003</v>
      </c>
      <c r="C573" t="s">
        <v>113</v>
      </c>
      <c r="D573" t="s">
        <v>6</v>
      </c>
      <c r="E573" t="s">
        <v>147</v>
      </c>
      <c r="F573" t="s">
        <v>193</v>
      </c>
      <c r="G573">
        <v>3918</v>
      </c>
      <c r="H573">
        <v>2140110688</v>
      </c>
      <c r="I573" t="s">
        <v>195</v>
      </c>
      <c r="J573" s="37">
        <v>1500</v>
      </c>
      <c r="K573" s="37"/>
      <c r="M573">
        <v>636</v>
      </c>
      <c r="O573">
        <v>10</v>
      </c>
      <c r="R573">
        <v>15</v>
      </c>
      <c r="V573" t="s">
        <v>116</v>
      </c>
      <c r="Y573" s="38">
        <v>0.68194444444444446</v>
      </c>
      <c r="Z573" s="38">
        <v>0.72291666666666665</v>
      </c>
      <c r="AA573" t="s">
        <v>200</v>
      </c>
      <c r="AC573" t="s">
        <v>121</v>
      </c>
      <c r="AD573">
        <v>9.4299999999999995E-2</v>
      </c>
      <c r="AQ573">
        <v>2.3599999999999999E-2</v>
      </c>
      <c r="AR573">
        <v>7.0699999999999999E-2</v>
      </c>
      <c r="BJ573">
        <v>4.7100000000000003E-2</v>
      </c>
      <c r="BK573">
        <f>0</f>
        <v>0</v>
      </c>
      <c r="BL573">
        <f t="shared" si="120"/>
        <v>0.23569999999999999</v>
      </c>
      <c r="BM573">
        <f t="shared" si="121"/>
        <v>0</v>
      </c>
      <c r="BN573">
        <f t="shared" si="122"/>
        <v>0</v>
      </c>
      <c r="BO573">
        <f t="shared" si="123"/>
        <v>1</v>
      </c>
      <c r="BP573" s="37">
        <f>IF($F573="","",IFERROR(INDEX(Familias!$C$5:$C$300,MATCH($F573,Familias!$A$5:$A$300,0)),""))</f>
        <v>1880</v>
      </c>
      <c r="BQ573" s="37">
        <f t="shared" si="124"/>
        <v>1500</v>
      </c>
      <c r="BR573" s="36">
        <f t="shared" si="125"/>
        <v>0.97550000000000003</v>
      </c>
      <c r="BS573" s="36">
        <f t="shared" si="126"/>
        <v>0.23569999999999999</v>
      </c>
      <c r="BT573" s="36">
        <f t="shared" si="127"/>
        <v>0.73980000000000001</v>
      </c>
      <c r="BU573" s="36">
        <f t="shared" si="128"/>
        <v>0.79790000000000005</v>
      </c>
      <c r="BV573" s="39">
        <f t="shared" si="129"/>
        <v>1.0785347391186808</v>
      </c>
      <c r="BW573" s="39">
        <f t="shared" si="130"/>
        <v>1</v>
      </c>
      <c r="BX573" s="40">
        <f t="shared" si="131"/>
        <v>3.9308176100628929E-2</v>
      </c>
      <c r="BY573" s="40">
        <f t="shared" si="132"/>
        <v>0</v>
      </c>
      <c r="BZ573" t="str">
        <f t="shared" si="133"/>
        <v>Paradas no digitadas</v>
      </c>
      <c r="CA573">
        <f t="shared" si="134"/>
        <v>0</v>
      </c>
    </row>
    <row r="574" spans="1:80" x14ac:dyDescent="0.25">
      <c r="A574" s="35">
        <v>46109</v>
      </c>
      <c r="B574" s="36">
        <v>3.4565999999999999</v>
      </c>
      <c r="C574" t="s">
        <v>113</v>
      </c>
      <c r="D574" t="s">
        <v>6</v>
      </c>
      <c r="E574" t="s">
        <v>147</v>
      </c>
      <c r="F574" t="s">
        <v>193</v>
      </c>
      <c r="G574">
        <v>3918</v>
      </c>
      <c r="H574">
        <v>2140110688</v>
      </c>
      <c r="I574" t="s">
        <v>195</v>
      </c>
      <c r="J574" s="37">
        <v>3500</v>
      </c>
      <c r="K574" s="37">
        <v>10</v>
      </c>
      <c r="M574">
        <v>1098</v>
      </c>
      <c r="O574">
        <v>40</v>
      </c>
      <c r="P574">
        <v>6</v>
      </c>
      <c r="T574">
        <v>2</v>
      </c>
      <c r="V574" t="s">
        <v>116</v>
      </c>
      <c r="Y574" s="38">
        <v>0.29166666666666669</v>
      </c>
      <c r="Z574" s="38">
        <v>0.43541666666666667</v>
      </c>
      <c r="AA574" t="s">
        <v>200</v>
      </c>
      <c r="AB574" t="s">
        <v>246</v>
      </c>
      <c r="AC574" t="s">
        <v>121</v>
      </c>
      <c r="AD574">
        <v>0.33400000000000002</v>
      </c>
      <c r="AQ574">
        <v>8.3500000000000005E-2</v>
      </c>
      <c r="AR574">
        <v>0.2505</v>
      </c>
      <c r="BK574">
        <f>0</f>
        <v>0</v>
      </c>
      <c r="BL574">
        <f t="shared" si="120"/>
        <v>0.66800000000000004</v>
      </c>
      <c r="BM574">
        <f t="shared" si="121"/>
        <v>0</v>
      </c>
      <c r="BN574">
        <f t="shared" si="122"/>
        <v>0</v>
      </c>
      <c r="BO574">
        <f t="shared" si="123"/>
        <v>1</v>
      </c>
      <c r="BP574" s="37">
        <f>IF($F574="","",IFERROR(INDEX(Familias!$C$5:$C$300,MATCH($F574,Familias!$A$5:$A$300,0)),""))</f>
        <v>1880</v>
      </c>
      <c r="BQ574" s="37">
        <f t="shared" si="124"/>
        <v>3510</v>
      </c>
      <c r="BR574" s="36">
        <f t="shared" si="125"/>
        <v>3.4565999999999999</v>
      </c>
      <c r="BS574" s="36">
        <f t="shared" si="126"/>
        <v>0.66800000000000004</v>
      </c>
      <c r="BT574" s="36">
        <f t="shared" si="127"/>
        <v>2.7886000000000002</v>
      </c>
      <c r="BU574" s="36">
        <f t="shared" si="128"/>
        <v>1.867</v>
      </c>
      <c r="BV574" s="39">
        <f t="shared" si="129"/>
        <v>0.66951158287312629</v>
      </c>
      <c r="BW574" s="39">
        <f t="shared" si="130"/>
        <v>0.9971509971509972</v>
      </c>
      <c r="BX574" s="40">
        <f t="shared" si="131"/>
        <v>4.1894353369763208E-2</v>
      </c>
      <c r="BY574" s="40">
        <f t="shared" si="132"/>
        <v>0</v>
      </c>
      <c r="BZ574" t="str">
        <f t="shared" si="133"/>
        <v>Paradas no digitadas</v>
      </c>
      <c r="CA574">
        <f t="shared" si="134"/>
        <v>0</v>
      </c>
    </row>
    <row r="575" spans="1:80" x14ac:dyDescent="0.25">
      <c r="A575" s="35">
        <v>46109</v>
      </c>
      <c r="B575" s="36">
        <v>6.8933999999999997</v>
      </c>
      <c r="C575" t="s">
        <v>113</v>
      </c>
      <c r="D575" t="s">
        <v>6</v>
      </c>
      <c r="E575" t="s">
        <v>147</v>
      </c>
      <c r="F575" t="s">
        <v>193</v>
      </c>
      <c r="G575">
        <v>3919</v>
      </c>
      <c r="H575">
        <v>2140110689</v>
      </c>
      <c r="I575" t="s">
        <v>194</v>
      </c>
      <c r="J575" s="37">
        <v>7000</v>
      </c>
      <c r="K575" s="37"/>
      <c r="M575">
        <v>3464</v>
      </c>
      <c r="P575">
        <v>15</v>
      </c>
      <c r="T575">
        <v>5</v>
      </c>
      <c r="V575" t="s">
        <v>116</v>
      </c>
      <c r="Y575" s="38">
        <v>0.43541666666666667</v>
      </c>
      <c r="Z575" s="38">
        <v>0.72291666666666665</v>
      </c>
      <c r="AA575" t="s">
        <v>200</v>
      </c>
      <c r="AC575" t="s">
        <v>121</v>
      </c>
      <c r="AD575">
        <v>0.66600000000000004</v>
      </c>
      <c r="AQ575">
        <v>0.16650000000000001</v>
      </c>
      <c r="AR575">
        <v>0.4995</v>
      </c>
      <c r="BK575">
        <f>0</f>
        <v>0</v>
      </c>
      <c r="BL575">
        <f t="shared" si="120"/>
        <v>1.3320000000000001</v>
      </c>
      <c r="BM575">
        <f t="shared" si="121"/>
        <v>0</v>
      </c>
      <c r="BN575">
        <f t="shared" si="122"/>
        <v>0</v>
      </c>
      <c r="BO575">
        <f t="shared" si="123"/>
        <v>1</v>
      </c>
      <c r="BP575" s="37">
        <f>IF($F575="","",IFERROR(INDEX(Familias!$C$5:$C$300,MATCH($F575,Familias!$A$5:$A$300,0)),""))</f>
        <v>1880</v>
      </c>
      <c r="BQ575" s="37">
        <f t="shared" si="124"/>
        <v>7000</v>
      </c>
      <c r="BR575" s="36">
        <f t="shared" si="125"/>
        <v>6.8933999999999997</v>
      </c>
      <c r="BS575" s="36">
        <f t="shared" si="126"/>
        <v>1.3320000000000001</v>
      </c>
      <c r="BT575" s="36">
        <f t="shared" si="127"/>
        <v>5.5613999999999999</v>
      </c>
      <c r="BU575" s="36">
        <f t="shared" si="128"/>
        <v>3.7233999999999998</v>
      </c>
      <c r="BV575" s="39">
        <f t="shared" si="129"/>
        <v>0.66950767792282517</v>
      </c>
      <c r="BW575" s="39">
        <f t="shared" si="130"/>
        <v>1</v>
      </c>
      <c r="BX575" s="40">
        <f t="shared" si="131"/>
        <v>4.3302540415704385E-3</v>
      </c>
      <c r="BY575" s="40">
        <f t="shared" si="132"/>
        <v>0</v>
      </c>
      <c r="BZ575" t="str">
        <f t="shared" si="133"/>
        <v>Paradas no digitadas</v>
      </c>
      <c r="CA575">
        <f t="shared" si="134"/>
        <v>0</v>
      </c>
    </row>
    <row r="576" spans="1:80" x14ac:dyDescent="0.25">
      <c r="A576" s="35">
        <v>46111</v>
      </c>
      <c r="B576" s="36">
        <v>7.8261000000000003</v>
      </c>
      <c r="C576" t="s">
        <v>113</v>
      </c>
      <c r="D576" t="s">
        <v>6</v>
      </c>
      <c r="F576" t="s">
        <v>124</v>
      </c>
      <c r="G576">
        <v>3945</v>
      </c>
      <c r="H576">
        <v>2320130717</v>
      </c>
      <c r="I576" t="s">
        <v>199</v>
      </c>
      <c r="J576" s="37">
        <v>45000</v>
      </c>
      <c r="K576" s="37"/>
      <c r="M576">
        <v>1775</v>
      </c>
      <c r="O576">
        <v>30</v>
      </c>
      <c r="P576">
        <v>332</v>
      </c>
      <c r="R576">
        <v>10</v>
      </c>
      <c r="T576">
        <v>0</v>
      </c>
      <c r="V576" t="s">
        <v>116</v>
      </c>
      <c r="Y576" s="38">
        <v>0.29166666666666669</v>
      </c>
      <c r="Z576" s="38">
        <v>0.61805555555555558</v>
      </c>
      <c r="AA576" t="s">
        <v>117</v>
      </c>
      <c r="AC576" t="s">
        <v>121</v>
      </c>
      <c r="AD576">
        <v>0.6522</v>
      </c>
      <c r="AQ576">
        <v>0.16300000000000001</v>
      </c>
      <c r="AR576">
        <v>0.48909999999999998</v>
      </c>
      <c r="BJ576">
        <v>3.9129999999999998</v>
      </c>
      <c r="BK576">
        <f>0</f>
        <v>0</v>
      </c>
      <c r="BL576">
        <f t="shared" si="120"/>
        <v>5.2172999999999998</v>
      </c>
      <c r="BM576">
        <f t="shared" si="121"/>
        <v>0</v>
      </c>
      <c r="BN576">
        <f t="shared" si="122"/>
        <v>0</v>
      </c>
      <c r="BO576">
        <f t="shared" si="123"/>
        <v>1</v>
      </c>
      <c r="BP576" s="37">
        <f>IF($F576="","",IFERROR(INDEX(Familias!$C$5:$C$300,MATCH($F576,Familias!$A$5:$A$300,0)),""))</f>
        <v>2840</v>
      </c>
      <c r="BQ576" s="37">
        <f t="shared" si="124"/>
        <v>45000</v>
      </c>
      <c r="BR576" s="36">
        <f t="shared" si="125"/>
        <v>7.8261000000000003</v>
      </c>
      <c r="BS576" s="36">
        <f t="shared" si="126"/>
        <v>5.2172999999999998</v>
      </c>
      <c r="BT576" s="36">
        <f t="shared" si="127"/>
        <v>2.6088</v>
      </c>
      <c r="BU576" s="36">
        <f t="shared" si="128"/>
        <v>15.8451</v>
      </c>
      <c r="BV576" s="39">
        <f t="shared" si="129"/>
        <v>6.0737120515179397</v>
      </c>
      <c r="BW576" s="39">
        <f t="shared" si="130"/>
        <v>1</v>
      </c>
      <c r="BX576" s="40">
        <f t="shared" si="131"/>
        <v>0.2095774647887324</v>
      </c>
      <c r="BY576" s="40">
        <f t="shared" si="132"/>
        <v>0</v>
      </c>
      <c r="BZ576" t="str">
        <f t="shared" si="133"/>
        <v>Revisar rendimiento</v>
      </c>
      <c r="CA576">
        <f t="shared" si="134"/>
        <v>1</v>
      </c>
    </row>
    <row r="577" spans="1:80" x14ac:dyDescent="0.25">
      <c r="A577" s="35">
        <v>46111</v>
      </c>
      <c r="B577" s="36">
        <v>4.1738999999999997</v>
      </c>
      <c r="C577" t="s">
        <v>113</v>
      </c>
      <c r="D577" t="s">
        <v>6</v>
      </c>
      <c r="F577" t="s">
        <v>124</v>
      </c>
      <c r="G577">
        <v>3942</v>
      </c>
      <c r="H577">
        <v>2320130716</v>
      </c>
      <c r="I577" t="s">
        <v>197</v>
      </c>
      <c r="J577" s="37">
        <v>24000</v>
      </c>
      <c r="K577" s="37"/>
      <c r="M577">
        <v>1775</v>
      </c>
      <c r="O577">
        <v>30</v>
      </c>
      <c r="T577">
        <v>3</v>
      </c>
      <c r="V577" t="s">
        <v>116</v>
      </c>
      <c r="Y577" s="38">
        <v>0.61805555555555558</v>
      </c>
      <c r="Z577" s="38">
        <v>0.79166666666666663</v>
      </c>
      <c r="AA577" t="s">
        <v>117</v>
      </c>
      <c r="AC577" t="s">
        <v>121</v>
      </c>
      <c r="AD577">
        <v>0.3478</v>
      </c>
      <c r="AQ577">
        <v>8.6999999999999994E-2</v>
      </c>
      <c r="AR577">
        <v>0.26090000000000002</v>
      </c>
      <c r="BJ577">
        <v>2.0870000000000002</v>
      </c>
      <c r="BK577">
        <f>0</f>
        <v>0</v>
      </c>
      <c r="BL577">
        <f t="shared" si="120"/>
        <v>2.7827000000000002</v>
      </c>
      <c r="BM577">
        <f t="shared" si="121"/>
        <v>0</v>
      </c>
      <c r="BN577">
        <f t="shared" si="122"/>
        <v>0</v>
      </c>
      <c r="BO577">
        <f t="shared" si="123"/>
        <v>1</v>
      </c>
      <c r="BP577" s="37">
        <f>IF($F577="","",IFERROR(INDEX(Familias!$C$5:$C$300,MATCH($F577,Familias!$A$5:$A$300,0)),""))</f>
        <v>2840</v>
      </c>
      <c r="BQ577" s="37">
        <f t="shared" si="124"/>
        <v>24000</v>
      </c>
      <c r="BR577" s="36">
        <f t="shared" si="125"/>
        <v>4.1738999999999997</v>
      </c>
      <c r="BS577" s="36">
        <f t="shared" si="126"/>
        <v>2.7827000000000002</v>
      </c>
      <c r="BT577" s="36">
        <f t="shared" si="127"/>
        <v>1.3912</v>
      </c>
      <c r="BU577" s="36">
        <f t="shared" si="128"/>
        <v>8.4506999999999994</v>
      </c>
      <c r="BV577" s="39">
        <f t="shared" si="129"/>
        <v>6.0743962047153532</v>
      </c>
      <c r="BW577" s="39">
        <f t="shared" si="130"/>
        <v>1</v>
      </c>
      <c r="BX577" s="40">
        <f t="shared" si="131"/>
        <v>1.6901408450704224E-2</v>
      </c>
      <c r="BY577" s="40">
        <f t="shared" si="132"/>
        <v>0</v>
      </c>
      <c r="BZ577" t="str">
        <f t="shared" si="133"/>
        <v>Revisar rendimiento</v>
      </c>
      <c r="CA577">
        <f t="shared" si="134"/>
        <v>1</v>
      </c>
    </row>
    <row r="578" spans="1:80" x14ac:dyDescent="0.25">
      <c r="A578" s="35">
        <v>46126</v>
      </c>
      <c r="B578" s="36">
        <v>12</v>
      </c>
      <c r="C578" t="s">
        <v>113</v>
      </c>
      <c r="D578" t="s">
        <v>6</v>
      </c>
      <c r="E578" t="s">
        <v>147</v>
      </c>
      <c r="F578" t="s">
        <v>193</v>
      </c>
      <c r="G578">
        <v>3997</v>
      </c>
      <c r="H578">
        <v>2140110728</v>
      </c>
      <c r="I578" t="s">
        <v>214</v>
      </c>
      <c r="J578" s="37">
        <v>12100</v>
      </c>
      <c r="K578" s="37">
        <v>5</v>
      </c>
      <c r="M578">
        <v>4439</v>
      </c>
      <c r="O578">
        <v>100</v>
      </c>
      <c r="P578">
        <v>15</v>
      </c>
      <c r="Q578">
        <v>75</v>
      </c>
      <c r="R578">
        <v>42</v>
      </c>
      <c r="T578">
        <v>8</v>
      </c>
      <c r="V578" t="s">
        <v>116</v>
      </c>
      <c r="Y578" s="38">
        <v>0.29166666666666669</v>
      </c>
      <c r="Z578" s="38">
        <v>0.79166666666666663</v>
      </c>
      <c r="AA578" t="s">
        <v>117</v>
      </c>
      <c r="AC578" t="s">
        <v>118</v>
      </c>
      <c r="AO578">
        <v>0.58330000000000004</v>
      </c>
      <c r="AQ578">
        <v>0.25</v>
      </c>
      <c r="AR578">
        <v>0.75</v>
      </c>
      <c r="AW578">
        <v>3</v>
      </c>
      <c r="BK578">
        <f>0</f>
        <v>0</v>
      </c>
      <c r="BL578">
        <f t="shared" ref="BL578:BL641" si="135">N(AD578)+N(AE578)+N(AF578)+N(AG578)+N(AH578)+N(AI578)+N(AJ578)+N(AK578)+N(AL578)+N(AM578)+N(AN578)+N(AO578)+N(AP578)+N(AQ578)+N(AR578)+N(AS578)+N(AT578)+N(AU578)+N(AW578)+N(AX578)+N(AY578)+N(BC578)+N(BE578)+N(BF578)+N(BH578)+N(BI578)+N(BJ578)</f>
        <v>4.5832999999999995</v>
      </c>
      <c r="BM578">
        <f t="shared" ref="BM578:BM641" si="136">N(AZ578)+N(BA578)+N(BB578)+N(BD578)</f>
        <v>0</v>
      </c>
      <c r="BN578">
        <f t="shared" ref="BN578:BN641" si="137">N(AV578)+N(BG578)</f>
        <v>0</v>
      </c>
      <c r="BO578">
        <f t="shared" ref="BO578:BO641" si="138">IF($A578="","",IF(WEEKDAY($A578,2)=7,0,1))</f>
        <v>1</v>
      </c>
      <c r="BP578" s="37">
        <f>IF($F578="","",IFERROR(INDEX(Familias!$C$5:$C$300,MATCH($F578,Familias!$A$5:$A$300,0)),""))</f>
        <v>1880</v>
      </c>
      <c r="BQ578" s="37">
        <f t="shared" ref="BQ578:BQ641" si="139">IF(AND($J578="",$K578=""),"",N($J578)+N($K578))</f>
        <v>12105</v>
      </c>
      <c r="BR578" s="36">
        <f t="shared" ref="BR578:BR641" si="140">IF($A578="","",ROUND(N($B578),4))</f>
        <v>12</v>
      </c>
      <c r="BS578" s="36">
        <f t="shared" ref="BS578:BS641" si="141">IF($A578="","",ROUND(SUM($AD578:$BJ578),4))</f>
        <v>4.5833000000000004</v>
      </c>
      <c r="BT578" s="36">
        <f t="shared" ref="BT578:BT641" si="142">IF($A578="","",ROUND(MAX(0,$BR578-$BS578),4))</f>
        <v>7.4166999999999996</v>
      </c>
      <c r="BU578" s="36">
        <f t="shared" ref="BU578:BU641" si="143">IF(OR($BQ578="",$BP578="",N($BP578)=0),"",ROUND($BQ578/$BP578,4))</f>
        <v>6.4387999999999996</v>
      </c>
      <c r="BV578" s="39">
        <f t="shared" ref="BV578:BV641" si="144">IF(OR($BU578="",N($BT578)=0),"",$BU578/$BT578)</f>
        <v>0.86814890719592275</v>
      </c>
      <c r="BW578" s="39">
        <f t="shared" ref="BW578:BW641" si="145">IF(N($BQ578)&gt;0,N($J578)/$BQ578,"")</f>
        <v>0.9995869475423379</v>
      </c>
      <c r="BX578" s="40">
        <f t="shared" ref="BX578:BX641" si="146">IF(N($M578)&gt;0,(N($P578)+N($O578)+N($R578))/$M578,"")</f>
        <v>3.5368326199594506E-2</v>
      </c>
      <c r="BY578" s="40">
        <f t="shared" ref="BY578:BY641" si="147">IF(N($M578)&gt;0,N($Q578)/$M578,"")</f>
        <v>1.6895697229105656E-2</v>
      </c>
      <c r="BZ578" t="str">
        <f t="shared" ref="BZ578:BZ641" si="148">IF($A578="","",IF($BO578=0,"Domingo",IF($AA578&lt;&gt;"Sí","Paradas no digitadas",IF($BQ578="",IF(N($BT578)&gt;0,"Sin producción","Parada total"),IF($F578="","Sin familia",IF($BP578="","Familia sin estándar",IF(AND($BV578&lt;&gt;"",N($BV578)&gt;1.1),"Revisar rendimiento","OK")))))))</f>
        <v>OK</v>
      </c>
      <c r="CA578">
        <f t="shared" ref="CA578:CA641" si="149">IF(OR($BU578="",$BO578&lt;&gt;1,$AA578&lt;&gt;"Sí"),0,1)</f>
        <v>1</v>
      </c>
    </row>
    <row r="579" spans="1:80" x14ac:dyDescent="0.25">
      <c r="A579" s="35">
        <v>46127</v>
      </c>
      <c r="B579" s="36">
        <v>12</v>
      </c>
      <c r="C579" t="s">
        <v>113</v>
      </c>
      <c r="D579" t="s">
        <v>6</v>
      </c>
      <c r="E579" t="s">
        <v>147</v>
      </c>
      <c r="F579" t="s">
        <v>193</v>
      </c>
      <c r="G579">
        <v>3997</v>
      </c>
      <c r="H579">
        <v>2140110728</v>
      </c>
      <c r="I579" t="s">
        <v>214</v>
      </c>
      <c r="J579" s="37">
        <v>9250</v>
      </c>
      <c r="K579" s="37">
        <v>10</v>
      </c>
      <c r="M579">
        <v>3082</v>
      </c>
      <c r="O579">
        <v>95</v>
      </c>
      <c r="P579">
        <v>14</v>
      </c>
      <c r="T579">
        <v>6</v>
      </c>
      <c r="V579" t="s">
        <v>116</v>
      </c>
      <c r="Y579" s="38">
        <v>0.29166666666666669</v>
      </c>
      <c r="Z579" s="38">
        <v>0.79166666666666663</v>
      </c>
      <c r="AA579" t="s">
        <v>117</v>
      </c>
      <c r="AC579" t="s">
        <v>118</v>
      </c>
      <c r="AD579">
        <v>1</v>
      </c>
      <c r="AQ579">
        <v>0.25</v>
      </c>
      <c r="AR579">
        <v>0.75</v>
      </c>
      <c r="BK579">
        <f>0</f>
        <v>0</v>
      </c>
      <c r="BL579">
        <f t="shared" si="135"/>
        <v>2</v>
      </c>
      <c r="BM579">
        <f t="shared" si="136"/>
        <v>0</v>
      </c>
      <c r="BN579">
        <f t="shared" si="137"/>
        <v>0</v>
      </c>
      <c r="BO579">
        <f t="shared" si="138"/>
        <v>1</v>
      </c>
      <c r="BP579" s="37">
        <f>IF($F579="","",IFERROR(INDEX(Familias!$C$5:$C$300,MATCH($F579,Familias!$A$5:$A$300,0)),""))</f>
        <v>1880</v>
      </c>
      <c r="BQ579" s="37">
        <f t="shared" si="139"/>
        <v>9260</v>
      </c>
      <c r="BR579" s="36">
        <f t="shared" si="140"/>
        <v>12</v>
      </c>
      <c r="BS579" s="36">
        <f t="shared" si="141"/>
        <v>2</v>
      </c>
      <c r="BT579" s="36">
        <f t="shared" si="142"/>
        <v>10</v>
      </c>
      <c r="BU579" s="36">
        <f t="shared" si="143"/>
        <v>4.9255000000000004</v>
      </c>
      <c r="BV579" s="39">
        <f t="shared" si="144"/>
        <v>0.49255000000000004</v>
      </c>
      <c r="BW579" s="39">
        <f t="shared" si="145"/>
        <v>0.9989200863930886</v>
      </c>
      <c r="BX579" s="40">
        <f t="shared" si="146"/>
        <v>3.5366645035691112E-2</v>
      </c>
      <c r="BY579" s="40">
        <f t="shared" si="147"/>
        <v>0</v>
      </c>
      <c r="BZ579" t="str">
        <f t="shared" si="148"/>
        <v>OK</v>
      </c>
      <c r="CA579">
        <f t="shared" si="149"/>
        <v>1</v>
      </c>
    </row>
    <row r="580" spans="1:80" x14ac:dyDescent="0.25">
      <c r="A580" s="35">
        <v>46128</v>
      </c>
      <c r="B580" s="36">
        <v>12</v>
      </c>
      <c r="C580" t="s">
        <v>113</v>
      </c>
      <c r="D580" t="s">
        <v>6</v>
      </c>
      <c r="E580" t="s">
        <v>147</v>
      </c>
      <c r="F580" t="s">
        <v>193</v>
      </c>
      <c r="G580">
        <v>3997</v>
      </c>
      <c r="H580">
        <v>2140110728</v>
      </c>
      <c r="I580" t="s">
        <v>214</v>
      </c>
      <c r="J580" s="37">
        <v>20450</v>
      </c>
      <c r="K580" s="37">
        <v>8</v>
      </c>
      <c r="M580">
        <v>6412</v>
      </c>
      <c r="O580">
        <v>78</v>
      </c>
      <c r="P580">
        <v>29</v>
      </c>
      <c r="T580">
        <v>12</v>
      </c>
      <c r="V580" t="s">
        <v>116</v>
      </c>
      <c r="Y580" s="38">
        <v>0.29166666666666669</v>
      </c>
      <c r="Z580" s="38">
        <v>0.79166666666666663</v>
      </c>
      <c r="AA580" t="s">
        <v>117</v>
      </c>
      <c r="AC580" t="s">
        <v>118</v>
      </c>
      <c r="AD580">
        <v>0.16669999999999999</v>
      </c>
      <c r="AQ580">
        <v>0.25</v>
      </c>
      <c r="AR580">
        <v>0.75</v>
      </c>
      <c r="BK580">
        <f>0</f>
        <v>0</v>
      </c>
      <c r="BL580">
        <f t="shared" si="135"/>
        <v>1.1667000000000001</v>
      </c>
      <c r="BM580">
        <f t="shared" si="136"/>
        <v>0</v>
      </c>
      <c r="BN580">
        <f t="shared" si="137"/>
        <v>0</v>
      </c>
      <c r="BO580">
        <f t="shared" si="138"/>
        <v>1</v>
      </c>
      <c r="BP580" s="37">
        <f>IF($F580="","",IFERROR(INDEX(Familias!$C$5:$C$300,MATCH($F580,Familias!$A$5:$A$300,0)),""))</f>
        <v>1880</v>
      </c>
      <c r="BQ580" s="37">
        <f t="shared" si="139"/>
        <v>20458</v>
      </c>
      <c r="BR580" s="36">
        <f t="shared" si="140"/>
        <v>12</v>
      </c>
      <c r="BS580" s="36">
        <f t="shared" si="141"/>
        <v>1.1667000000000001</v>
      </c>
      <c r="BT580" s="36">
        <f t="shared" si="142"/>
        <v>10.833299999999999</v>
      </c>
      <c r="BU580" s="36">
        <f t="shared" si="143"/>
        <v>10.8819</v>
      </c>
      <c r="BV580" s="39">
        <f t="shared" si="144"/>
        <v>1.0044861676497467</v>
      </c>
      <c r="BW580" s="39">
        <f t="shared" si="145"/>
        <v>0.99960895493205593</v>
      </c>
      <c r="BX580" s="40">
        <f t="shared" si="146"/>
        <v>1.6687461010605115E-2</v>
      </c>
      <c r="BY580" s="40">
        <f t="shared" si="147"/>
        <v>0</v>
      </c>
      <c r="BZ580" t="str">
        <f t="shared" si="148"/>
        <v>OK</v>
      </c>
      <c r="CA580">
        <f t="shared" si="149"/>
        <v>1</v>
      </c>
    </row>
    <row r="581" spans="1:80" x14ac:dyDescent="0.25">
      <c r="A581" s="35">
        <v>46129</v>
      </c>
      <c r="B581" s="36">
        <v>8</v>
      </c>
      <c r="C581" t="s">
        <v>113</v>
      </c>
      <c r="D581" t="s">
        <v>6</v>
      </c>
      <c r="E581" t="s">
        <v>147</v>
      </c>
      <c r="F581" t="s">
        <v>193</v>
      </c>
      <c r="G581">
        <v>3997</v>
      </c>
      <c r="H581">
        <v>2140110728</v>
      </c>
      <c r="I581" t="s">
        <v>214</v>
      </c>
      <c r="J581" s="37">
        <v>2200</v>
      </c>
      <c r="K581" s="37">
        <v>10</v>
      </c>
      <c r="M581">
        <v>1299</v>
      </c>
      <c r="O581">
        <v>10</v>
      </c>
      <c r="P581">
        <v>4</v>
      </c>
      <c r="T581">
        <v>2</v>
      </c>
      <c r="V581" t="s">
        <v>116</v>
      </c>
      <c r="Y581" s="38">
        <v>0.29166666666666669</v>
      </c>
      <c r="Z581" s="38">
        <v>0.625</v>
      </c>
      <c r="AA581" t="s">
        <v>200</v>
      </c>
      <c r="AB581" t="s">
        <v>247</v>
      </c>
      <c r="AC581" t="s">
        <v>118</v>
      </c>
      <c r="AD581">
        <v>1</v>
      </c>
      <c r="AQ581">
        <v>6</v>
      </c>
      <c r="AR581">
        <v>2.8332999999999999</v>
      </c>
      <c r="BK581">
        <f>0</f>
        <v>0</v>
      </c>
      <c r="BL581">
        <f t="shared" si="135"/>
        <v>9.8332999999999995</v>
      </c>
      <c r="BM581">
        <f t="shared" si="136"/>
        <v>0</v>
      </c>
      <c r="BN581">
        <f t="shared" si="137"/>
        <v>0</v>
      </c>
      <c r="BO581">
        <f t="shared" si="138"/>
        <v>1</v>
      </c>
      <c r="BP581" s="37">
        <f>IF($F581="","",IFERROR(INDEX(Familias!$C$5:$C$300,MATCH($F581,Familias!$A$5:$A$300,0)),""))</f>
        <v>1880</v>
      </c>
      <c r="BQ581" s="37">
        <f t="shared" si="139"/>
        <v>2210</v>
      </c>
      <c r="BR581" s="36">
        <f t="shared" si="140"/>
        <v>8</v>
      </c>
      <c r="BS581" s="36">
        <f t="shared" si="141"/>
        <v>9.8332999999999995</v>
      </c>
      <c r="BT581" s="36">
        <f t="shared" si="142"/>
        <v>0</v>
      </c>
      <c r="BU581" s="36">
        <f t="shared" si="143"/>
        <v>1.1755</v>
      </c>
      <c r="BV581" s="39" t="str">
        <f t="shared" si="144"/>
        <v/>
      </c>
      <c r="BW581" s="39">
        <f t="shared" si="145"/>
        <v>0.99547511312217196</v>
      </c>
      <c r="BX581" s="40">
        <f t="shared" si="146"/>
        <v>1.0777521170130869E-2</v>
      </c>
      <c r="BY581" s="40">
        <f t="shared" si="147"/>
        <v>0</v>
      </c>
      <c r="BZ581" t="str">
        <f t="shared" si="148"/>
        <v>Paradas no digitadas</v>
      </c>
      <c r="CA581">
        <f t="shared" si="149"/>
        <v>0</v>
      </c>
    </row>
    <row r="582" spans="1:80" x14ac:dyDescent="0.25">
      <c r="A582" s="35">
        <v>46134</v>
      </c>
      <c r="B582" s="36">
        <v>12</v>
      </c>
      <c r="C582" t="s">
        <v>113</v>
      </c>
      <c r="D582" t="s">
        <v>6</v>
      </c>
      <c r="E582" t="s">
        <v>147</v>
      </c>
      <c r="F582" t="s">
        <v>193</v>
      </c>
      <c r="G582">
        <v>3997</v>
      </c>
      <c r="H582">
        <v>2140110728</v>
      </c>
      <c r="I582" t="s">
        <v>214</v>
      </c>
      <c r="J582" s="37">
        <v>13550</v>
      </c>
      <c r="K582" s="37">
        <v>10</v>
      </c>
      <c r="M582">
        <v>4941</v>
      </c>
      <c r="O582">
        <v>84</v>
      </c>
      <c r="P582">
        <v>22</v>
      </c>
      <c r="T582">
        <v>9</v>
      </c>
      <c r="V582" t="s">
        <v>116</v>
      </c>
      <c r="Y582" s="38">
        <v>0.29166666666666669</v>
      </c>
      <c r="Z582" s="38">
        <v>0.79166666666666663</v>
      </c>
      <c r="AA582" t="s">
        <v>200</v>
      </c>
      <c r="AB582" t="s">
        <v>248</v>
      </c>
      <c r="AC582" t="s">
        <v>118</v>
      </c>
      <c r="AD582">
        <v>22.6</v>
      </c>
      <c r="AQ582">
        <v>0.25</v>
      </c>
      <c r="AR582">
        <v>0.75</v>
      </c>
      <c r="AW582">
        <v>2</v>
      </c>
      <c r="BJ582">
        <v>1</v>
      </c>
      <c r="BK582">
        <f>0</f>
        <v>0</v>
      </c>
      <c r="BL582">
        <f t="shared" si="135"/>
        <v>26.6</v>
      </c>
      <c r="BM582">
        <f t="shared" si="136"/>
        <v>0</v>
      </c>
      <c r="BN582">
        <f t="shared" si="137"/>
        <v>0</v>
      </c>
      <c r="BO582">
        <f t="shared" si="138"/>
        <v>1</v>
      </c>
      <c r="BP582" s="37">
        <f>IF($F582="","",IFERROR(INDEX(Familias!$C$5:$C$300,MATCH($F582,Familias!$A$5:$A$300,0)),""))</f>
        <v>1880</v>
      </c>
      <c r="BQ582" s="37">
        <f t="shared" si="139"/>
        <v>13560</v>
      </c>
      <c r="BR582" s="36">
        <f t="shared" si="140"/>
        <v>12</v>
      </c>
      <c r="BS582" s="36">
        <f t="shared" si="141"/>
        <v>26.6</v>
      </c>
      <c r="BT582" s="36">
        <f t="shared" si="142"/>
        <v>0</v>
      </c>
      <c r="BU582" s="36">
        <f t="shared" si="143"/>
        <v>7.2127999999999997</v>
      </c>
      <c r="BV582" s="39" t="str">
        <f t="shared" si="144"/>
        <v/>
      </c>
      <c r="BW582" s="39">
        <f t="shared" si="145"/>
        <v>0.99926253687315636</v>
      </c>
      <c r="BX582" s="40">
        <f t="shared" si="146"/>
        <v>2.1453147136207246E-2</v>
      </c>
      <c r="BY582" s="40">
        <f t="shared" si="147"/>
        <v>0</v>
      </c>
      <c r="BZ582" t="str">
        <f t="shared" si="148"/>
        <v>Paradas no digitadas</v>
      </c>
      <c r="CA582">
        <f t="shared" si="149"/>
        <v>0</v>
      </c>
    </row>
    <row r="583" spans="1:80" x14ac:dyDescent="0.25">
      <c r="A583" s="35">
        <v>46135</v>
      </c>
      <c r="B583" s="36">
        <v>12</v>
      </c>
      <c r="C583" t="s">
        <v>113</v>
      </c>
      <c r="D583" t="s">
        <v>6</v>
      </c>
      <c r="E583" t="s">
        <v>147</v>
      </c>
      <c r="F583" t="s">
        <v>193</v>
      </c>
      <c r="G583">
        <v>3997</v>
      </c>
      <c r="H583">
        <v>2140110728</v>
      </c>
      <c r="I583" t="s">
        <v>214</v>
      </c>
      <c r="J583" s="37">
        <v>19010</v>
      </c>
      <c r="K583" s="37">
        <v>8</v>
      </c>
      <c r="M583">
        <v>6890</v>
      </c>
      <c r="O583">
        <v>100</v>
      </c>
      <c r="P583">
        <v>23</v>
      </c>
      <c r="Q583">
        <v>34</v>
      </c>
      <c r="T583">
        <v>13</v>
      </c>
      <c r="V583" t="s">
        <v>116</v>
      </c>
      <c r="Y583" s="38">
        <v>0.29166666666666669</v>
      </c>
      <c r="Z583" s="38">
        <v>0.79166666666666663</v>
      </c>
      <c r="AA583" t="s">
        <v>117</v>
      </c>
      <c r="AC583" t="s">
        <v>118</v>
      </c>
      <c r="AD583">
        <v>1</v>
      </c>
      <c r="AQ583">
        <v>0.25</v>
      </c>
      <c r="AR583">
        <v>0.75</v>
      </c>
      <c r="BK583">
        <f>0</f>
        <v>0</v>
      </c>
      <c r="BL583">
        <f t="shared" si="135"/>
        <v>2</v>
      </c>
      <c r="BM583">
        <f t="shared" si="136"/>
        <v>0</v>
      </c>
      <c r="BN583">
        <f t="shared" si="137"/>
        <v>0</v>
      </c>
      <c r="BO583">
        <f t="shared" si="138"/>
        <v>1</v>
      </c>
      <c r="BP583" s="37">
        <f>IF($F583="","",IFERROR(INDEX(Familias!$C$5:$C$300,MATCH($F583,Familias!$A$5:$A$300,0)),""))</f>
        <v>1880</v>
      </c>
      <c r="BQ583" s="37">
        <f t="shared" si="139"/>
        <v>19018</v>
      </c>
      <c r="BR583" s="36">
        <f t="shared" si="140"/>
        <v>12</v>
      </c>
      <c r="BS583" s="36">
        <f t="shared" si="141"/>
        <v>2</v>
      </c>
      <c r="BT583" s="36">
        <f t="shared" si="142"/>
        <v>10</v>
      </c>
      <c r="BU583" s="36">
        <f t="shared" si="143"/>
        <v>10.116</v>
      </c>
      <c r="BV583" s="39">
        <f t="shared" si="144"/>
        <v>1.0116000000000001</v>
      </c>
      <c r="BW583" s="39">
        <f t="shared" si="145"/>
        <v>0.9995793458828478</v>
      </c>
      <c r="BX583" s="40">
        <f t="shared" si="146"/>
        <v>1.7851959361393322E-2</v>
      </c>
      <c r="BY583" s="40">
        <f t="shared" si="147"/>
        <v>4.9346879535558785E-3</v>
      </c>
      <c r="BZ583" t="str">
        <f t="shared" si="148"/>
        <v>OK</v>
      </c>
      <c r="CA583">
        <f t="shared" si="149"/>
        <v>1</v>
      </c>
    </row>
    <row r="584" spans="1:80" x14ac:dyDescent="0.25">
      <c r="A584" s="35">
        <v>46136</v>
      </c>
      <c r="B584" s="36">
        <v>12</v>
      </c>
      <c r="C584" t="s">
        <v>113</v>
      </c>
      <c r="D584" t="s">
        <v>6</v>
      </c>
      <c r="E584" t="s">
        <v>147</v>
      </c>
      <c r="F584" t="s">
        <v>193</v>
      </c>
      <c r="G584">
        <v>3997</v>
      </c>
      <c r="H584">
        <v>2140110728</v>
      </c>
      <c r="I584" t="s">
        <v>214</v>
      </c>
      <c r="J584" s="37">
        <v>20200</v>
      </c>
      <c r="K584" s="37">
        <v>10</v>
      </c>
      <c r="M584">
        <v>7334</v>
      </c>
      <c r="O584">
        <v>100</v>
      </c>
      <c r="P584">
        <v>30</v>
      </c>
      <c r="T584">
        <v>13</v>
      </c>
      <c r="V584" t="s">
        <v>116</v>
      </c>
      <c r="Y584" s="38">
        <v>0.29166666666666669</v>
      </c>
      <c r="Z584" s="38">
        <v>0.79166666666666663</v>
      </c>
      <c r="AA584" t="s">
        <v>161</v>
      </c>
      <c r="AB584" t="s">
        <v>162</v>
      </c>
      <c r="AC584" t="s">
        <v>118</v>
      </c>
      <c r="BK584">
        <f>0</f>
        <v>0</v>
      </c>
      <c r="BL584">
        <f t="shared" si="135"/>
        <v>0</v>
      </c>
      <c r="BM584">
        <f t="shared" si="136"/>
        <v>0</v>
      </c>
      <c r="BN584">
        <f t="shared" si="137"/>
        <v>0</v>
      </c>
      <c r="BO584">
        <f t="shared" si="138"/>
        <v>1</v>
      </c>
      <c r="BP584" s="37">
        <f>IF($F584="","",IFERROR(INDEX(Familias!$C$5:$C$300,MATCH($F584,Familias!$A$5:$A$300,0)),""))</f>
        <v>1880</v>
      </c>
      <c r="BQ584" s="37">
        <f t="shared" si="139"/>
        <v>20210</v>
      </c>
      <c r="BR584" s="36">
        <f t="shared" si="140"/>
        <v>12</v>
      </c>
      <c r="BS584" s="36">
        <f t="shared" si="141"/>
        <v>0</v>
      </c>
      <c r="BT584" s="36">
        <f t="shared" si="142"/>
        <v>12</v>
      </c>
      <c r="BU584" s="36">
        <f t="shared" si="143"/>
        <v>10.75</v>
      </c>
      <c r="BV584" s="39">
        <f t="shared" si="144"/>
        <v>0.89583333333333337</v>
      </c>
      <c r="BW584" s="39">
        <f t="shared" si="145"/>
        <v>0.99950519544779814</v>
      </c>
      <c r="BX584" s="40">
        <f t="shared" si="146"/>
        <v>1.772566130351786E-2</v>
      </c>
      <c r="BY584" s="40">
        <f t="shared" si="147"/>
        <v>0</v>
      </c>
      <c r="BZ584" t="str">
        <f t="shared" si="148"/>
        <v>Paradas no digitadas</v>
      </c>
      <c r="CA584">
        <f t="shared" si="149"/>
        <v>0</v>
      </c>
    </row>
    <row r="585" spans="1:80" x14ac:dyDescent="0.25">
      <c r="A585" s="35">
        <v>46137</v>
      </c>
      <c r="B585" s="36">
        <v>12</v>
      </c>
      <c r="C585" t="s">
        <v>113</v>
      </c>
      <c r="D585" t="s">
        <v>6</v>
      </c>
      <c r="E585" t="s">
        <v>147</v>
      </c>
      <c r="F585" t="s">
        <v>193</v>
      </c>
      <c r="G585">
        <v>3997</v>
      </c>
      <c r="H585">
        <v>2140110728</v>
      </c>
      <c r="I585" t="s">
        <v>214</v>
      </c>
      <c r="J585" s="37">
        <v>10750</v>
      </c>
      <c r="K585" s="37">
        <v>30</v>
      </c>
      <c r="M585">
        <v>3625</v>
      </c>
      <c r="O585">
        <v>71</v>
      </c>
      <c r="P585">
        <v>8</v>
      </c>
      <c r="Q585">
        <v>87</v>
      </c>
      <c r="T585">
        <v>6</v>
      </c>
      <c r="V585" t="s">
        <v>116</v>
      </c>
      <c r="Y585" s="38">
        <v>0.29166666666666669</v>
      </c>
      <c r="Z585" s="38">
        <v>0.79166666666666663</v>
      </c>
      <c r="AA585" t="s">
        <v>161</v>
      </c>
      <c r="AB585" t="s">
        <v>162</v>
      </c>
      <c r="AC585" t="s">
        <v>118</v>
      </c>
      <c r="BK585">
        <f>0</f>
        <v>0</v>
      </c>
      <c r="BL585">
        <f t="shared" si="135"/>
        <v>0</v>
      </c>
      <c r="BM585">
        <f t="shared" si="136"/>
        <v>0</v>
      </c>
      <c r="BN585">
        <f t="shared" si="137"/>
        <v>0</v>
      </c>
      <c r="BO585">
        <f t="shared" si="138"/>
        <v>1</v>
      </c>
      <c r="BP585" s="37">
        <f>IF($F585="","",IFERROR(INDEX(Familias!$C$5:$C$300,MATCH($F585,Familias!$A$5:$A$300,0)),""))</f>
        <v>1880</v>
      </c>
      <c r="BQ585" s="37">
        <f t="shared" si="139"/>
        <v>10780</v>
      </c>
      <c r="BR585" s="36">
        <f t="shared" si="140"/>
        <v>12</v>
      </c>
      <c r="BS585" s="36">
        <f t="shared" si="141"/>
        <v>0</v>
      </c>
      <c r="BT585" s="36">
        <f t="shared" si="142"/>
        <v>12</v>
      </c>
      <c r="BU585" s="36">
        <f t="shared" si="143"/>
        <v>5.734</v>
      </c>
      <c r="BV585" s="39">
        <f t="shared" si="144"/>
        <v>0.47783333333333333</v>
      </c>
      <c r="BW585" s="39">
        <f t="shared" si="145"/>
        <v>0.99721706864564008</v>
      </c>
      <c r="BX585" s="40">
        <f t="shared" si="146"/>
        <v>2.1793103448275862E-2</v>
      </c>
      <c r="BY585" s="40">
        <f t="shared" si="147"/>
        <v>2.4E-2</v>
      </c>
      <c r="BZ585" t="str">
        <f t="shared" si="148"/>
        <v>Paradas no digitadas</v>
      </c>
      <c r="CA585">
        <f t="shared" si="149"/>
        <v>0</v>
      </c>
    </row>
    <row r="586" spans="1:80" x14ac:dyDescent="0.25">
      <c r="A586" s="35">
        <v>46139</v>
      </c>
      <c r="B586" s="36">
        <v>12</v>
      </c>
      <c r="C586" t="s">
        <v>113</v>
      </c>
      <c r="D586" t="s">
        <v>6</v>
      </c>
      <c r="E586" t="s">
        <v>147</v>
      </c>
      <c r="F586" t="s">
        <v>193</v>
      </c>
      <c r="G586">
        <v>3997</v>
      </c>
      <c r="H586">
        <v>2140110728</v>
      </c>
      <c r="I586" t="s">
        <v>214</v>
      </c>
      <c r="J586" s="37">
        <v>4812</v>
      </c>
      <c r="K586" s="37">
        <v>15</v>
      </c>
      <c r="M586">
        <v>1669</v>
      </c>
      <c r="O586">
        <v>25</v>
      </c>
      <c r="P586">
        <v>8</v>
      </c>
      <c r="T586">
        <v>3</v>
      </c>
      <c r="V586" t="s">
        <v>116</v>
      </c>
      <c r="Y586" s="38">
        <v>0.29166666666666669</v>
      </c>
      <c r="Z586" s="38">
        <v>0.79166666666666663</v>
      </c>
      <c r="AA586" t="s">
        <v>117</v>
      </c>
      <c r="AC586" t="s">
        <v>118</v>
      </c>
      <c r="AD586">
        <v>0.16669999999999999</v>
      </c>
      <c r="AQ586">
        <v>0.25</v>
      </c>
      <c r="AR586">
        <v>0.75</v>
      </c>
      <c r="BK586">
        <f>0</f>
        <v>0</v>
      </c>
      <c r="BL586">
        <f t="shared" si="135"/>
        <v>1.1667000000000001</v>
      </c>
      <c r="BM586">
        <f t="shared" si="136"/>
        <v>0</v>
      </c>
      <c r="BN586">
        <f t="shared" si="137"/>
        <v>0</v>
      </c>
      <c r="BO586">
        <f t="shared" si="138"/>
        <v>1</v>
      </c>
      <c r="BP586" s="37">
        <f>IF($F586="","",IFERROR(INDEX(Familias!$C$5:$C$300,MATCH($F586,Familias!$A$5:$A$300,0)),""))</f>
        <v>1880</v>
      </c>
      <c r="BQ586" s="37">
        <f t="shared" si="139"/>
        <v>4827</v>
      </c>
      <c r="BR586" s="36">
        <f t="shared" si="140"/>
        <v>12</v>
      </c>
      <c r="BS586" s="36">
        <f t="shared" si="141"/>
        <v>1.1667000000000001</v>
      </c>
      <c r="BT586" s="36">
        <f t="shared" si="142"/>
        <v>10.833299999999999</v>
      </c>
      <c r="BU586" s="36">
        <f t="shared" si="143"/>
        <v>2.5676000000000001</v>
      </c>
      <c r="BV586" s="39">
        <f t="shared" si="144"/>
        <v>0.23700996003064628</v>
      </c>
      <c r="BW586" s="39">
        <f t="shared" si="145"/>
        <v>0.99689247980111872</v>
      </c>
      <c r="BX586" s="40">
        <f t="shared" si="146"/>
        <v>1.9772318753744758E-2</v>
      </c>
      <c r="BY586" s="40">
        <f t="shared" si="147"/>
        <v>0</v>
      </c>
      <c r="BZ586" t="str">
        <f t="shared" si="148"/>
        <v>OK</v>
      </c>
      <c r="CA586">
        <f t="shared" si="149"/>
        <v>1</v>
      </c>
    </row>
    <row r="587" spans="1:80" x14ac:dyDescent="0.25">
      <c r="A587" s="35">
        <v>46183</v>
      </c>
      <c r="B587" s="36">
        <v>12</v>
      </c>
      <c r="C587" t="s">
        <v>113</v>
      </c>
      <c r="D587" t="s">
        <v>6</v>
      </c>
      <c r="E587" t="s">
        <v>126</v>
      </c>
      <c r="F587" t="s">
        <v>127</v>
      </c>
      <c r="G587">
        <v>4557</v>
      </c>
      <c r="H587">
        <v>2140110610</v>
      </c>
      <c r="I587" t="s">
        <v>128</v>
      </c>
      <c r="J587" s="37">
        <v>3030</v>
      </c>
      <c r="K587" s="37">
        <v>30</v>
      </c>
      <c r="M587">
        <v>1208</v>
      </c>
      <c r="O587">
        <v>69</v>
      </c>
      <c r="P587">
        <v>4</v>
      </c>
      <c r="T587">
        <v>2</v>
      </c>
      <c r="V587" t="s">
        <v>116</v>
      </c>
      <c r="Y587" s="38">
        <v>0.29166666666666669</v>
      </c>
      <c r="Z587" s="38">
        <v>0.79166666666666663</v>
      </c>
      <c r="AA587" t="s">
        <v>117</v>
      </c>
      <c r="AC587" t="s">
        <v>118</v>
      </c>
      <c r="AD587">
        <v>0.16669999999999999</v>
      </c>
      <c r="AQ587">
        <v>0.25</v>
      </c>
      <c r="AR587">
        <v>0.75</v>
      </c>
      <c r="BK587">
        <f>0</f>
        <v>0</v>
      </c>
      <c r="BL587">
        <f t="shared" si="135"/>
        <v>1.1667000000000001</v>
      </c>
      <c r="BM587">
        <f t="shared" si="136"/>
        <v>0</v>
      </c>
      <c r="BN587">
        <f t="shared" si="137"/>
        <v>0</v>
      </c>
      <c r="BO587">
        <f t="shared" si="138"/>
        <v>1</v>
      </c>
      <c r="BP587" s="37">
        <f>IF($F587="","",IFERROR(INDEX(Familias!$C$5:$C$300,MATCH($F587,Familias!$A$5:$A$300,0)),""))</f>
        <v>2450</v>
      </c>
      <c r="BQ587" s="37">
        <f t="shared" si="139"/>
        <v>3060</v>
      </c>
      <c r="BR587" s="36">
        <f t="shared" si="140"/>
        <v>12</v>
      </c>
      <c r="BS587" s="36">
        <f t="shared" si="141"/>
        <v>1.1667000000000001</v>
      </c>
      <c r="BT587" s="36">
        <f t="shared" si="142"/>
        <v>10.833299999999999</v>
      </c>
      <c r="BU587" s="36">
        <f t="shared" si="143"/>
        <v>1.2490000000000001</v>
      </c>
      <c r="BV587" s="39">
        <f t="shared" si="144"/>
        <v>0.11529266243896137</v>
      </c>
      <c r="BW587" s="39">
        <f t="shared" si="145"/>
        <v>0.99019607843137258</v>
      </c>
      <c r="BX587" s="40">
        <f t="shared" si="146"/>
        <v>6.0430463576158944E-2</v>
      </c>
      <c r="BY587" s="40">
        <f t="shared" si="147"/>
        <v>0</v>
      </c>
      <c r="BZ587" t="str">
        <f t="shared" si="148"/>
        <v>OK</v>
      </c>
      <c r="CA587">
        <f t="shared" si="149"/>
        <v>1</v>
      </c>
    </row>
    <row r="588" spans="1:80" x14ac:dyDescent="0.25">
      <c r="A588" s="35">
        <v>46188</v>
      </c>
      <c r="B588" s="36">
        <v>12</v>
      </c>
      <c r="C588" t="s">
        <v>113</v>
      </c>
      <c r="D588" t="s">
        <v>6</v>
      </c>
      <c r="E588" t="s">
        <v>126</v>
      </c>
      <c r="F588" t="s">
        <v>127</v>
      </c>
      <c r="G588">
        <v>4557</v>
      </c>
      <c r="H588">
        <v>2140110610</v>
      </c>
      <c r="I588" t="s">
        <v>128</v>
      </c>
      <c r="J588" s="37">
        <v>10238</v>
      </c>
      <c r="K588" s="37">
        <v>25</v>
      </c>
      <c r="M588">
        <v>3748</v>
      </c>
      <c r="O588">
        <v>95</v>
      </c>
      <c r="P588">
        <v>13</v>
      </c>
      <c r="R588">
        <v>25</v>
      </c>
      <c r="T588">
        <v>5</v>
      </c>
      <c r="V588" t="s">
        <v>116</v>
      </c>
      <c r="Y588" s="38">
        <v>0.29166666666666669</v>
      </c>
      <c r="Z588" s="38">
        <v>0.79166666666666663</v>
      </c>
      <c r="AA588" t="s">
        <v>200</v>
      </c>
      <c r="AB588" t="s">
        <v>249</v>
      </c>
      <c r="AC588" t="s">
        <v>118</v>
      </c>
      <c r="AD588">
        <v>4</v>
      </c>
      <c r="AF588">
        <v>0.83330000000000004</v>
      </c>
      <c r="AL588">
        <v>3.9167000000000001</v>
      </c>
      <c r="AQ588">
        <v>0.5</v>
      </c>
      <c r="AR588">
        <v>1.5</v>
      </c>
      <c r="BI588">
        <v>0.33329999999999999</v>
      </c>
      <c r="BJ588">
        <v>0.5</v>
      </c>
      <c r="BK588">
        <f>0</f>
        <v>0</v>
      </c>
      <c r="BL588">
        <f t="shared" si="135"/>
        <v>11.583299999999999</v>
      </c>
      <c r="BM588">
        <f t="shared" si="136"/>
        <v>0</v>
      </c>
      <c r="BN588">
        <f t="shared" si="137"/>
        <v>0</v>
      </c>
      <c r="BO588">
        <f t="shared" si="138"/>
        <v>1</v>
      </c>
      <c r="BP588" s="37">
        <f>IF($F588="","",IFERROR(INDEX(Familias!$C$5:$C$300,MATCH($F588,Familias!$A$5:$A$300,0)),""))</f>
        <v>2450</v>
      </c>
      <c r="BQ588" s="37">
        <f t="shared" si="139"/>
        <v>10263</v>
      </c>
      <c r="BR588" s="36">
        <f t="shared" si="140"/>
        <v>12</v>
      </c>
      <c r="BS588" s="36">
        <f t="shared" si="141"/>
        <v>11.583299999999999</v>
      </c>
      <c r="BT588" s="36">
        <f t="shared" si="142"/>
        <v>0.41670000000000001</v>
      </c>
      <c r="BU588" s="36">
        <f t="shared" si="143"/>
        <v>4.1890000000000001</v>
      </c>
      <c r="BV588" s="39">
        <f t="shared" si="144"/>
        <v>10.052795776337893</v>
      </c>
      <c r="BW588" s="39">
        <f t="shared" si="145"/>
        <v>0.99756406508818085</v>
      </c>
      <c r="BX588" s="40">
        <f t="shared" si="146"/>
        <v>3.5485592315901815E-2</v>
      </c>
      <c r="BY588" s="40">
        <f t="shared" si="147"/>
        <v>0</v>
      </c>
      <c r="BZ588" t="str">
        <f t="shared" si="148"/>
        <v>Paradas no digitadas</v>
      </c>
      <c r="CA588">
        <f t="shared" si="149"/>
        <v>0</v>
      </c>
    </row>
    <row r="589" spans="1:80" x14ac:dyDescent="0.25">
      <c r="A589" s="35">
        <v>46188</v>
      </c>
      <c r="B589" s="36">
        <v>12</v>
      </c>
      <c r="C589" t="s">
        <v>119</v>
      </c>
      <c r="D589" t="s">
        <v>6</v>
      </c>
      <c r="E589" t="s">
        <v>126</v>
      </c>
      <c r="F589" t="s">
        <v>127</v>
      </c>
      <c r="G589">
        <v>4557</v>
      </c>
      <c r="H589">
        <v>2140110610</v>
      </c>
      <c r="I589" t="s">
        <v>128</v>
      </c>
      <c r="J589" s="37">
        <v>18425</v>
      </c>
      <c r="K589" s="37">
        <v>17</v>
      </c>
      <c r="M589">
        <v>6537</v>
      </c>
      <c r="O589">
        <v>83</v>
      </c>
      <c r="P589">
        <v>25</v>
      </c>
      <c r="T589">
        <v>8</v>
      </c>
      <c r="V589" t="s">
        <v>120</v>
      </c>
      <c r="Y589" s="38">
        <v>0.79166666666666663</v>
      </c>
      <c r="Z589" s="38">
        <v>0.29166666666666669</v>
      </c>
      <c r="AA589" t="s">
        <v>117</v>
      </c>
      <c r="AC589" t="s">
        <v>118</v>
      </c>
      <c r="AK589">
        <v>1.25</v>
      </c>
      <c r="AQ589">
        <v>0.25</v>
      </c>
      <c r="AR589">
        <v>0.75</v>
      </c>
      <c r="BI589">
        <v>0.33329999999999999</v>
      </c>
      <c r="BJ589">
        <v>8.25</v>
      </c>
      <c r="BK589">
        <f>0</f>
        <v>0</v>
      </c>
      <c r="BL589">
        <f t="shared" si="135"/>
        <v>10.833299999999999</v>
      </c>
      <c r="BM589">
        <f t="shared" si="136"/>
        <v>0</v>
      </c>
      <c r="BN589">
        <f t="shared" si="137"/>
        <v>0</v>
      </c>
      <c r="BO589">
        <f t="shared" si="138"/>
        <v>1</v>
      </c>
      <c r="BP589" s="37">
        <f>IF($F589="","",IFERROR(INDEX(Familias!$C$5:$C$300,MATCH($F589,Familias!$A$5:$A$300,0)),""))</f>
        <v>2450</v>
      </c>
      <c r="BQ589" s="37">
        <f t="shared" si="139"/>
        <v>18442</v>
      </c>
      <c r="BR589" s="36">
        <f t="shared" si="140"/>
        <v>12</v>
      </c>
      <c r="BS589" s="36">
        <f t="shared" si="141"/>
        <v>10.833299999999999</v>
      </c>
      <c r="BT589" s="36">
        <f t="shared" si="142"/>
        <v>1.1667000000000001</v>
      </c>
      <c r="BU589" s="36">
        <f t="shared" si="143"/>
        <v>7.5273000000000003</v>
      </c>
      <c r="BV589" s="39">
        <f t="shared" si="144"/>
        <v>6.4517870917973772</v>
      </c>
      <c r="BW589" s="39">
        <f t="shared" si="145"/>
        <v>0.9990781910855655</v>
      </c>
      <c r="BX589" s="40">
        <f t="shared" si="146"/>
        <v>1.6521340064249657E-2</v>
      </c>
      <c r="BY589" s="40">
        <f t="shared" si="147"/>
        <v>0</v>
      </c>
      <c r="BZ589" t="str">
        <f t="shared" si="148"/>
        <v>Revisar rendimiento</v>
      </c>
      <c r="CA589">
        <f t="shared" si="149"/>
        <v>1</v>
      </c>
    </row>
    <row r="590" spans="1:80" x14ac:dyDescent="0.25">
      <c r="A590" s="35">
        <v>46189</v>
      </c>
      <c r="B590" s="36">
        <v>12</v>
      </c>
      <c r="C590" t="s">
        <v>113</v>
      </c>
      <c r="D590" t="s">
        <v>6</v>
      </c>
      <c r="E590" t="s">
        <v>126</v>
      </c>
      <c r="F590" t="s">
        <v>127</v>
      </c>
      <c r="G590">
        <v>4557</v>
      </c>
      <c r="H590">
        <v>2140110610</v>
      </c>
      <c r="I590" t="s">
        <v>128</v>
      </c>
      <c r="J590" s="37">
        <v>20575</v>
      </c>
      <c r="K590" s="37">
        <v>10</v>
      </c>
      <c r="M590">
        <v>7690</v>
      </c>
      <c r="O590">
        <v>125</v>
      </c>
      <c r="P590">
        <v>38</v>
      </c>
      <c r="Q590">
        <v>36</v>
      </c>
      <c r="T590">
        <v>10</v>
      </c>
      <c r="V590" t="s">
        <v>116</v>
      </c>
      <c r="Y590" s="38">
        <v>0.29166666666666669</v>
      </c>
      <c r="Z590" s="38">
        <v>0.79166666666666663</v>
      </c>
      <c r="AA590" t="s">
        <v>117</v>
      </c>
      <c r="AC590" t="s">
        <v>118</v>
      </c>
      <c r="AD590">
        <v>0.33329999999999999</v>
      </c>
      <c r="AQ590">
        <v>0.25</v>
      </c>
      <c r="AR590">
        <v>0.75</v>
      </c>
      <c r="BK590">
        <f>0</f>
        <v>0</v>
      </c>
      <c r="BL590">
        <f t="shared" si="135"/>
        <v>1.3332999999999999</v>
      </c>
      <c r="BM590">
        <f t="shared" si="136"/>
        <v>0</v>
      </c>
      <c r="BN590">
        <f t="shared" si="137"/>
        <v>0</v>
      </c>
      <c r="BO590">
        <f t="shared" si="138"/>
        <v>1</v>
      </c>
      <c r="BP590" s="37">
        <f>IF($F590="","",IFERROR(INDEX(Familias!$C$5:$C$300,MATCH($F590,Familias!$A$5:$A$300,0)),""))</f>
        <v>2450</v>
      </c>
      <c r="BQ590" s="37">
        <f t="shared" si="139"/>
        <v>20585</v>
      </c>
      <c r="BR590" s="36">
        <f t="shared" si="140"/>
        <v>12</v>
      </c>
      <c r="BS590" s="36">
        <f t="shared" si="141"/>
        <v>1.3332999999999999</v>
      </c>
      <c r="BT590" s="36">
        <f t="shared" si="142"/>
        <v>10.666700000000001</v>
      </c>
      <c r="BU590" s="36">
        <f t="shared" si="143"/>
        <v>8.4019999999999992</v>
      </c>
      <c r="BV590" s="39">
        <f t="shared" si="144"/>
        <v>0.78768503848425464</v>
      </c>
      <c r="BW590" s="39">
        <f t="shared" si="145"/>
        <v>0.99951420937575908</v>
      </c>
      <c r="BX590" s="40">
        <f t="shared" si="146"/>
        <v>2.11963589076723E-2</v>
      </c>
      <c r="BY590" s="40">
        <f t="shared" si="147"/>
        <v>4.6814044213263975E-3</v>
      </c>
      <c r="BZ590" t="str">
        <f t="shared" si="148"/>
        <v>OK</v>
      </c>
      <c r="CA590">
        <f t="shared" si="149"/>
        <v>1</v>
      </c>
    </row>
    <row r="591" spans="1:80" x14ac:dyDescent="0.25">
      <c r="A591" s="35">
        <v>46189</v>
      </c>
      <c r="B591" s="36">
        <v>12</v>
      </c>
      <c r="C591" t="s">
        <v>119</v>
      </c>
      <c r="D591" t="s">
        <v>6</v>
      </c>
      <c r="E591" t="s">
        <v>126</v>
      </c>
      <c r="F591" t="s">
        <v>127</v>
      </c>
      <c r="G591">
        <v>4557</v>
      </c>
      <c r="H591">
        <v>2140110610</v>
      </c>
      <c r="I591" t="s">
        <v>128</v>
      </c>
      <c r="J591" s="37">
        <v>20100</v>
      </c>
      <c r="K591" s="37">
        <v>14</v>
      </c>
      <c r="M591">
        <v>7383</v>
      </c>
      <c r="O591">
        <v>115</v>
      </c>
      <c r="P591">
        <v>25</v>
      </c>
      <c r="Q591">
        <v>16</v>
      </c>
      <c r="T591">
        <v>9</v>
      </c>
      <c r="V591" t="s">
        <v>120</v>
      </c>
      <c r="Y591" s="38">
        <v>0.79166666666666663</v>
      </c>
      <c r="Z591" s="38">
        <v>0.29166666666666669</v>
      </c>
      <c r="AA591" t="s">
        <v>117</v>
      </c>
      <c r="AC591" t="s">
        <v>118</v>
      </c>
      <c r="AD591">
        <v>0.33329999999999999</v>
      </c>
      <c r="AQ591">
        <v>0.25</v>
      </c>
      <c r="AR591">
        <v>0.75</v>
      </c>
      <c r="BK591">
        <f>0</f>
        <v>0</v>
      </c>
      <c r="BL591">
        <f t="shared" si="135"/>
        <v>1.3332999999999999</v>
      </c>
      <c r="BM591">
        <f t="shared" si="136"/>
        <v>0</v>
      </c>
      <c r="BN591">
        <f t="shared" si="137"/>
        <v>0</v>
      </c>
      <c r="BO591">
        <f t="shared" si="138"/>
        <v>1</v>
      </c>
      <c r="BP591" s="37">
        <f>IF($F591="","",IFERROR(INDEX(Familias!$C$5:$C$300,MATCH($F591,Familias!$A$5:$A$300,0)),""))</f>
        <v>2450</v>
      </c>
      <c r="BQ591" s="37">
        <f t="shared" si="139"/>
        <v>20114</v>
      </c>
      <c r="BR591" s="36">
        <f t="shared" si="140"/>
        <v>12</v>
      </c>
      <c r="BS591" s="36">
        <f t="shared" si="141"/>
        <v>1.3332999999999999</v>
      </c>
      <c r="BT591" s="36">
        <f t="shared" si="142"/>
        <v>10.666700000000001</v>
      </c>
      <c r="BU591" s="36">
        <f t="shared" si="143"/>
        <v>8.2097999999999995</v>
      </c>
      <c r="BV591" s="39">
        <f t="shared" si="144"/>
        <v>0.76966634479267249</v>
      </c>
      <c r="BW591" s="39">
        <f t="shared" si="145"/>
        <v>0.99930396738590033</v>
      </c>
      <c r="BX591" s="40">
        <f t="shared" si="146"/>
        <v>1.8962481376134363E-2</v>
      </c>
      <c r="BY591" s="40">
        <f t="shared" si="147"/>
        <v>2.1671407287010701E-3</v>
      </c>
      <c r="BZ591" t="str">
        <f t="shared" si="148"/>
        <v>OK</v>
      </c>
      <c r="CA591">
        <f t="shared" si="149"/>
        <v>1</v>
      </c>
    </row>
    <row r="592" spans="1:80" x14ac:dyDescent="0.25">
      <c r="A592" s="35">
        <v>46190</v>
      </c>
      <c r="B592" s="36">
        <v>12</v>
      </c>
      <c r="C592" t="s">
        <v>113</v>
      </c>
      <c r="D592" t="s">
        <v>6</v>
      </c>
      <c r="E592" t="s">
        <v>126</v>
      </c>
      <c r="F592" t="s">
        <v>127</v>
      </c>
      <c r="G592">
        <v>4557</v>
      </c>
      <c r="H592">
        <v>2140110610</v>
      </c>
      <c r="I592" t="s">
        <v>128</v>
      </c>
      <c r="J592" s="37">
        <v>18125</v>
      </c>
      <c r="K592" s="37">
        <v>51</v>
      </c>
      <c r="M592">
        <v>6609</v>
      </c>
      <c r="O592">
        <v>90</v>
      </c>
      <c r="P592">
        <v>15</v>
      </c>
      <c r="Q592">
        <v>33</v>
      </c>
      <c r="T592">
        <v>8</v>
      </c>
      <c r="V592" t="s">
        <v>116</v>
      </c>
      <c r="Y592" s="38">
        <v>0.29166666666666669</v>
      </c>
      <c r="Z592" s="38">
        <v>0.79166666666666663</v>
      </c>
      <c r="AA592" t="s">
        <v>117</v>
      </c>
      <c r="AC592" t="s">
        <v>118</v>
      </c>
      <c r="AD592">
        <v>0.33329999999999999</v>
      </c>
      <c r="AQ592">
        <v>0.25</v>
      </c>
      <c r="AR592">
        <v>0.75</v>
      </c>
      <c r="BK592">
        <f>0</f>
        <v>0</v>
      </c>
      <c r="BL592">
        <f t="shared" si="135"/>
        <v>1.3332999999999999</v>
      </c>
      <c r="BM592">
        <f t="shared" si="136"/>
        <v>0</v>
      </c>
      <c r="BN592">
        <f t="shared" si="137"/>
        <v>0</v>
      </c>
      <c r="BO592">
        <f t="shared" si="138"/>
        <v>1</v>
      </c>
      <c r="BP592" s="37">
        <f>IF($F592="","",IFERROR(INDEX(Familias!$C$5:$C$300,MATCH($F592,Familias!$A$5:$A$300,0)),""))</f>
        <v>2450</v>
      </c>
      <c r="BQ592" s="37">
        <f t="shared" si="139"/>
        <v>18176</v>
      </c>
      <c r="BR592" s="36">
        <f t="shared" si="140"/>
        <v>12</v>
      </c>
      <c r="BS592" s="36">
        <f t="shared" si="141"/>
        <v>1.3332999999999999</v>
      </c>
      <c r="BT592" s="36">
        <f t="shared" si="142"/>
        <v>10.666700000000001</v>
      </c>
      <c r="BU592" s="36">
        <f t="shared" si="143"/>
        <v>7.4188000000000001</v>
      </c>
      <c r="BV592" s="39">
        <f t="shared" si="144"/>
        <v>0.69551032653022959</v>
      </c>
      <c r="BW592" s="39">
        <f t="shared" si="145"/>
        <v>0.99719410211267601</v>
      </c>
      <c r="BX592" s="40">
        <f t="shared" si="146"/>
        <v>1.5887426236949616E-2</v>
      </c>
      <c r="BY592" s="40">
        <f t="shared" si="147"/>
        <v>4.9931911030413074E-3</v>
      </c>
      <c r="BZ592" t="str">
        <f t="shared" si="148"/>
        <v>OK</v>
      </c>
      <c r="CA592">
        <f t="shared" si="149"/>
        <v>1</v>
      </c>
    </row>
    <row r="593" spans="1:80" x14ac:dyDescent="0.25">
      <c r="A593" s="35">
        <v>46190</v>
      </c>
      <c r="B593" s="36">
        <v>12</v>
      </c>
      <c r="C593" t="s">
        <v>119</v>
      </c>
      <c r="D593" t="s">
        <v>6</v>
      </c>
      <c r="E593" t="s">
        <v>126</v>
      </c>
      <c r="F593" t="s">
        <v>127</v>
      </c>
      <c r="G593">
        <v>4557</v>
      </c>
      <c r="H593">
        <v>2140110610</v>
      </c>
      <c r="I593" t="s">
        <v>128</v>
      </c>
      <c r="J593" s="37">
        <v>16500</v>
      </c>
      <c r="K593" s="37">
        <v>67</v>
      </c>
      <c r="M593">
        <v>6108</v>
      </c>
      <c r="O593">
        <v>92</v>
      </c>
      <c r="P593">
        <v>26</v>
      </c>
      <c r="T593">
        <v>8</v>
      </c>
      <c r="V593" t="s">
        <v>120</v>
      </c>
      <c r="Y593" s="38">
        <v>0.79166666666666663</v>
      </c>
      <c r="Z593" s="38">
        <v>0.29166666666666669</v>
      </c>
      <c r="AA593" t="s">
        <v>117</v>
      </c>
      <c r="AC593" t="s">
        <v>118</v>
      </c>
      <c r="AD593">
        <v>0.33329999999999999</v>
      </c>
      <c r="AQ593">
        <v>0.25</v>
      </c>
      <c r="AR593">
        <v>0.75</v>
      </c>
      <c r="AV593">
        <v>3</v>
      </c>
      <c r="BK593">
        <f>0</f>
        <v>0</v>
      </c>
      <c r="BL593">
        <f t="shared" si="135"/>
        <v>1.3332999999999999</v>
      </c>
      <c r="BM593">
        <f t="shared" si="136"/>
        <v>0</v>
      </c>
      <c r="BN593">
        <f t="shared" si="137"/>
        <v>3</v>
      </c>
      <c r="BO593">
        <f t="shared" si="138"/>
        <v>1</v>
      </c>
      <c r="BP593" s="37">
        <f>IF($F593="","",IFERROR(INDEX(Familias!$C$5:$C$300,MATCH($F593,Familias!$A$5:$A$300,0)),""))</f>
        <v>2450</v>
      </c>
      <c r="BQ593" s="37">
        <f t="shared" si="139"/>
        <v>16567</v>
      </c>
      <c r="BR593" s="36">
        <f t="shared" si="140"/>
        <v>12</v>
      </c>
      <c r="BS593" s="36">
        <f t="shared" si="141"/>
        <v>4.3333000000000004</v>
      </c>
      <c r="BT593" s="36">
        <f t="shared" si="142"/>
        <v>7.6666999999999996</v>
      </c>
      <c r="BU593" s="36">
        <f t="shared" si="143"/>
        <v>6.7619999999999996</v>
      </c>
      <c r="BV593" s="39">
        <f t="shared" si="144"/>
        <v>0.88199616523406421</v>
      </c>
      <c r="BW593" s="39">
        <f t="shared" si="145"/>
        <v>0.99595581577835457</v>
      </c>
      <c r="BX593" s="40">
        <f t="shared" si="146"/>
        <v>1.9318925998690242E-2</v>
      </c>
      <c r="BY593" s="40">
        <f t="shared" si="147"/>
        <v>0</v>
      </c>
      <c r="BZ593" t="str">
        <f t="shared" si="148"/>
        <v>OK</v>
      </c>
      <c r="CA593">
        <f t="shared" si="149"/>
        <v>1</v>
      </c>
    </row>
    <row r="594" spans="1:80" x14ac:dyDescent="0.25">
      <c r="A594" s="35">
        <v>46191</v>
      </c>
      <c r="B594" s="36">
        <v>12</v>
      </c>
      <c r="C594" t="s">
        <v>113</v>
      </c>
      <c r="D594" t="s">
        <v>6</v>
      </c>
      <c r="E594" t="s">
        <v>126</v>
      </c>
      <c r="F594" t="s">
        <v>127</v>
      </c>
      <c r="G594">
        <v>4557</v>
      </c>
      <c r="H594">
        <v>2140110610</v>
      </c>
      <c r="I594" t="s">
        <v>128</v>
      </c>
      <c r="J594" s="37">
        <v>20050</v>
      </c>
      <c r="K594" s="37">
        <v>14</v>
      </c>
      <c r="M594">
        <v>7680</v>
      </c>
      <c r="O594">
        <v>139</v>
      </c>
      <c r="P594">
        <v>55</v>
      </c>
      <c r="Q594">
        <v>198</v>
      </c>
      <c r="T594">
        <v>10</v>
      </c>
      <c r="V594" t="s">
        <v>116</v>
      </c>
      <c r="Y594" s="38">
        <v>0.29166666666666669</v>
      </c>
      <c r="Z594" s="38">
        <v>0.79166666666666663</v>
      </c>
      <c r="AA594" t="s">
        <v>117</v>
      </c>
      <c r="AC594" t="s">
        <v>118</v>
      </c>
      <c r="AD594">
        <v>0.33329999999999999</v>
      </c>
      <c r="AQ594">
        <v>0.25</v>
      </c>
      <c r="AR594">
        <v>0.75</v>
      </c>
      <c r="BE594">
        <v>1.9167000000000001</v>
      </c>
      <c r="BK594">
        <f>0</f>
        <v>0</v>
      </c>
      <c r="BL594">
        <f t="shared" si="135"/>
        <v>3.25</v>
      </c>
      <c r="BM594">
        <f t="shared" si="136"/>
        <v>0</v>
      </c>
      <c r="BN594">
        <f t="shared" si="137"/>
        <v>0</v>
      </c>
      <c r="BO594">
        <f t="shared" si="138"/>
        <v>1</v>
      </c>
      <c r="BP594" s="37">
        <f>IF($F594="","",IFERROR(INDEX(Familias!$C$5:$C$300,MATCH($F594,Familias!$A$5:$A$300,0)),""))</f>
        <v>2450</v>
      </c>
      <c r="BQ594" s="37">
        <f t="shared" si="139"/>
        <v>20064</v>
      </c>
      <c r="BR594" s="36">
        <f t="shared" si="140"/>
        <v>12</v>
      </c>
      <c r="BS594" s="36">
        <f t="shared" si="141"/>
        <v>3.25</v>
      </c>
      <c r="BT594" s="36">
        <f t="shared" si="142"/>
        <v>8.75</v>
      </c>
      <c r="BU594" s="36">
        <f t="shared" si="143"/>
        <v>8.1893999999999991</v>
      </c>
      <c r="BV594" s="39">
        <f t="shared" si="144"/>
        <v>0.93593142857142853</v>
      </c>
      <c r="BW594" s="39">
        <f t="shared" si="145"/>
        <v>0.99930223285486441</v>
      </c>
      <c r="BX594" s="40">
        <f t="shared" si="146"/>
        <v>2.5260416666666667E-2</v>
      </c>
      <c r="BY594" s="40">
        <f t="shared" si="147"/>
        <v>2.5781249999999999E-2</v>
      </c>
      <c r="BZ594" t="str">
        <f t="shared" si="148"/>
        <v>OK</v>
      </c>
      <c r="CA594">
        <f t="shared" si="149"/>
        <v>1</v>
      </c>
    </row>
    <row r="595" spans="1:80" x14ac:dyDescent="0.25">
      <c r="A595" s="35">
        <v>46191</v>
      </c>
      <c r="B595" s="36">
        <v>12</v>
      </c>
      <c r="C595" t="s">
        <v>119</v>
      </c>
      <c r="D595" t="s">
        <v>6</v>
      </c>
      <c r="E595" t="s">
        <v>126</v>
      </c>
      <c r="F595" t="s">
        <v>127</v>
      </c>
      <c r="G595">
        <v>4557</v>
      </c>
      <c r="H595">
        <v>2140110610</v>
      </c>
      <c r="I595" t="s">
        <v>128</v>
      </c>
      <c r="J595" s="37">
        <v>17750</v>
      </c>
      <c r="K595" s="37">
        <v>20</v>
      </c>
      <c r="M595">
        <v>6559</v>
      </c>
      <c r="O595">
        <v>134</v>
      </c>
      <c r="P595">
        <v>27</v>
      </c>
      <c r="Q595">
        <v>38</v>
      </c>
      <c r="T595">
        <v>8</v>
      </c>
      <c r="V595" t="s">
        <v>120</v>
      </c>
      <c r="Y595" s="38">
        <v>0.79166666666666663</v>
      </c>
      <c r="Z595" s="38">
        <v>0.29166666666666669</v>
      </c>
      <c r="AA595" t="s">
        <v>117</v>
      </c>
      <c r="AC595" t="s">
        <v>118</v>
      </c>
      <c r="AD595">
        <v>0.33329999999999999</v>
      </c>
      <c r="AQ595">
        <v>0.25</v>
      </c>
      <c r="BB595">
        <v>5</v>
      </c>
      <c r="BJ595">
        <v>0.75</v>
      </c>
      <c r="BK595">
        <f>0</f>
        <v>0</v>
      </c>
      <c r="BL595">
        <f t="shared" si="135"/>
        <v>1.3332999999999999</v>
      </c>
      <c r="BM595">
        <f t="shared" si="136"/>
        <v>5</v>
      </c>
      <c r="BN595">
        <f t="shared" si="137"/>
        <v>0</v>
      </c>
      <c r="BO595">
        <f t="shared" si="138"/>
        <v>1</v>
      </c>
      <c r="BP595" s="37">
        <f>IF($F595="","",IFERROR(INDEX(Familias!$C$5:$C$300,MATCH($F595,Familias!$A$5:$A$300,0)),""))</f>
        <v>2450</v>
      </c>
      <c r="BQ595" s="37">
        <f t="shared" si="139"/>
        <v>17770</v>
      </c>
      <c r="BR595" s="36">
        <f t="shared" si="140"/>
        <v>12</v>
      </c>
      <c r="BS595" s="36">
        <f t="shared" si="141"/>
        <v>6.3333000000000004</v>
      </c>
      <c r="BT595" s="36">
        <f t="shared" si="142"/>
        <v>5.6666999999999996</v>
      </c>
      <c r="BU595" s="36">
        <f t="shared" si="143"/>
        <v>7.2530999999999999</v>
      </c>
      <c r="BV595" s="39">
        <f t="shared" si="144"/>
        <v>1.2799512944041507</v>
      </c>
      <c r="BW595" s="39">
        <f t="shared" si="145"/>
        <v>0.99887450759707375</v>
      </c>
      <c r="BX595" s="40">
        <f t="shared" si="146"/>
        <v>2.454642475987193E-2</v>
      </c>
      <c r="BY595" s="40">
        <f t="shared" si="147"/>
        <v>5.793566092392133E-3</v>
      </c>
      <c r="BZ595" t="str">
        <f t="shared" si="148"/>
        <v>Revisar rendimiento</v>
      </c>
      <c r="CA595">
        <f t="shared" si="149"/>
        <v>1</v>
      </c>
    </row>
    <row r="596" spans="1:80" x14ac:dyDescent="0.25">
      <c r="A596" s="35">
        <v>46192</v>
      </c>
      <c r="B596" s="36">
        <v>3.9855</v>
      </c>
      <c r="C596" t="s">
        <v>113</v>
      </c>
      <c r="D596" t="s">
        <v>6</v>
      </c>
      <c r="E596" t="s">
        <v>126</v>
      </c>
      <c r="F596" t="s">
        <v>127</v>
      </c>
      <c r="G596">
        <v>45557</v>
      </c>
      <c r="H596">
        <v>2140110610</v>
      </c>
      <c r="I596" t="s">
        <v>128</v>
      </c>
      <c r="J596" s="37">
        <v>6675</v>
      </c>
      <c r="K596" s="37">
        <v>5</v>
      </c>
      <c r="M596">
        <v>2769</v>
      </c>
      <c r="O596">
        <v>55</v>
      </c>
      <c r="T596">
        <v>3</v>
      </c>
      <c r="V596" t="s">
        <v>116</v>
      </c>
      <c r="Y596" s="38">
        <v>0.29166666666666669</v>
      </c>
      <c r="Z596" s="38">
        <v>0.45763888888888887</v>
      </c>
      <c r="AA596" t="s">
        <v>117</v>
      </c>
      <c r="AC596" t="s">
        <v>121</v>
      </c>
      <c r="AD596">
        <v>0.1661</v>
      </c>
      <c r="AQ596">
        <v>8.3000000000000004E-2</v>
      </c>
      <c r="AR596">
        <v>0.24909999999999999</v>
      </c>
      <c r="BJ596">
        <v>0.24909999999999999</v>
      </c>
      <c r="BK596">
        <f>0</f>
        <v>0</v>
      </c>
      <c r="BL596">
        <f t="shared" si="135"/>
        <v>0.74729999999999996</v>
      </c>
      <c r="BM596">
        <f t="shared" si="136"/>
        <v>0</v>
      </c>
      <c r="BN596">
        <f t="shared" si="137"/>
        <v>0</v>
      </c>
      <c r="BO596">
        <f t="shared" si="138"/>
        <v>1</v>
      </c>
      <c r="BP596" s="37">
        <f>IF($F596="","",IFERROR(INDEX(Familias!$C$5:$C$300,MATCH($F596,Familias!$A$5:$A$300,0)),""))</f>
        <v>2450</v>
      </c>
      <c r="BQ596" s="37">
        <f t="shared" si="139"/>
        <v>6680</v>
      </c>
      <c r="BR596" s="36">
        <f t="shared" si="140"/>
        <v>3.9855</v>
      </c>
      <c r="BS596" s="36">
        <f t="shared" si="141"/>
        <v>0.74729999999999996</v>
      </c>
      <c r="BT596" s="36">
        <f t="shared" si="142"/>
        <v>3.2382</v>
      </c>
      <c r="BU596" s="36">
        <f t="shared" si="143"/>
        <v>2.7265000000000001</v>
      </c>
      <c r="BV596" s="39">
        <f t="shared" si="144"/>
        <v>0.84198011240812798</v>
      </c>
      <c r="BW596" s="39">
        <f t="shared" si="145"/>
        <v>0.99925149700598803</v>
      </c>
      <c r="BX596" s="40">
        <f t="shared" si="146"/>
        <v>1.9862766341639582E-2</v>
      </c>
      <c r="BY596" s="40">
        <f t="shared" si="147"/>
        <v>0</v>
      </c>
      <c r="BZ596" t="str">
        <f t="shared" si="148"/>
        <v>OK</v>
      </c>
      <c r="CA596">
        <f t="shared" si="149"/>
        <v>1</v>
      </c>
    </row>
    <row r="597" spans="1:80" x14ac:dyDescent="0.25">
      <c r="A597" s="35">
        <v>46192</v>
      </c>
      <c r="B597" s="36">
        <v>8.0145</v>
      </c>
      <c r="C597" t="s">
        <v>113</v>
      </c>
      <c r="D597" t="s">
        <v>6</v>
      </c>
      <c r="E597" t="s">
        <v>126</v>
      </c>
      <c r="F597" t="s">
        <v>133</v>
      </c>
      <c r="G597">
        <v>4723</v>
      </c>
      <c r="H597">
        <v>2140110604</v>
      </c>
      <c r="I597" t="s">
        <v>139</v>
      </c>
      <c r="J597" s="37">
        <v>12700</v>
      </c>
      <c r="K597" s="37">
        <v>20</v>
      </c>
      <c r="M597">
        <v>4470</v>
      </c>
      <c r="O597">
        <v>61</v>
      </c>
      <c r="P597">
        <v>14</v>
      </c>
      <c r="T597">
        <v>6</v>
      </c>
      <c r="V597" t="s">
        <v>116</v>
      </c>
      <c r="Y597" s="38">
        <v>0.45763888888888887</v>
      </c>
      <c r="Z597" s="38">
        <v>0.79166666666666663</v>
      </c>
      <c r="AA597" t="s">
        <v>117</v>
      </c>
      <c r="AC597" t="s">
        <v>121</v>
      </c>
      <c r="AD597">
        <v>0.33389999999999997</v>
      </c>
      <c r="AQ597">
        <v>0.16700000000000001</v>
      </c>
      <c r="AR597">
        <v>0.50090000000000001</v>
      </c>
      <c r="BJ597">
        <v>0.50090000000000001</v>
      </c>
      <c r="BK597">
        <f>0</f>
        <v>0</v>
      </c>
      <c r="BL597">
        <f t="shared" si="135"/>
        <v>1.5026999999999999</v>
      </c>
      <c r="BM597">
        <f t="shared" si="136"/>
        <v>0</v>
      </c>
      <c r="BN597">
        <f t="shared" si="137"/>
        <v>0</v>
      </c>
      <c r="BO597">
        <f t="shared" si="138"/>
        <v>1</v>
      </c>
      <c r="BP597" s="37">
        <f>IF($F597="","",IFERROR(INDEX(Familias!$C$5:$C$300,MATCH($F597,Familias!$A$5:$A$300,0)),""))</f>
        <v>2320</v>
      </c>
      <c r="BQ597" s="37">
        <f t="shared" si="139"/>
        <v>12720</v>
      </c>
      <c r="BR597" s="36">
        <f t="shared" si="140"/>
        <v>8.0145</v>
      </c>
      <c r="BS597" s="36">
        <f t="shared" si="141"/>
        <v>1.5026999999999999</v>
      </c>
      <c r="BT597" s="36">
        <f t="shared" si="142"/>
        <v>6.5118</v>
      </c>
      <c r="BU597" s="36">
        <f t="shared" si="143"/>
        <v>5.4828000000000001</v>
      </c>
      <c r="BV597" s="39">
        <f t="shared" si="144"/>
        <v>0.84197917626462726</v>
      </c>
      <c r="BW597" s="39">
        <f t="shared" si="145"/>
        <v>0.99842767295597479</v>
      </c>
      <c r="BX597" s="40">
        <f t="shared" si="146"/>
        <v>1.6778523489932886E-2</v>
      </c>
      <c r="BY597" s="40">
        <f t="shared" si="147"/>
        <v>0</v>
      </c>
      <c r="BZ597" t="str">
        <f t="shared" si="148"/>
        <v>OK</v>
      </c>
      <c r="CA597">
        <f t="shared" si="149"/>
        <v>1</v>
      </c>
    </row>
    <row r="598" spans="1:80" x14ac:dyDescent="0.25">
      <c r="A598" s="35">
        <v>46192</v>
      </c>
      <c r="B598" s="36">
        <v>12</v>
      </c>
      <c r="C598" t="s">
        <v>119</v>
      </c>
      <c r="D598" t="s">
        <v>6</v>
      </c>
      <c r="E598" t="s">
        <v>126</v>
      </c>
      <c r="F598" t="s">
        <v>133</v>
      </c>
      <c r="G598">
        <v>4723</v>
      </c>
      <c r="H598">
        <v>2140110604</v>
      </c>
      <c r="I598" t="s">
        <v>139</v>
      </c>
      <c r="J598" s="37">
        <v>20375</v>
      </c>
      <c r="K598" s="37">
        <v>10</v>
      </c>
      <c r="M598">
        <v>6993</v>
      </c>
      <c r="O598">
        <v>80</v>
      </c>
      <c r="P598">
        <v>27</v>
      </c>
      <c r="T598">
        <v>9</v>
      </c>
      <c r="V598" t="s">
        <v>120</v>
      </c>
      <c r="Y598" s="38">
        <v>0.79166666666666663</v>
      </c>
      <c r="Z598" s="38">
        <v>0.29166666666666669</v>
      </c>
      <c r="AA598" t="s">
        <v>117</v>
      </c>
      <c r="AC598" t="s">
        <v>118</v>
      </c>
      <c r="AD598">
        <v>0.33329999999999999</v>
      </c>
      <c r="AQ598">
        <v>0.25</v>
      </c>
      <c r="AR598">
        <v>0.75</v>
      </c>
      <c r="BK598">
        <f>0</f>
        <v>0</v>
      </c>
      <c r="BL598">
        <f t="shared" si="135"/>
        <v>1.3332999999999999</v>
      </c>
      <c r="BM598">
        <f t="shared" si="136"/>
        <v>0</v>
      </c>
      <c r="BN598">
        <f t="shared" si="137"/>
        <v>0</v>
      </c>
      <c r="BO598">
        <f t="shared" si="138"/>
        <v>1</v>
      </c>
      <c r="BP598" s="37">
        <f>IF($F598="","",IFERROR(INDEX(Familias!$C$5:$C$300,MATCH($F598,Familias!$A$5:$A$300,0)),""))</f>
        <v>2320</v>
      </c>
      <c r="BQ598" s="37">
        <f t="shared" si="139"/>
        <v>20385</v>
      </c>
      <c r="BR598" s="36">
        <f t="shared" si="140"/>
        <v>12</v>
      </c>
      <c r="BS598" s="36">
        <f t="shared" si="141"/>
        <v>1.3332999999999999</v>
      </c>
      <c r="BT598" s="36">
        <f t="shared" si="142"/>
        <v>10.666700000000001</v>
      </c>
      <c r="BU598" s="36">
        <f t="shared" si="143"/>
        <v>8.7866</v>
      </c>
      <c r="BV598" s="39">
        <f t="shared" si="144"/>
        <v>0.82374117580882555</v>
      </c>
      <c r="BW598" s="39">
        <f t="shared" si="145"/>
        <v>0.99950944321805246</v>
      </c>
      <c r="BX598" s="40">
        <f t="shared" si="146"/>
        <v>1.5301015301015301E-2</v>
      </c>
      <c r="BY598" s="40">
        <f t="shared" si="147"/>
        <v>0</v>
      </c>
      <c r="BZ598" t="str">
        <f t="shared" si="148"/>
        <v>OK</v>
      </c>
      <c r="CA598">
        <f t="shared" si="149"/>
        <v>1</v>
      </c>
    </row>
    <row r="599" spans="1:80" x14ac:dyDescent="0.25">
      <c r="A599" s="35">
        <v>46193</v>
      </c>
      <c r="B599" s="36">
        <v>12</v>
      </c>
      <c r="C599" t="s">
        <v>113</v>
      </c>
      <c r="D599" t="s">
        <v>6</v>
      </c>
      <c r="E599" t="s">
        <v>126</v>
      </c>
      <c r="F599" t="s">
        <v>133</v>
      </c>
      <c r="G599">
        <v>4723</v>
      </c>
      <c r="H599">
        <v>2140110604</v>
      </c>
      <c r="I599" t="s">
        <v>139</v>
      </c>
      <c r="J599" s="37">
        <v>20025</v>
      </c>
      <c r="K599" s="37">
        <v>20</v>
      </c>
      <c r="M599">
        <v>6656</v>
      </c>
      <c r="O599">
        <v>90</v>
      </c>
      <c r="P599">
        <v>28</v>
      </c>
      <c r="Q599">
        <v>26</v>
      </c>
      <c r="T599">
        <v>9</v>
      </c>
      <c r="V599" t="s">
        <v>116</v>
      </c>
      <c r="Y599" s="38">
        <v>0.29166666666666669</v>
      </c>
      <c r="Z599" s="38">
        <v>0.79166666666666663</v>
      </c>
      <c r="AA599" t="s">
        <v>117</v>
      </c>
      <c r="AC599" t="s">
        <v>118</v>
      </c>
      <c r="AD599">
        <v>0.5</v>
      </c>
      <c r="AF599">
        <v>0.33329999999999999</v>
      </c>
      <c r="AJ599">
        <v>0.25</v>
      </c>
      <c r="AQ599">
        <v>0.25</v>
      </c>
      <c r="AR599">
        <v>0.75</v>
      </c>
      <c r="BJ599">
        <v>5.1666999999999996</v>
      </c>
      <c r="BK599">
        <f>0</f>
        <v>0</v>
      </c>
      <c r="BL599">
        <f t="shared" si="135"/>
        <v>7.25</v>
      </c>
      <c r="BM599">
        <f t="shared" si="136"/>
        <v>0</v>
      </c>
      <c r="BN599">
        <f t="shared" si="137"/>
        <v>0</v>
      </c>
      <c r="BO599">
        <f t="shared" si="138"/>
        <v>1</v>
      </c>
      <c r="BP599" s="37">
        <f>IF($F599="","",IFERROR(INDEX(Familias!$C$5:$C$300,MATCH($F599,Familias!$A$5:$A$300,0)),""))</f>
        <v>2320</v>
      </c>
      <c r="BQ599" s="37">
        <f t="shared" si="139"/>
        <v>20045</v>
      </c>
      <c r="BR599" s="36">
        <f t="shared" si="140"/>
        <v>12</v>
      </c>
      <c r="BS599" s="36">
        <f t="shared" si="141"/>
        <v>7.25</v>
      </c>
      <c r="BT599" s="36">
        <f t="shared" si="142"/>
        <v>4.75</v>
      </c>
      <c r="BU599" s="36">
        <f t="shared" si="143"/>
        <v>8.6401000000000003</v>
      </c>
      <c r="BV599" s="39">
        <f t="shared" si="144"/>
        <v>1.8189684210526316</v>
      </c>
      <c r="BW599" s="39">
        <f t="shared" si="145"/>
        <v>0.99900224494886503</v>
      </c>
      <c r="BX599" s="40">
        <f t="shared" si="146"/>
        <v>1.7728365384615384E-2</v>
      </c>
      <c r="BY599" s="40">
        <f t="shared" si="147"/>
        <v>3.90625E-3</v>
      </c>
      <c r="BZ599" t="str">
        <f t="shared" si="148"/>
        <v>Revisar rendimiento</v>
      </c>
      <c r="CA599">
        <f t="shared" si="149"/>
        <v>1</v>
      </c>
    </row>
    <row r="600" spans="1:80" x14ac:dyDescent="0.25">
      <c r="A600" s="35">
        <v>46193</v>
      </c>
      <c r="B600" s="36">
        <v>12</v>
      </c>
      <c r="C600" t="s">
        <v>119</v>
      </c>
      <c r="D600" t="s">
        <v>6</v>
      </c>
      <c r="E600" t="s">
        <v>126</v>
      </c>
      <c r="F600" t="s">
        <v>133</v>
      </c>
      <c r="G600">
        <v>4723</v>
      </c>
      <c r="H600">
        <v>2140110604</v>
      </c>
      <c r="I600" t="s">
        <v>139</v>
      </c>
      <c r="J600" s="37">
        <v>17275</v>
      </c>
      <c r="K600" s="37">
        <v>20</v>
      </c>
      <c r="M600">
        <v>6275</v>
      </c>
      <c r="O600">
        <v>104</v>
      </c>
      <c r="P600">
        <v>24</v>
      </c>
      <c r="Q600">
        <v>24</v>
      </c>
      <c r="T600">
        <v>8</v>
      </c>
      <c r="V600" t="s">
        <v>120</v>
      </c>
      <c r="Y600" s="38">
        <v>0.79166666666666663</v>
      </c>
      <c r="Z600" s="38">
        <v>0.29166666666666669</v>
      </c>
      <c r="AA600" t="s">
        <v>117</v>
      </c>
      <c r="AC600" t="s">
        <v>118</v>
      </c>
      <c r="AD600">
        <v>0.33329999999999999</v>
      </c>
      <c r="AQ600">
        <v>1.5</v>
      </c>
      <c r="AR600">
        <v>0.75</v>
      </c>
      <c r="BK600">
        <f>0</f>
        <v>0</v>
      </c>
      <c r="BL600">
        <f t="shared" si="135"/>
        <v>2.5832999999999999</v>
      </c>
      <c r="BM600">
        <f t="shared" si="136"/>
        <v>0</v>
      </c>
      <c r="BN600">
        <f t="shared" si="137"/>
        <v>0</v>
      </c>
      <c r="BO600">
        <f t="shared" si="138"/>
        <v>1</v>
      </c>
      <c r="BP600" s="37">
        <f>IF($F600="","",IFERROR(INDEX(Familias!$C$5:$C$300,MATCH($F600,Familias!$A$5:$A$300,0)),""))</f>
        <v>2320</v>
      </c>
      <c r="BQ600" s="37">
        <f t="shared" si="139"/>
        <v>17295</v>
      </c>
      <c r="BR600" s="36">
        <f t="shared" si="140"/>
        <v>12</v>
      </c>
      <c r="BS600" s="36">
        <f t="shared" si="141"/>
        <v>2.5832999999999999</v>
      </c>
      <c r="BT600" s="36">
        <f t="shared" si="142"/>
        <v>9.4167000000000005</v>
      </c>
      <c r="BU600" s="36">
        <f t="shared" si="143"/>
        <v>7.4546999999999999</v>
      </c>
      <c r="BV600" s="39">
        <f t="shared" si="144"/>
        <v>0.79164675523272476</v>
      </c>
      <c r="BW600" s="39">
        <f t="shared" si="145"/>
        <v>0.99884359641514886</v>
      </c>
      <c r="BX600" s="40">
        <f t="shared" si="146"/>
        <v>2.0398406374501993E-2</v>
      </c>
      <c r="BY600" s="40">
        <f t="shared" si="147"/>
        <v>3.8247011952191236E-3</v>
      </c>
      <c r="BZ600" t="str">
        <f t="shared" si="148"/>
        <v>OK</v>
      </c>
      <c r="CA600">
        <f t="shared" si="149"/>
        <v>1</v>
      </c>
    </row>
    <row r="601" spans="1:80" x14ac:dyDescent="0.25">
      <c r="A601" s="35">
        <v>46195</v>
      </c>
      <c r="B601" s="36">
        <v>12</v>
      </c>
      <c r="C601" t="s">
        <v>113</v>
      </c>
      <c r="D601" t="s">
        <v>6</v>
      </c>
      <c r="E601" t="s">
        <v>126</v>
      </c>
      <c r="F601" t="s">
        <v>133</v>
      </c>
      <c r="G601">
        <v>4723</v>
      </c>
      <c r="H601">
        <v>2140110604</v>
      </c>
      <c r="I601" t="s">
        <v>139</v>
      </c>
      <c r="J601" s="37">
        <v>20150</v>
      </c>
      <c r="K601" s="37">
        <v>10</v>
      </c>
      <c r="M601">
        <v>6821</v>
      </c>
      <c r="O601">
        <v>67</v>
      </c>
      <c r="P601">
        <v>29</v>
      </c>
      <c r="T601">
        <v>9</v>
      </c>
      <c r="V601" t="s">
        <v>120</v>
      </c>
      <c r="Y601" s="38">
        <v>0.29166666666666669</v>
      </c>
      <c r="Z601" s="38">
        <v>0.79166666666666663</v>
      </c>
      <c r="AA601" t="s">
        <v>117</v>
      </c>
      <c r="AC601" t="s">
        <v>118</v>
      </c>
      <c r="AD601">
        <v>0.5</v>
      </c>
      <c r="AQ601">
        <v>0.25</v>
      </c>
      <c r="AR601">
        <v>0.75</v>
      </c>
      <c r="BK601">
        <f>0</f>
        <v>0</v>
      </c>
      <c r="BL601">
        <f t="shared" si="135"/>
        <v>1.5</v>
      </c>
      <c r="BM601">
        <f t="shared" si="136"/>
        <v>0</v>
      </c>
      <c r="BN601">
        <f t="shared" si="137"/>
        <v>0</v>
      </c>
      <c r="BO601">
        <f t="shared" si="138"/>
        <v>1</v>
      </c>
      <c r="BP601" s="37">
        <f>IF($F601="","",IFERROR(INDEX(Familias!$C$5:$C$300,MATCH($F601,Familias!$A$5:$A$300,0)),""))</f>
        <v>2320</v>
      </c>
      <c r="BQ601" s="37">
        <f t="shared" si="139"/>
        <v>20160</v>
      </c>
      <c r="BR601" s="36">
        <f t="shared" si="140"/>
        <v>12</v>
      </c>
      <c r="BS601" s="36">
        <f t="shared" si="141"/>
        <v>1.5</v>
      </c>
      <c r="BT601" s="36">
        <f t="shared" si="142"/>
        <v>10.5</v>
      </c>
      <c r="BU601" s="36">
        <f t="shared" si="143"/>
        <v>8.6897000000000002</v>
      </c>
      <c r="BV601" s="39">
        <f t="shared" si="144"/>
        <v>0.82759047619047621</v>
      </c>
      <c r="BW601" s="39">
        <f t="shared" si="145"/>
        <v>0.99950396825396826</v>
      </c>
      <c r="BX601" s="40">
        <f t="shared" si="146"/>
        <v>1.4074182671162587E-2</v>
      </c>
      <c r="BY601" s="40">
        <f t="shared" si="147"/>
        <v>0</v>
      </c>
      <c r="BZ601" t="str">
        <f t="shared" si="148"/>
        <v>OK</v>
      </c>
      <c r="CA601">
        <f t="shared" si="149"/>
        <v>1</v>
      </c>
    </row>
    <row r="602" spans="1:80" x14ac:dyDescent="0.25">
      <c r="A602" s="35">
        <v>46195</v>
      </c>
      <c r="B602" s="36">
        <v>5.5252999999999997</v>
      </c>
      <c r="C602" t="s">
        <v>119</v>
      </c>
      <c r="D602" t="s">
        <v>6</v>
      </c>
      <c r="E602" t="s">
        <v>126</v>
      </c>
      <c r="F602" t="s">
        <v>133</v>
      </c>
      <c r="G602">
        <v>4723</v>
      </c>
      <c r="H602">
        <v>2140110604</v>
      </c>
      <c r="I602" t="s">
        <v>139</v>
      </c>
      <c r="J602" s="37">
        <v>9750</v>
      </c>
      <c r="K602" s="37">
        <v>10</v>
      </c>
      <c r="M602">
        <v>3710</v>
      </c>
      <c r="O602">
        <v>50</v>
      </c>
      <c r="P602">
        <v>8</v>
      </c>
      <c r="Q602">
        <v>16</v>
      </c>
      <c r="T602">
        <v>5</v>
      </c>
      <c r="V602" t="s">
        <v>116</v>
      </c>
      <c r="Y602" s="38">
        <v>0.79166666666666663</v>
      </c>
      <c r="Z602" s="38">
        <v>2.222222222222222E-2</v>
      </c>
      <c r="AA602" t="s">
        <v>117</v>
      </c>
      <c r="AC602" t="s">
        <v>121</v>
      </c>
      <c r="AD602">
        <v>0.1535</v>
      </c>
      <c r="AE602">
        <v>0.307</v>
      </c>
      <c r="AQ602">
        <v>0.11509999999999999</v>
      </c>
      <c r="AR602">
        <v>0.3453</v>
      </c>
      <c r="BK602">
        <f>0</f>
        <v>0</v>
      </c>
      <c r="BL602">
        <f t="shared" si="135"/>
        <v>0.92090000000000005</v>
      </c>
      <c r="BM602">
        <f t="shared" si="136"/>
        <v>0</v>
      </c>
      <c r="BN602">
        <f t="shared" si="137"/>
        <v>0</v>
      </c>
      <c r="BO602">
        <f t="shared" si="138"/>
        <v>1</v>
      </c>
      <c r="BP602" s="37">
        <f>IF($F602="","",IFERROR(INDEX(Familias!$C$5:$C$300,MATCH($F602,Familias!$A$5:$A$300,0)),""))</f>
        <v>2320</v>
      </c>
      <c r="BQ602" s="37">
        <f t="shared" si="139"/>
        <v>9760</v>
      </c>
      <c r="BR602" s="36">
        <f t="shared" si="140"/>
        <v>5.5252999999999997</v>
      </c>
      <c r="BS602" s="36">
        <f t="shared" si="141"/>
        <v>0.92090000000000005</v>
      </c>
      <c r="BT602" s="36">
        <f t="shared" si="142"/>
        <v>4.6044</v>
      </c>
      <c r="BU602" s="36">
        <f t="shared" si="143"/>
        <v>4.2069000000000001</v>
      </c>
      <c r="BV602" s="39">
        <f t="shared" si="144"/>
        <v>0.91366953348970548</v>
      </c>
      <c r="BW602" s="39">
        <f t="shared" si="145"/>
        <v>0.99897540983606559</v>
      </c>
      <c r="BX602" s="40">
        <f t="shared" si="146"/>
        <v>1.5633423180592992E-2</v>
      </c>
      <c r="BY602" s="40">
        <f t="shared" si="147"/>
        <v>4.3126684636118602E-3</v>
      </c>
      <c r="BZ602" t="str">
        <f t="shared" si="148"/>
        <v>OK</v>
      </c>
      <c r="CA602">
        <f t="shared" si="149"/>
        <v>1</v>
      </c>
    </row>
    <row r="603" spans="1:80" x14ac:dyDescent="0.25">
      <c r="A603" s="35">
        <v>46195</v>
      </c>
      <c r="B603" s="36">
        <v>6.4747000000000003</v>
      </c>
      <c r="C603" t="s">
        <v>119</v>
      </c>
      <c r="D603" t="s">
        <v>6</v>
      </c>
      <c r="E603" t="s">
        <v>126</v>
      </c>
      <c r="F603" t="s">
        <v>133</v>
      </c>
      <c r="G603">
        <v>4768</v>
      </c>
      <c r="H603">
        <v>2140110605</v>
      </c>
      <c r="I603" t="s">
        <v>140</v>
      </c>
      <c r="J603" s="37">
        <v>11425</v>
      </c>
      <c r="K603" s="37">
        <v>12</v>
      </c>
      <c r="M603">
        <v>3936</v>
      </c>
      <c r="O603">
        <v>55</v>
      </c>
      <c r="P603">
        <v>14</v>
      </c>
      <c r="Q603">
        <v>32</v>
      </c>
      <c r="R603">
        <v>25</v>
      </c>
      <c r="V603" t="s">
        <v>116</v>
      </c>
      <c r="Y603" s="38">
        <v>2.222222222222222E-2</v>
      </c>
      <c r="Z603" s="38">
        <v>0.29166666666666669</v>
      </c>
      <c r="AA603" t="s">
        <v>117</v>
      </c>
      <c r="AC603" t="s">
        <v>121</v>
      </c>
      <c r="AD603">
        <v>0.1799</v>
      </c>
      <c r="AE603">
        <v>0.35970000000000002</v>
      </c>
      <c r="AQ603">
        <v>0.13489999999999999</v>
      </c>
      <c r="AR603">
        <v>0.4047</v>
      </c>
      <c r="BK603">
        <f>0</f>
        <v>0</v>
      </c>
      <c r="BL603">
        <f t="shared" si="135"/>
        <v>1.0792000000000002</v>
      </c>
      <c r="BM603">
        <f t="shared" si="136"/>
        <v>0</v>
      </c>
      <c r="BN603">
        <f t="shared" si="137"/>
        <v>0</v>
      </c>
      <c r="BO603">
        <f t="shared" si="138"/>
        <v>1</v>
      </c>
      <c r="BP603" s="37">
        <f>IF($F603="","",IFERROR(INDEX(Familias!$C$5:$C$300,MATCH($F603,Familias!$A$5:$A$300,0)),""))</f>
        <v>2320</v>
      </c>
      <c r="BQ603" s="37">
        <f t="shared" si="139"/>
        <v>11437</v>
      </c>
      <c r="BR603" s="36">
        <f t="shared" si="140"/>
        <v>6.4747000000000003</v>
      </c>
      <c r="BS603" s="36">
        <f t="shared" si="141"/>
        <v>1.0791999999999999</v>
      </c>
      <c r="BT603" s="36">
        <f t="shared" si="142"/>
        <v>5.3955000000000002</v>
      </c>
      <c r="BU603" s="36">
        <f t="shared" si="143"/>
        <v>4.9297000000000004</v>
      </c>
      <c r="BV603" s="39">
        <f t="shared" si="144"/>
        <v>0.91366879807246781</v>
      </c>
      <c r="BW603" s="39">
        <f t="shared" si="145"/>
        <v>0.99895077380431929</v>
      </c>
      <c r="BX603" s="40">
        <f t="shared" si="146"/>
        <v>2.3882113821138213E-2</v>
      </c>
      <c r="BY603" s="40">
        <f t="shared" si="147"/>
        <v>8.130081300813009E-3</v>
      </c>
      <c r="BZ603" t="str">
        <f t="shared" si="148"/>
        <v>OK</v>
      </c>
      <c r="CA603">
        <f t="shared" si="149"/>
        <v>1</v>
      </c>
    </row>
    <row r="604" spans="1:80" x14ac:dyDescent="0.25">
      <c r="A604" s="35">
        <v>46196</v>
      </c>
      <c r="B604" s="36">
        <v>12</v>
      </c>
      <c r="C604" t="s">
        <v>113</v>
      </c>
      <c r="D604" t="s">
        <v>6</v>
      </c>
      <c r="E604" t="s">
        <v>126</v>
      </c>
      <c r="F604" t="s">
        <v>133</v>
      </c>
      <c r="G604">
        <v>4768</v>
      </c>
      <c r="H604">
        <v>2140110605</v>
      </c>
      <c r="I604" t="s">
        <v>140</v>
      </c>
      <c r="J604" s="37">
        <v>21750</v>
      </c>
      <c r="K604" s="37">
        <v>10</v>
      </c>
      <c r="M604">
        <v>7423</v>
      </c>
      <c r="O604">
        <v>95</v>
      </c>
      <c r="P604">
        <v>32</v>
      </c>
      <c r="T604">
        <v>9</v>
      </c>
      <c r="V604" t="s">
        <v>120</v>
      </c>
      <c r="Y604" s="38">
        <v>0.29166666666666669</v>
      </c>
      <c r="Z604" s="38">
        <v>0.79166666666666663</v>
      </c>
      <c r="AA604" t="s">
        <v>117</v>
      </c>
      <c r="AC604" t="s">
        <v>118</v>
      </c>
      <c r="AK604">
        <v>0.33329999999999999</v>
      </c>
      <c r="AQ604">
        <v>0.25</v>
      </c>
      <c r="AR604">
        <v>0.75</v>
      </c>
      <c r="BI604">
        <v>0.5</v>
      </c>
      <c r="BK604">
        <f>0</f>
        <v>0</v>
      </c>
      <c r="BL604">
        <f t="shared" si="135"/>
        <v>1.8332999999999999</v>
      </c>
      <c r="BM604">
        <f t="shared" si="136"/>
        <v>0</v>
      </c>
      <c r="BN604">
        <f t="shared" si="137"/>
        <v>0</v>
      </c>
      <c r="BO604">
        <f t="shared" si="138"/>
        <v>1</v>
      </c>
      <c r="BP604" s="37">
        <f>IF($F604="","",IFERROR(INDEX(Familias!$C$5:$C$300,MATCH($F604,Familias!$A$5:$A$300,0)),""))</f>
        <v>2320</v>
      </c>
      <c r="BQ604" s="37">
        <f t="shared" si="139"/>
        <v>21760</v>
      </c>
      <c r="BR604" s="36">
        <f t="shared" si="140"/>
        <v>12</v>
      </c>
      <c r="BS604" s="36">
        <f t="shared" si="141"/>
        <v>1.8332999999999999</v>
      </c>
      <c r="BT604" s="36">
        <f t="shared" si="142"/>
        <v>10.166700000000001</v>
      </c>
      <c r="BU604" s="36">
        <f t="shared" si="143"/>
        <v>9.3793000000000006</v>
      </c>
      <c r="BV604" s="39">
        <f t="shared" si="144"/>
        <v>0.92255107360303734</v>
      </c>
      <c r="BW604" s="39">
        <f t="shared" si="145"/>
        <v>0.99954044117647056</v>
      </c>
      <c r="BX604" s="40">
        <f t="shared" si="146"/>
        <v>1.7108985585342854E-2</v>
      </c>
      <c r="BY604" s="40">
        <f t="shared" si="147"/>
        <v>0</v>
      </c>
      <c r="BZ604" t="str">
        <f t="shared" si="148"/>
        <v>OK</v>
      </c>
      <c r="CA604">
        <f t="shared" si="149"/>
        <v>1</v>
      </c>
    </row>
    <row r="605" spans="1:80" x14ac:dyDescent="0.25">
      <c r="A605" s="35">
        <v>46196</v>
      </c>
      <c r="B605" s="36">
        <v>12</v>
      </c>
      <c r="C605" t="s">
        <v>119</v>
      </c>
      <c r="D605" t="s">
        <v>6</v>
      </c>
      <c r="E605" t="s">
        <v>126</v>
      </c>
      <c r="F605" t="s">
        <v>133</v>
      </c>
      <c r="G605">
        <v>4768</v>
      </c>
      <c r="H605">
        <v>2140110605</v>
      </c>
      <c r="I605" t="s">
        <v>140</v>
      </c>
      <c r="J605" s="37">
        <v>21200</v>
      </c>
      <c r="K605" s="37">
        <v>15</v>
      </c>
      <c r="M605">
        <v>7287</v>
      </c>
      <c r="O605">
        <v>60</v>
      </c>
      <c r="P605">
        <v>32</v>
      </c>
      <c r="T605">
        <v>10</v>
      </c>
      <c r="V605" t="s">
        <v>116</v>
      </c>
      <c r="Y605" s="38">
        <v>0.79166666666666663</v>
      </c>
      <c r="Z605" s="38">
        <v>0.29166666666666669</v>
      </c>
      <c r="AA605" t="s">
        <v>117</v>
      </c>
      <c r="AC605" t="s">
        <v>118</v>
      </c>
      <c r="AQ605">
        <v>0.25</v>
      </c>
      <c r="AR605">
        <v>0.75</v>
      </c>
      <c r="BI605">
        <v>0.33329999999999999</v>
      </c>
      <c r="BK605">
        <f>0</f>
        <v>0</v>
      </c>
      <c r="BL605">
        <f t="shared" si="135"/>
        <v>1.3332999999999999</v>
      </c>
      <c r="BM605">
        <f t="shared" si="136"/>
        <v>0</v>
      </c>
      <c r="BN605">
        <f t="shared" si="137"/>
        <v>0</v>
      </c>
      <c r="BO605">
        <f t="shared" si="138"/>
        <v>1</v>
      </c>
      <c r="BP605" s="37">
        <f>IF($F605="","",IFERROR(INDEX(Familias!$C$5:$C$300,MATCH($F605,Familias!$A$5:$A$300,0)),""))</f>
        <v>2320</v>
      </c>
      <c r="BQ605" s="37">
        <f t="shared" si="139"/>
        <v>21215</v>
      </c>
      <c r="BR605" s="36">
        <f t="shared" si="140"/>
        <v>12</v>
      </c>
      <c r="BS605" s="36">
        <f t="shared" si="141"/>
        <v>1.3332999999999999</v>
      </c>
      <c r="BT605" s="36">
        <f t="shared" si="142"/>
        <v>10.666700000000001</v>
      </c>
      <c r="BU605" s="36">
        <f t="shared" si="143"/>
        <v>9.1443999999999992</v>
      </c>
      <c r="BV605" s="39">
        <f t="shared" si="144"/>
        <v>0.8572848209849343</v>
      </c>
      <c r="BW605" s="39">
        <f t="shared" si="145"/>
        <v>0.99929295309922228</v>
      </c>
      <c r="BX605" s="40">
        <f t="shared" si="146"/>
        <v>1.2625222999862769E-2</v>
      </c>
      <c r="BY605" s="40">
        <f t="shared" si="147"/>
        <v>0</v>
      </c>
      <c r="BZ605" t="str">
        <f t="shared" si="148"/>
        <v>OK</v>
      </c>
      <c r="CA605">
        <f t="shared" si="149"/>
        <v>1</v>
      </c>
    </row>
    <row r="606" spans="1:80" x14ac:dyDescent="0.25">
      <c r="A606" s="35">
        <v>46197</v>
      </c>
      <c r="B606" s="36">
        <v>7.0936000000000003</v>
      </c>
      <c r="C606" t="s">
        <v>113</v>
      </c>
      <c r="D606" t="s">
        <v>6</v>
      </c>
      <c r="E606" t="s">
        <v>126</v>
      </c>
      <c r="F606" t="s">
        <v>133</v>
      </c>
      <c r="G606">
        <v>4768</v>
      </c>
      <c r="H606">
        <v>2140110605</v>
      </c>
      <c r="I606" t="s">
        <v>140</v>
      </c>
      <c r="J606" s="37">
        <v>8625</v>
      </c>
      <c r="K606" s="37"/>
      <c r="M606">
        <v>2922</v>
      </c>
      <c r="O606">
        <v>40</v>
      </c>
      <c r="P606">
        <v>9</v>
      </c>
      <c r="T606">
        <v>3</v>
      </c>
      <c r="V606" t="s">
        <v>120</v>
      </c>
      <c r="Y606" s="38">
        <v>0.29166666666666669</v>
      </c>
      <c r="Z606" s="38">
        <v>0.58750000000000002</v>
      </c>
      <c r="AA606" t="s">
        <v>200</v>
      </c>
      <c r="AB606" t="s">
        <v>249</v>
      </c>
      <c r="AC606" t="s">
        <v>121</v>
      </c>
      <c r="AD606">
        <v>9.8500000000000004E-2</v>
      </c>
      <c r="AF606">
        <v>0.29559999999999997</v>
      </c>
      <c r="AG606">
        <v>0.59109999999999996</v>
      </c>
      <c r="AQ606">
        <v>0.29559999999999997</v>
      </c>
      <c r="AR606">
        <v>0.59109999999999996</v>
      </c>
      <c r="BA606">
        <v>1.0837000000000001</v>
      </c>
      <c r="BI606">
        <v>0.29559999999999997</v>
      </c>
      <c r="BJ606">
        <v>0.93600000000000005</v>
      </c>
      <c r="BK606">
        <f>0</f>
        <v>0</v>
      </c>
      <c r="BL606">
        <f t="shared" si="135"/>
        <v>3.1034999999999999</v>
      </c>
      <c r="BM606">
        <f t="shared" si="136"/>
        <v>1.0837000000000001</v>
      </c>
      <c r="BN606">
        <f t="shared" si="137"/>
        <v>0</v>
      </c>
      <c r="BO606">
        <f t="shared" si="138"/>
        <v>1</v>
      </c>
      <c r="BP606" s="37">
        <f>IF($F606="","",IFERROR(INDEX(Familias!$C$5:$C$300,MATCH($F606,Familias!$A$5:$A$300,0)),""))</f>
        <v>2320</v>
      </c>
      <c r="BQ606" s="37">
        <f t="shared" si="139"/>
        <v>8625</v>
      </c>
      <c r="BR606" s="36">
        <f t="shared" si="140"/>
        <v>7.0936000000000003</v>
      </c>
      <c r="BS606" s="36">
        <f t="shared" si="141"/>
        <v>4.1871999999999998</v>
      </c>
      <c r="BT606" s="36">
        <f t="shared" si="142"/>
        <v>2.9064000000000001</v>
      </c>
      <c r="BU606" s="36">
        <f t="shared" si="143"/>
        <v>3.7176999999999998</v>
      </c>
      <c r="BV606" s="39">
        <f t="shared" si="144"/>
        <v>1.2791425818882465</v>
      </c>
      <c r="BW606" s="39">
        <f t="shared" si="145"/>
        <v>1</v>
      </c>
      <c r="BX606" s="40">
        <f t="shared" si="146"/>
        <v>1.676933607118412E-2</v>
      </c>
      <c r="BY606" s="40">
        <f t="shared" si="147"/>
        <v>0</v>
      </c>
      <c r="BZ606" t="str">
        <f t="shared" si="148"/>
        <v>Paradas no digitadas</v>
      </c>
      <c r="CA606">
        <f t="shared" si="149"/>
        <v>0</v>
      </c>
    </row>
    <row r="607" spans="1:80" x14ac:dyDescent="0.25">
      <c r="A607" s="35">
        <v>46197</v>
      </c>
      <c r="B607" s="36">
        <v>4.9063999999999997</v>
      </c>
      <c r="C607" t="s">
        <v>113</v>
      </c>
      <c r="D607" t="s">
        <v>6</v>
      </c>
      <c r="E607" t="s">
        <v>126</v>
      </c>
      <c r="F607" t="s">
        <v>127</v>
      </c>
      <c r="G607">
        <v>4832</v>
      </c>
      <c r="H607">
        <v>2140110675</v>
      </c>
      <c r="I607" t="s">
        <v>131</v>
      </c>
      <c r="J607" s="37">
        <v>6275</v>
      </c>
      <c r="K607" s="37">
        <v>25</v>
      </c>
      <c r="M607">
        <v>2396</v>
      </c>
      <c r="O607">
        <v>30</v>
      </c>
      <c r="P607">
        <v>21</v>
      </c>
      <c r="R607">
        <v>41</v>
      </c>
      <c r="T607">
        <v>3</v>
      </c>
      <c r="V607" t="s">
        <v>120</v>
      </c>
      <c r="Y607" s="38">
        <v>0.58750000000000002</v>
      </c>
      <c r="Z607" s="38">
        <v>0.79166666666666663</v>
      </c>
      <c r="AA607" t="s">
        <v>200</v>
      </c>
      <c r="AC607" t="s">
        <v>121</v>
      </c>
      <c r="AD607">
        <v>6.8099999999999994E-2</v>
      </c>
      <c r="AF607">
        <v>0.2044</v>
      </c>
      <c r="AG607">
        <v>0.40889999999999999</v>
      </c>
      <c r="AQ607">
        <v>0.2044</v>
      </c>
      <c r="AR607">
        <v>0.40889999999999999</v>
      </c>
      <c r="BA607">
        <v>0.74960000000000004</v>
      </c>
      <c r="BI607">
        <v>0.2044</v>
      </c>
      <c r="BJ607">
        <v>0.64739999999999998</v>
      </c>
      <c r="BK607">
        <f>0</f>
        <v>0</v>
      </c>
      <c r="BL607">
        <f t="shared" si="135"/>
        <v>2.1464999999999996</v>
      </c>
      <c r="BM607">
        <f t="shared" si="136"/>
        <v>0.74960000000000004</v>
      </c>
      <c r="BN607">
        <f t="shared" si="137"/>
        <v>0</v>
      </c>
      <c r="BO607">
        <f t="shared" si="138"/>
        <v>1</v>
      </c>
      <c r="BP607" s="37">
        <f>IF($F607="","",IFERROR(INDEX(Familias!$C$5:$C$300,MATCH($F607,Familias!$A$5:$A$300,0)),""))</f>
        <v>2450</v>
      </c>
      <c r="BQ607" s="37">
        <f t="shared" si="139"/>
        <v>6300</v>
      </c>
      <c r="BR607" s="36">
        <f t="shared" si="140"/>
        <v>4.9063999999999997</v>
      </c>
      <c r="BS607" s="36">
        <f t="shared" si="141"/>
        <v>2.8961000000000001</v>
      </c>
      <c r="BT607" s="36">
        <f t="shared" si="142"/>
        <v>2.0103</v>
      </c>
      <c r="BU607" s="36">
        <f t="shared" si="143"/>
        <v>2.5714000000000001</v>
      </c>
      <c r="BV607" s="39">
        <f t="shared" si="144"/>
        <v>1.279112570263145</v>
      </c>
      <c r="BW607" s="39">
        <f t="shared" si="145"/>
        <v>0.99603174603174605</v>
      </c>
      <c r="BX607" s="40">
        <f t="shared" si="146"/>
        <v>3.8397328881469114E-2</v>
      </c>
      <c r="BY607" s="40">
        <f t="shared" si="147"/>
        <v>0</v>
      </c>
      <c r="BZ607" t="str">
        <f t="shared" si="148"/>
        <v>Paradas no digitadas</v>
      </c>
      <c r="CA607">
        <f t="shared" si="149"/>
        <v>0</v>
      </c>
    </row>
    <row r="608" spans="1:80" x14ac:dyDescent="0.25">
      <c r="A608" s="35">
        <v>46197</v>
      </c>
      <c r="B608" s="36">
        <v>12</v>
      </c>
      <c r="C608" t="s">
        <v>119</v>
      </c>
      <c r="D608" t="s">
        <v>6</v>
      </c>
      <c r="E608" t="s">
        <v>126</v>
      </c>
      <c r="F608" t="s">
        <v>127</v>
      </c>
      <c r="G608">
        <v>4832</v>
      </c>
      <c r="H608">
        <v>2140110675</v>
      </c>
      <c r="I608" t="s">
        <v>131</v>
      </c>
      <c r="J608" s="37">
        <v>18075</v>
      </c>
      <c r="K608" s="37">
        <v>25</v>
      </c>
      <c r="P608">
        <v>30</v>
      </c>
      <c r="Q608">
        <v>52</v>
      </c>
      <c r="V608" t="s">
        <v>116</v>
      </c>
      <c r="Y608" s="38">
        <v>0.79166666666666663</v>
      </c>
      <c r="Z608" s="38">
        <v>0.29166666666666669</v>
      </c>
      <c r="AA608" t="s">
        <v>117</v>
      </c>
      <c r="AC608" t="s">
        <v>118</v>
      </c>
      <c r="AL608">
        <v>0.66669999999999996</v>
      </c>
      <c r="AO608">
        <v>0.25</v>
      </c>
      <c r="AQ608">
        <v>0.25</v>
      </c>
      <c r="AR608">
        <v>0.75</v>
      </c>
      <c r="BB608">
        <v>2.75</v>
      </c>
      <c r="BI608">
        <v>0.33329999999999999</v>
      </c>
      <c r="BK608">
        <f>0</f>
        <v>0</v>
      </c>
      <c r="BL608">
        <f t="shared" si="135"/>
        <v>2.25</v>
      </c>
      <c r="BM608">
        <f t="shared" si="136"/>
        <v>2.75</v>
      </c>
      <c r="BN608">
        <f t="shared" si="137"/>
        <v>0</v>
      </c>
      <c r="BO608">
        <f t="shared" si="138"/>
        <v>1</v>
      </c>
      <c r="BP608" s="37">
        <f>IF($F608="","",IFERROR(INDEX(Familias!$C$5:$C$300,MATCH($F608,Familias!$A$5:$A$300,0)),""))</f>
        <v>2450</v>
      </c>
      <c r="BQ608" s="37">
        <f t="shared" si="139"/>
        <v>18100</v>
      </c>
      <c r="BR608" s="36">
        <f t="shared" si="140"/>
        <v>12</v>
      </c>
      <c r="BS608" s="36">
        <f t="shared" si="141"/>
        <v>5</v>
      </c>
      <c r="BT608" s="36">
        <f t="shared" si="142"/>
        <v>7</v>
      </c>
      <c r="BU608" s="36">
        <f t="shared" si="143"/>
        <v>7.3878000000000004</v>
      </c>
      <c r="BV608" s="39">
        <f t="shared" si="144"/>
        <v>1.0554000000000001</v>
      </c>
      <c r="BW608" s="39">
        <f t="shared" si="145"/>
        <v>0.99861878453038677</v>
      </c>
      <c r="BX608" s="40" t="str">
        <f t="shared" si="146"/>
        <v/>
      </c>
      <c r="BY608" s="40" t="str">
        <f t="shared" si="147"/>
        <v/>
      </c>
      <c r="BZ608" t="str">
        <f t="shared" si="148"/>
        <v>OK</v>
      </c>
      <c r="CA608">
        <f t="shared" si="149"/>
        <v>1</v>
      </c>
    </row>
    <row r="609" spans="1:80" x14ac:dyDescent="0.25">
      <c r="A609" s="35">
        <v>46198</v>
      </c>
      <c r="B609" s="36">
        <v>12</v>
      </c>
      <c r="C609" t="s">
        <v>113</v>
      </c>
      <c r="D609" t="s">
        <v>6</v>
      </c>
      <c r="J609" s="37"/>
      <c r="K609" s="37"/>
      <c r="V609" t="s">
        <v>116</v>
      </c>
      <c r="Y609" s="38">
        <v>0.29166666666666669</v>
      </c>
      <c r="Z609" s="38">
        <v>0.79166666666666663</v>
      </c>
      <c r="AA609" t="s">
        <v>117</v>
      </c>
      <c r="AC609" t="s">
        <v>118</v>
      </c>
      <c r="AD609">
        <v>0.16669999999999999</v>
      </c>
      <c r="AQ609">
        <v>0.25</v>
      </c>
      <c r="AR609">
        <v>0.75</v>
      </c>
      <c r="BK609">
        <f>0</f>
        <v>0</v>
      </c>
      <c r="BL609">
        <f t="shared" si="135"/>
        <v>1.1667000000000001</v>
      </c>
      <c r="BM609">
        <f t="shared" si="136"/>
        <v>0</v>
      </c>
      <c r="BN609">
        <f t="shared" si="137"/>
        <v>0</v>
      </c>
      <c r="BO609">
        <f t="shared" si="138"/>
        <v>1</v>
      </c>
      <c r="BP609" s="37" t="str">
        <f>IF($F609="","",IFERROR(INDEX(Familias!$C$5:$C$300,MATCH($F609,Familias!$A$5:$A$300,0)),""))</f>
        <v/>
      </c>
      <c r="BQ609" s="37" t="str">
        <f t="shared" si="139"/>
        <v/>
      </c>
      <c r="BR609" s="36">
        <f t="shared" si="140"/>
        <v>12</v>
      </c>
      <c r="BS609" s="36">
        <f t="shared" si="141"/>
        <v>1.1667000000000001</v>
      </c>
      <c r="BT609" s="36">
        <f t="shared" si="142"/>
        <v>10.833299999999999</v>
      </c>
      <c r="BU609" s="36" t="str">
        <f t="shared" si="143"/>
        <v/>
      </c>
      <c r="BV609" s="39" t="str">
        <f t="shared" si="144"/>
        <v/>
      </c>
      <c r="BW609" s="39" t="str">
        <f t="shared" si="145"/>
        <v/>
      </c>
      <c r="BX609" s="40" t="str">
        <f t="shared" si="146"/>
        <v/>
      </c>
      <c r="BY609" s="40" t="str">
        <f t="shared" si="147"/>
        <v/>
      </c>
      <c r="BZ609" t="str">
        <f t="shared" si="148"/>
        <v>Sin producción</v>
      </c>
      <c r="CA609">
        <f t="shared" si="149"/>
        <v>0</v>
      </c>
    </row>
    <row r="610" spans="1:80" x14ac:dyDescent="0.25">
      <c r="A610" s="35">
        <v>46199</v>
      </c>
      <c r="B610" s="36">
        <v>0.98209999999999997</v>
      </c>
      <c r="C610" t="s">
        <v>113</v>
      </c>
      <c r="D610" t="s">
        <v>6</v>
      </c>
      <c r="E610" t="s">
        <v>126</v>
      </c>
      <c r="F610" t="s">
        <v>127</v>
      </c>
      <c r="G610">
        <v>4832</v>
      </c>
      <c r="H610">
        <v>2140110675</v>
      </c>
      <c r="I610" t="s">
        <v>131</v>
      </c>
      <c r="J610" s="37">
        <v>1350</v>
      </c>
      <c r="K610" s="37"/>
      <c r="M610">
        <v>1033</v>
      </c>
      <c r="O610">
        <v>12</v>
      </c>
      <c r="P610">
        <v>3</v>
      </c>
      <c r="T610">
        <v>1</v>
      </c>
      <c r="V610" t="s">
        <v>120</v>
      </c>
      <c r="Y610" s="38">
        <v>0.29166666666666669</v>
      </c>
      <c r="Z610" s="38">
        <v>0.33263888888888887</v>
      </c>
      <c r="AA610" t="s">
        <v>117</v>
      </c>
      <c r="AC610" t="s">
        <v>121</v>
      </c>
      <c r="AF610">
        <v>0.21820000000000001</v>
      </c>
      <c r="AG610">
        <v>6.8199999999999997E-2</v>
      </c>
      <c r="AQ610">
        <v>2.0500000000000001E-2</v>
      </c>
      <c r="AR610">
        <v>6.1400000000000003E-2</v>
      </c>
      <c r="BI610">
        <v>2.0500000000000001E-2</v>
      </c>
      <c r="BK610">
        <f>0</f>
        <v>0</v>
      </c>
      <c r="BL610">
        <f t="shared" si="135"/>
        <v>0.38880000000000003</v>
      </c>
      <c r="BM610">
        <f t="shared" si="136"/>
        <v>0</v>
      </c>
      <c r="BN610">
        <f t="shared" si="137"/>
        <v>0</v>
      </c>
      <c r="BO610">
        <f t="shared" si="138"/>
        <v>1</v>
      </c>
      <c r="BP610" s="37">
        <f>IF($F610="","",IFERROR(INDEX(Familias!$C$5:$C$300,MATCH($F610,Familias!$A$5:$A$300,0)),""))</f>
        <v>2450</v>
      </c>
      <c r="BQ610" s="37">
        <f t="shared" si="139"/>
        <v>1350</v>
      </c>
      <c r="BR610" s="36">
        <f t="shared" si="140"/>
        <v>0.98209999999999997</v>
      </c>
      <c r="BS610" s="36">
        <f t="shared" si="141"/>
        <v>0.38879999999999998</v>
      </c>
      <c r="BT610" s="36">
        <f t="shared" si="142"/>
        <v>0.59330000000000005</v>
      </c>
      <c r="BU610" s="36">
        <f t="shared" si="143"/>
        <v>0.55100000000000005</v>
      </c>
      <c r="BV610" s="39">
        <f t="shared" si="144"/>
        <v>0.92870385976740266</v>
      </c>
      <c r="BW610" s="39">
        <f t="shared" si="145"/>
        <v>1</v>
      </c>
      <c r="BX610" s="40">
        <f t="shared" si="146"/>
        <v>1.452081316553727E-2</v>
      </c>
      <c r="BY610" s="40">
        <f t="shared" si="147"/>
        <v>0</v>
      </c>
      <c r="BZ610" t="str">
        <f t="shared" si="148"/>
        <v>OK</v>
      </c>
      <c r="CA610">
        <f t="shared" si="149"/>
        <v>1</v>
      </c>
    </row>
    <row r="611" spans="1:80" x14ac:dyDescent="0.25">
      <c r="A611" s="35">
        <v>46199</v>
      </c>
      <c r="B611" s="36">
        <v>11.017899999999999</v>
      </c>
      <c r="C611" t="s">
        <v>113</v>
      </c>
      <c r="D611" t="s">
        <v>6</v>
      </c>
      <c r="E611" t="s">
        <v>147</v>
      </c>
      <c r="F611" t="s">
        <v>147</v>
      </c>
      <c r="G611">
        <v>4901</v>
      </c>
      <c r="H611">
        <v>2140110663</v>
      </c>
      <c r="I611" t="s">
        <v>148</v>
      </c>
      <c r="J611" s="37">
        <v>14075</v>
      </c>
      <c r="K611" s="37">
        <v>20</v>
      </c>
      <c r="M611">
        <v>4198</v>
      </c>
      <c r="O611">
        <v>50</v>
      </c>
      <c r="P611">
        <v>21</v>
      </c>
      <c r="Q611">
        <v>32</v>
      </c>
      <c r="R611">
        <v>40</v>
      </c>
      <c r="T611">
        <v>7</v>
      </c>
      <c r="V611" t="s">
        <v>120</v>
      </c>
      <c r="Y611" s="38">
        <v>0.33263888888888887</v>
      </c>
      <c r="Z611" s="38">
        <v>0.79166666666666663</v>
      </c>
      <c r="AA611" t="s">
        <v>117</v>
      </c>
      <c r="AC611" t="s">
        <v>121</v>
      </c>
      <c r="AF611">
        <v>2.4483999999999999</v>
      </c>
      <c r="AG611">
        <v>0.7651</v>
      </c>
      <c r="AQ611">
        <v>0.22950000000000001</v>
      </c>
      <c r="AR611">
        <v>0.68859999999999999</v>
      </c>
      <c r="BI611">
        <v>0.22950000000000001</v>
      </c>
      <c r="BK611">
        <f>0</f>
        <v>0</v>
      </c>
      <c r="BL611">
        <f t="shared" si="135"/>
        <v>4.3610999999999995</v>
      </c>
      <c r="BM611">
        <f t="shared" si="136"/>
        <v>0</v>
      </c>
      <c r="BN611">
        <f t="shared" si="137"/>
        <v>0</v>
      </c>
      <c r="BO611">
        <f t="shared" si="138"/>
        <v>1</v>
      </c>
      <c r="BP611" s="37">
        <f>IF($F611="","",IFERROR(INDEX(Familias!$C$5:$C$300,MATCH($F611,Familias!$A$5:$A$300,0)),""))</f>
        <v>2280</v>
      </c>
      <c r="BQ611" s="37">
        <f t="shared" si="139"/>
        <v>14095</v>
      </c>
      <c r="BR611" s="36">
        <f t="shared" si="140"/>
        <v>11.017899999999999</v>
      </c>
      <c r="BS611" s="36">
        <f t="shared" si="141"/>
        <v>4.3611000000000004</v>
      </c>
      <c r="BT611" s="36">
        <f t="shared" si="142"/>
        <v>6.6567999999999996</v>
      </c>
      <c r="BU611" s="36">
        <f t="shared" si="143"/>
        <v>6.1820000000000004</v>
      </c>
      <c r="BV611" s="39">
        <f t="shared" si="144"/>
        <v>0.92867443816848949</v>
      </c>
      <c r="BW611" s="39">
        <f t="shared" si="145"/>
        <v>0.99858105711245126</v>
      </c>
      <c r="BX611" s="40">
        <f t="shared" si="146"/>
        <v>2.6441162458313482E-2</v>
      </c>
      <c r="BY611" s="40">
        <f t="shared" si="147"/>
        <v>7.6226774654597424E-3</v>
      </c>
      <c r="BZ611" t="str">
        <f t="shared" si="148"/>
        <v>OK</v>
      </c>
      <c r="CA611">
        <f t="shared" si="149"/>
        <v>1</v>
      </c>
    </row>
    <row r="612" spans="1:80" x14ac:dyDescent="0.25">
      <c r="A612" s="35">
        <v>46199</v>
      </c>
      <c r="B612" s="36">
        <v>12</v>
      </c>
      <c r="C612" t="s">
        <v>119</v>
      </c>
      <c r="D612" t="s">
        <v>6</v>
      </c>
      <c r="E612" t="s">
        <v>147</v>
      </c>
      <c r="F612" t="s">
        <v>147</v>
      </c>
      <c r="G612">
        <v>4901</v>
      </c>
      <c r="H612">
        <v>2140110663</v>
      </c>
      <c r="I612" t="s">
        <v>148</v>
      </c>
      <c r="J612" s="37">
        <v>21050</v>
      </c>
      <c r="K612" s="37">
        <v>10</v>
      </c>
      <c r="M612">
        <v>6027</v>
      </c>
      <c r="O612">
        <v>50</v>
      </c>
      <c r="T612">
        <v>11</v>
      </c>
      <c r="V612" t="s">
        <v>116</v>
      </c>
      <c r="Y612" s="38">
        <v>0.79166666666666663</v>
      </c>
      <c r="Z612" s="38">
        <v>0.29166666666666669</v>
      </c>
      <c r="AA612" t="s">
        <v>117</v>
      </c>
      <c r="AC612" t="s">
        <v>118</v>
      </c>
      <c r="AJ612">
        <v>0.41670000000000001</v>
      </c>
      <c r="AQ612">
        <v>0.25</v>
      </c>
      <c r="AR612">
        <v>0.75</v>
      </c>
      <c r="BI612">
        <v>0.33329999999999999</v>
      </c>
      <c r="BK612">
        <f>0</f>
        <v>0</v>
      </c>
      <c r="BL612">
        <f t="shared" si="135"/>
        <v>1.75</v>
      </c>
      <c r="BM612">
        <f t="shared" si="136"/>
        <v>0</v>
      </c>
      <c r="BN612">
        <f t="shared" si="137"/>
        <v>0</v>
      </c>
      <c r="BO612">
        <f t="shared" si="138"/>
        <v>1</v>
      </c>
      <c r="BP612" s="37">
        <f>IF($F612="","",IFERROR(INDEX(Familias!$C$5:$C$300,MATCH($F612,Familias!$A$5:$A$300,0)),""))</f>
        <v>2280</v>
      </c>
      <c r="BQ612" s="37">
        <f t="shared" si="139"/>
        <v>21060</v>
      </c>
      <c r="BR612" s="36">
        <f t="shared" si="140"/>
        <v>12</v>
      </c>
      <c r="BS612" s="36">
        <f t="shared" si="141"/>
        <v>1.75</v>
      </c>
      <c r="BT612" s="36">
        <f t="shared" si="142"/>
        <v>10.25</v>
      </c>
      <c r="BU612" s="36">
        <f t="shared" si="143"/>
        <v>9.2368000000000006</v>
      </c>
      <c r="BV612" s="39">
        <f t="shared" si="144"/>
        <v>0.90115121951219512</v>
      </c>
      <c r="BW612" s="39">
        <f t="shared" si="145"/>
        <v>0.99952516619183285</v>
      </c>
      <c r="BX612" s="40">
        <f t="shared" si="146"/>
        <v>8.2960013273602126E-3</v>
      </c>
      <c r="BY612" s="40">
        <f t="shared" si="147"/>
        <v>0</v>
      </c>
      <c r="BZ612" t="str">
        <f t="shared" si="148"/>
        <v>OK</v>
      </c>
      <c r="CA612">
        <f t="shared" si="149"/>
        <v>1</v>
      </c>
    </row>
    <row r="613" spans="1:80" x14ac:dyDescent="0.25">
      <c r="A613" s="35">
        <v>46200</v>
      </c>
      <c r="B613" s="36">
        <v>12</v>
      </c>
      <c r="C613" t="s">
        <v>113</v>
      </c>
      <c r="D613" t="s">
        <v>6</v>
      </c>
      <c r="E613" t="s">
        <v>147</v>
      </c>
      <c r="F613" t="s">
        <v>147</v>
      </c>
      <c r="G613">
        <v>4901</v>
      </c>
      <c r="H613">
        <v>2140110663</v>
      </c>
      <c r="I613" t="s">
        <v>148</v>
      </c>
      <c r="J613" s="37">
        <v>20775</v>
      </c>
      <c r="K613" s="37">
        <v>20</v>
      </c>
      <c r="M613">
        <v>6038</v>
      </c>
      <c r="O613">
        <v>33</v>
      </c>
      <c r="P613">
        <v>71</v>
      </c>
      <c r="V613" t="s">
        <v>120</v>
      </c>
      <c r="Y613" s="38">
        <v>0.29166666666666669</v>
      </c>
      <c r="Z613" s="38">
        <v>0.79166666666666663</v>
      </c>
      <c r="AA613" t="s">
        <v>117</v>
      </c>
      <c r="AC613" t="s">
        <v>118</v>
      </c>
      <c r="AQ613">
        <v>0.25</v>
      </c>
      <c r="AR613">
        <v>0.75</v>
      </c>
      <c r="BI613">
        <v>0.25</v>
      </c>
      <c r="BK613">
        <f>0</f>
        <v>0</v>
      </c>
      <c r="BL613">
        <f t="shared" si="135"/>
        <v>1.25</v>
      </c>
      <c r="BM613">
        <f t="shared" si="136"/>
        <v>0</v>
      </c>
      <c r="BN613">
        <f t="shared" si="137"/>
        <v>0</v>
      </c>
      <c r="BO613">
        <f t="shared" si="138"/>
        <v>1</v>
      </c>
      <c r="BP613" s="37">
        <f>IF($F613="","",IFERROR(INDEX(Familias!$C$5:$C$300,MATCH($F613,Familias!$A$5:$A$300,0)),""))</f>
        <v>2280</v>
      </c>
      <c r="BQ613" s="37">
        <f t="shared" si="139"/>
        <v>20795</v>
      </c>
      <c r="BR613" s="36">
        <f t="shared" si="140"/>
        <v>12</v>
      </c>
      <c r="BS613" s="36">
        <f t="shared" si="141"/>
        <v>1.25</v>
      </c>
      <c r="BT613" s="36">
        <f t="shared" si="142"/>
        <v>10.75</v>
      </c>
      <c r="BU613" s="36">
        <f t="shared" si="143"/>
        <v>9.1205999999999996</v>
      </c>
      <c r="BV613" s="39">
        <f t="shared" si="144"/>
        <v>0.84842790697674419</v>
      </c>
      <c r="BW613" s="39">
        <f t="shared" si="145"/>
        <v>0.99903823034383266</v>
      </c>
      <c r="BX613" s="40">
        <f t="shared" si="146"/>
        <v>1.7224246439218285E-2</v>
      </c>
      <c r="BY613" s="40">
        <f t="shared" si="147"/>
        <v>0</v>
      </c>
      <c r="BZ613" t="str">
        <f t="shared" si="148"/>
        <v>OK</v>
      </c>
      <c r="CA613">
        <f t="shared" si="149"/>
        <v>1</v>
      </c>
    </row>
    <row r="614" spans="1:80" x14ac:dyDescent="0.25">
      <c r="A614" s="35">
        <v>46200</v>
      </c>
      <c r="B614" s="36">
        <v>12</v>
      </c>
      <c r="C614" t="s">
        <v>119</v>
      </c>
      <c r="D614" t="s">
        <v>6</v>
      </c>
      <c r="E614" t="s">
        <v>147</v>
      </c>
      <c r="F614" t="s">
        <v>147</v>
      </c>
      <c r="G614">
        <v>4901</v>
      </c>
      <c r="H614">
        <v>2140110663</v>
      </c>
      <c r="I614" t="s">
        <v>148</v>
      </c>
      <c r="J614" s="37">
        <v>17250</v>
      </c>
      <c r="K614" s="37">
        <v>10</v>
      </c>
      <c r="M614">
        <v>4932</v>
      </c>
      <c r="O614">
        <v>43</v>
      </c>
      <c r="T614">
        <v>9</v>
      </c>
      <c r="V614" t="s">
        <v>116</v>
      </c>
      <c r="Y614" s="38">
        <v>0.79166666666666663</v>
      </c>
      <c r="Z614" s="38">
        <v>0.29166666666666669</v>
      </c>
      <c r="AA614" t="s">
        <v>117</v>
      </c>
      <c r="AC614" t="s">
        <v>118</v>
      </c>
      <c r="AQ614">
        <v>2</v>
      </c>
      <c r="AR614">
        <v>0.75</v>
      </c>
      <c r="BI614">
        <v>0.33329999999999999</v>
      </c>
      <c r="BK614">
        <f>0</f>
        <v>0</v>
      </c>
      <c r="BL614">
        <f t="shared" si="135"/>
        <v>3.0832999999999999</v>
      </c>
      <c r="BM614">
        <f t="shared" si="136"/>
        <v>0</v>
      </c>
      <c r="BN614">
        <f t="shared" si="137"/>
        <v>0</v>
      </c>
      <c r="BO614">
        <f t="shared" si="138"/>
        <v>1</v>
      </c>
      <c r="BP614" s="37">
        <f>IF($F614="","",IFERROR(INDEX(Familias!$C$5:$C$300,MATCH($F614,Familias!$A$5:$A$300,0)),""))</f>
        <v>2280</v>
      </c>
      <c r="BQ614" s="37">
        <f t="shared" si="139"/>
        <v>17260</v>
      </c>
      <c r="BR614" s="36">
        <f t="shared" si="140"/>
        <v>12</v>
      </c>
      <c r="BS614" s="36">
        <f t="shared" si="141"/>
        <v>3.0832999999999999</v>
      </c>
      <c r="BT614" s="36">
        <f t="shared" si="142"/>
        <v>8.9167000000000005</v>
      </c>
      <c r="BU614" s="36">
        <f t="shared" si="143"/>
        <v>7.5701999999999998</v>
      </c>
      <c r="BV614" s="39">
        <f t="shared" si="144"/>
        <v>0.84899121872441596</v>
      </c>
      <c r="BW614" s="39">
        <f t="shared" si="145"/>
        <v>0.99942062572421786</v>
      </c>
      <c r="BX614" s="40">
        <f t="shared" si="146"/>
        <v>8.7185725871857262E-3</v>
      </c>
      <c r="BY614" s="40">
        <f t="shared" si="147"/>
        <v>0</v>
      </c>
      <c r="BZ614" t="str">
        <f t="shared" si="148"/>
        <v>OK</v>
      </c>
      <c r="CA614">
        <f t="shared" si="149"/>
        <v>1</v>
      </c>
    </row>
    <row r="615" spans="1:80" x14ac:dyDescent="0.25">
      <c r="A615" s="35">
        <v>46203</v>
      </c>
      <c r="B615" s="36">
        <v>12</v>
      </c>
      <c r="C615" t="s">
        <v>113</v>
      </c>
      <c r="D615" t="s">
        <v>6</v>
      </c>
      <c r="E615" t="s">
        <v>147</v>
      </c>
      <c r="F615" t="s">
        <v>147</v>
      </c>
      <c r="G615">
        <v>4901</v>
      </c>
      <c r="H615">
        <v>2140110663</v>
      </c>
      <c r="I615" t="s">
        <v>148</v>
      </c>
      <c r="J615" s="37">
        <v>19900</v>
      </c>
      <c r="K615" s="37">
        <v>20</v>
      </c>
      <c r="M615">
        <v>5927</v>
      </c>
      <c r="O615">
        <v>65</v>
      </c>
      <c r="P615">
        <v>39</v>
      </c>
      <c r="Q615">
        <v>63</v>
      </c>
      <c r="T615">
        <v>11</v>
      </c>
      <c r="V615" t="s">
        <v>116</v>
      </c>
      <c r="Y615" s="38">
        <v>0.29166666666666669</v>
      </c>
      <c r="Z615" s="38">
        <v>0.79166666666666663</v>
      </c>
      <c r="AA615" t="s">
        <v>117</v>
      </c>
      <c r="AC615" t="s">
        <v>118</v>
      </c>
      <c r="AQ615">
        <v>0.25</v>
      </c>
      <c r="AR615">
        <v>0.75</v>
      </c>
      <c r="BI615">
        <v>1</v>
      </c>
      <c r="BJ615">
        <v>1</v>
      </c>
      <c r="BK615">
        <f>0</f>
        <v>0</v>
      </c>
      <c r="BL615">
        <f t="shared" si="135"/>
        <v>3</v>
      </c>
      <c r="BM615">
        <f t="shared" si="136"/>
        <v>0</v>
      </c>
      <c r="BN615">
        <f t="shared" si="137"/>
        <v>0</v>
      </c>
      <c r="BO615">
        <f t="shared" si="138"/>
        <v>1</v>
      </c>
      <c r="BP615" s="37">
        <f>IF($F615="","",IFERROR(INDEX(Familias!$C$5:$C$300,MATCH($F615,Familias!$A$5:$A$300,0)),""))</f>
        <v>2280</v>
      </c>
      <c r="BQ615" s="37">
        <f t="shared" si="139"/>
        <v>19920</v>
      </c>
      <c r="BR615" s="36">
        <f t="shared" si="140"/>
        <v>12</v>
      </c>
      <c r="BS615" s="36">
        <f t="shared" si="141"/>
        <v>3</v>
      </c>
      <c r="BT615" s="36">
        <f t="shared" si="142"/>
        <v>9</v>
      </c>
      <c r="BU615" s="36">
        <f t="shared" si="143"/>
        <v>8.7368000000000006</v>
      </c>
      <c r="BV615" s="39">
        <f t="shared" si="144"/>
        <v>0.97075555555555559</v>
      </c>
      <c r="BW615" s="39">
        <f t="shared" si="145"/>
        <v>0.99899598393574296</v>
      </c>
      <c r="BX615" s="40">
        <f t="shared" si="146"/>
        <v>1.754681963894044E-2</v>
      </c>
      <c r="BY615" s="40">
        <f t="shared" si="147"/>
        <v>1.0629323435127383E-2</v>
      </c>
      <c r="BZ615" t="str">
        <f t="shared" si="148"/>
        <v>OK</v>
      </c>
      <c r="CA615">
        <f t="shared" si="149"/>
        <v>1</v>
      </c>
    </row>
    <row r="616" spans="1:80" x14ac:dyDescent="0.25">
      <c r="A616" s="35">
        <v>46203</v>
      </c>
      <c r="B616" s="36">
        <v>12</v>
      </c>
      <c r="C616" t="s">
        <v>119</v>
      </c>
      <c r="D616" t="s">
        <v>6</v>
      </c>
      <c r="E616" t="s">
        <v>147</v>
      </c>
      <c r="F616" t="s">
        <v>147</v>
      </c>
      <c r="G616">
        <v>4901</v>
      </c>
      <c r="H616">
        <v>2140110663</v>
      </c>
      <c r="I616" t="s">
        <v>148</v>
      </c>
      <c r="J616" s="37">
        <v>21325</v>
      </c>
      <c r="K616" s="37">
        <v>24</v>
      </c>
      <c r="M616">
        <v>6223</v>
      </c>
      <c r="O616">
        <v>90</v>
      </c>
      <c r="P616">
        <v>33</v>
      </c>
      <c r="Q616">
        <v>38</v>
      </c>
      <c r="V616" t="s">
        <v>120</v>
      </c>
      <c r="Y616" s="38">
        <v>0.79166666666666663</v>
      </c>
      <c r="Z616" s="38">
        <v>0.29166666666666669</v>
      </c>
      <c r="AA616" t="s">
        <v>117</v>
      </c>
      <c r="AC616" t="s">
        <v>118</v>
      </c>
      <c r="AQ616">
        <v>0.5</v>
      </c>
      <c r="AR616">
        <v>0.75</v>
      </c>
      <c r="BI616">
        <v>0.33329999999999999</v>
      </c>
      <c r="BK616">
        <f>0</f>
        <v>0</v>
      </c>
      <c r="BL616">
        <f t="shared" si="135"/>
        <v>1.5832999999999999</v>
      </c>
      <c r="BM616">
        <f t="shared" si="136"/>
        <v>0</v>
      </c>
      <c r="BN616">
        <f t="shared" si="137"/>
        <v>0</v>
      </c>
      <c r="BO616">
        <f t="shared" si="138"/>
        <v>1</v>
      </c>
      <c r="BP616" s="37">
        <f>IF($F616="","",IFERROR(INDEX(Familias!$C$5:$C$300,MATCH($F616,Familias!$A$5:$A$300,0)),""))</f>
        <v>2280</v>
      </c>
      <c r="BQ616" s="37">
        <f t="shared" si="139"/>
        <v>21349</v>
      </c>
      <c r="BR616" s="36">
        <f t="shared" si="140"/>
        <v>12</v>
      </c>
      <c r="BS616" s="36">
        <f t="shared" si="141"/>
        <v>1.5832999999999999</v>
      </c>
      <c r="BT616" s="36">
        <f t="shared" si="142"/>
        <v>10.416700000000001</v>
      </c>
      <c r="BU616" s="36">
        <f t="shared" si="143"/>
        <v>9.3635999999999999</v>
      </c>
      <c r="BV616" s="39">
        <f t="shared" si="144"/>
        <v>0.89890272351128475</v>
      </c>
      <c r="BW616" s="39">
        <f t="shared" si="145"/>
        <v>0.99887582556560028</v>
      </c>
      <c r="BX616" s="40">
        <f t="shared" si="146"/>
        <v>1.9765386469548448E-2</v>
      </c>
      <c r="BY616" s="40">
        <f t="shared" si="147"/>
        <v>6.1063795596978951E-3</v>
      </c>
      <c r="BZ616" t="str">
        <f t="shared" si="148"/>
        <v>OK</v>
      </c>
      <c r="CA616">
        <f t="shared" si="149"/>
        <v>1</v>
      </c>
    </row>
    <row r="617" spans="1:80" x14ac:dyDescent="0.25">
      <c r="A617" s="35">
        <v>46204</v>
      </c>
      <c r="B617" s="36">
        <v>12</v>
      </c>
      <c r="C617" t="s">
        <v>113</v>
      </c>
      <c r="D617" t="s">
        <v>6</v>
      </c>
      <c r="E617" t="s">
        <v>147</v>
      </c>
      <c r="F617" t="s">
        <v>147</v>
      </c>
      <c r="G617">
        <v>4901</v>
      </c>
      <c r="H617">
        <v>2140110663</v>
      </c>
      <c r="I617" t="s">
        <v>148</v>
      </c>
      <c r="J617" s="37">
        <v>22750</v>
      </c>
      <c r="K617" s="37">
        <v>10</v>
      </c>
      <c r="M617">
        <v>6644</v>
      </c>
      <c r="O617">
        <v>40</v>
      </c>
      <c r="P617">
        <v>30</v>
      </c>
      <c r="Q617">
        <v>55</v>
      </c>
      <c r="T617">
        <v>12</v>
      </c>
      <c r="V617" t="s">
        <v>116</v>
      </c>
      <c r="Y617" s="38">
        <v>0.29166666666666669</v>
      </c>
      <c r="Z617" s="38">
        <v>0.79166666666666663</v>
      </c>
      <c r="AA617" t="s">
        <v>117</v>
      </c>
      <c r="AC617" t="s">
        <v>118</v>
      </c>
      <c r="AQ617">
        <v>0.25</v>
      </c>
      <c r="AR617">
        <v>0.75</v>
      </c>
      <c r="BI617">
        <v>0.25</v>
      </c>
      <c r="BK617">
        <f>0</f>
        <v>0</v>
      </c>
      <c r="BL617">
        <f t="shared" si="135"/>
        <v>1.25</v>
      </c>
      <c r="BM617">
        <f t="shared" si="136"/>
        <v>0</v>
      </c>
      <c r="BN617">
        <f t="shared" si="137"/>
        <v>0</v>
      </c>
      <c r="BO617">
        <f t="shared" si="138"/>
        <v>1</v>
      </c>
      <c r="BP617" s="37">
        <f>IF($F617="","",IFERROR(INDEX(Familias!$C$5:$C$300,MATCH($F617,Familias!$A$5:$A$300,0)),""))</f>
        <v>2280</v>
      </c>
      <c r="BQ617" s="37">
        <f t="shared" si="139"/>
        <v>22760</v>
      </c>
      <c r="BR617" s="36">
        <f t="shared" si="140"/>
        <v>12</v>
      </c>
      <c r="BS617" s="36">
        <f t="shared" si="141"/>
        <v>1.25</v>
      </c>
      <c r="BT617" s="36">
        <f t="shared" si="142"/>
        <v>10.75</v>
      </c>
      <c r="BU617" s="36">
        <f t="shared" si="143"/>
        <v>9.9824999999999999</v>
      </c>
      <c r="BV617" s="39">
        <f t="shared" si="144"/>
        <v>0.92860465116279067</v>
      </c>
      <c r="BW617" s="39">
        <f t="shared" si="145"/>
        <v>0.99956063268892792</v>
      </c>
      <c r="BX617" s="40">
        <f t="shared" si="146"/>
        <v>1.0535821794099939E-2</v>
      </c>
      <c r="BY617" s="40">
        <f t="shared" si="147"/>
        <v>8.2781456953642391E-3</v>
      </c>
      <c r="BZ617" t="str">
        <f t="shared" si="148"/>
        <v>OK</v>
      </c>
      <c r="CA617">
        <f t="shared" si="149"/>
        <v>1</v>
      </c>
    </row>
    <row r="618" spans="1:80" x14ac:dyDescent="0.25">
      <c r="A618" s="35">
        <v>46204</v>
      </c>
      <c r="B618" s="36">
        <v>12</v>
      </c>
      <c r="C618" t="s">
        <v>119</v>
      </c>
      <c r="D618" t="s">
        <v>6</v>
      </c>
      <c r="E618" t="s">
        <v>147</v>
      </c>
      <c r="F618" t="s">
        <v>147</v>
      </c>
      <c r="G618">
        <v>4901</v>
      </c>
      <c r="H618">
        <v>2140110663</v>
      </c>
      <c r="I618" t="s">
        <v>148</v>
      </c>
      <c r="J618" s="37">
        <v>20600</v>
      </c>
      <c r="K618" s="37">
        <v>20</v>
      </c>
      <c r="M618">
        <v>6036</v>
      </c>
      <c r="O618">
        <v>99</v>
      </c>
      <c r="P618">
        <v>33</v>
      </c>
      <c r="Q618">
        <v>37</v>
      </c>
      <c r="T618">
        <v>11</v>
      </c>
      <c r="V618" t="s">
        <v>120</v>
      </c>
      <c r="Y618" s="38">
        <v>0.79166666666666663</v>
      </c>
      <c r="Z618" s="38">
        <v>0.29166666666666669</v>
      </c>
      <c r="AA618" t="s">
        <v>117</v>
      </c>
      <c r="AC618" t="s">
        <v>118</v>
      </c>
      <c r="AQ618">
        <v>0.5</v>
      </c>
      <c r="AR618">
        <v>0.75</v>
      </c>
      <c r="BI618">
        <v>0.33329999999999999</v>
      </c>
      <c r="BK618">
        <f>0</f>
        <v>0</v>
      </c>
      <c r="BL618">
        <f t="shared" si="135"/>
        <v>1.5832999999999999</v>
      </c>
      <c r="BM618">
        <f t="shared" si="136"/>
        <v>0</v>
      </c>
      <c r="BN618">
        <f t="shared" si="137"/>
        <v>0</v>
      </c>
      <c r="BO618">
        <f t="shared" si="138"/>
        <v>1</v>
      </c>
      <c r="BP618" s="37">
        <f>IF($F618="","",IFERROR(INDEX(Familias!$C$5:$C$300,MATCH($F618,Familias!$A$5:$A$300,0)),""))</f>
        <v>2280</v>
      </c>
      <c r="BQ618" s="37">
        <f t="shared" si="139"/>
        <v>20620</v>
      </c>
      <c r="BR618" s="36">
        <f t="shared" si="140"/>
        <v>12</v>
      </c>
      <c r="BS618" s="36">
        <f t="shared" si="141"/>
        <v>1.5832999999999999</v>
      </c>
      <c r="BT618" s="36">
        <f t="shared" si="142"/>
        <v>10.416700000000001</v>
      </c>
      <c r="BU618" s="36">
        <f t="shared" si="143"/>
        <v>9.0439000000000007</v>
      </c>
      <c r="BV618" s="39">
        <f t="shared" si="144"/>
        <v>0.86821162172281052</v>
      </c>
      <c r="BW618" s="39">
        <f t="shared" si="145"/>
        <v>0.99903006789524729</v>
      </c>
      <c r="BX618" s="40">
        <f t="shared" si="146"/>
        <v>2.186878727634195E-2</v>
      </c>
      <c r="BY618" s="40">
        <f t="shared" si="147"/>
        <v>6.1298873426110009E-3</v>
      </c>
      <c r="BZ618" t="str">
        <f t="shared" si="148"/>
        <v>OK</v>
      </c>
      <c r="CA618">
        <f t="shared" si="149"/>
        <v>1</v>
      </c>
    </row>
    <row r="619" spans="1:80" x14ac:dyDescent="0.25">
      <c r="A619" s="35">
        <v>46205</v>
      </c>
      <c r="B619" s="36">
        <v>12</v>
      </c>
      <c r="C619" t="s">
        <v>113</v>
      </c>
      <c r="D619" t="s">
        <v>6</v>
      </c>
      <c r="E619" t="s">
        <v>147</v>
      </c>
      <c r="F619" t="s">
        <v>147</v>
      </c>
      <c r="G619">
        <v>5000</v>
      </c>
      <c r="H619">
        <v>2140110664</v>
      </c>
      <c r="I619" t="s">
        <v>184</v>
      </c>
      <c r="J619" s="37">
        <v>21600</v>
      </c>
      <c r="K619" s="37">
        <v>10</v>
      </c>
      <c r="M619">
        <v>6354</v>
      </c>
      <c r="O619">
        <v>50</v>
      </c>
      <c r="R619">
        <v>25</v>
      </c>
      <c r="T619">
        <v>12</v>
      </c>
      <c r="V619" t="s">
        <v>116</v>
      </c>
      <c r="Y619" s="38">
        <v>0.29166666666666669</v>
      </c>
      <c r="Z619" s="38">
        <v>0.79166666666666663</v>
      </c>
      <c r="AA619" t="s">
        <v>117</v>
      </c>
      <c r="AC619" t="s">
        <v>118</v>
      </c>
      <c r="AQ619">
        <v>0.25</v>
      </c>
      <c r="AR619">
        <v>0.75</v>
      </c>
      <c r="BI619">
        <v>0.25</v>
      </c>
      <c r="BK619">
        <f>0</f>
        <v>0</v>
      </c>
      <c r="BL619">
        <f t="shared" si="135"/>
        <v>1.25</v>
      </c>
      <c r="BM619">
        <f t="shared" si="136"/>
        <v>0</v>
      </c>
      <c r="BN619">
        <f t="shared" si="137"/>
        <v>0</v>
      </c>
      <c r="BO619">
        <f t="shared" si="138"/>
        <v>1</v>
      </c>
      <c r="BP619" s="37">
        <f>IF($F619="","",IFERROR(INDEX(Familias!$C$5:$C$300,MATCH($F619,Familias!$A$5:$A$300,0)),""))</f>
        <v>2280</v>
      </c>
      <c r="BQ619" s="37">
        <f t="shared" si="139"/>
        <v>21610</v>
      </c>
      <c r="BR619" s="36">
        <f t="shared" si="140"/>
        <v>12</v>
      </c>
      <c r="BS619" s="36">
        <f t="shared" si="141"/>
        <v>1.25</v>
      </c>
      <c r="BT619" s="36">
        <f t="shared" si="142"/>
        <v>10.75</v>
      </c>
      <c r="BU619" s="36">
        <f t="shared" si="143"/>
        <v>9.4780999999999995</v>
      </c>
      <c r="BV619" s="39">
        <f t="shared" si="144"/>
        <v>0.88168372093023251</v>
      </c>
      <c r="BW619" s="39">
        <f t="shared" si="145"/>
        <v>0.99953725127255899</v>
      </c>
      <c r="BX619" s="40">
        <f t="shared" si="146"/>
        <v>1.1803588290840416E-2</v>
      </c>
      <c r="BY619" s="40">
        <f t="shared" si="147"/>
        <v>0</v>
      </c>
      <c r="BZ619" t="str">
        <f t="shared" si="148"/>
        <v>OK</v>
      </c>
      <c r="CA619">
        <f t="shared" si="149"/>
        <v>1</v>
      </c>
    </row>
    <row r="620" spans="1:80" x14ac:dyDescent="0.25">
      <c r="A620" s="35">
        <v>46205</v>
      </c>
      <c r="B620" s="36">
        <v>12</v>
      </c>
      <c r="C620" t="s">
        <v>119</v>
      </c>
      <c r="D620" t="s">
        <v>6</v>
      </c>
      <c r="E620" t="s">
        <v>147</v>
      </c>
      <c r="F620" t="s">
        <v>147</v>
      </c>
      <c r="G620">
        <v>5000</v>
      </c>
      <c r="H620">
        <v>2140110664</v>
      </c>
      <c r="I620" t="s">
        <v>184</v>
      </c>
      <c r="J620" s="37">
        <v>20175</v>
      </c>
      <c r="K620" s="37">
        <v>20</v>
      </c>
      <c r="M620">
        <v>5738</v>
      </c>
      <c r="O620">
        <v>50</v>
      </c>
      <c r="Q620">
        <v>33</v>
      </c>
      <c r="T620">
        <v>11</v>
      </c>
      <c r="V620" t="s">
        <v>120</v>
      </c>
      <c r="Y620" s="38">
        <v>0.79166666666666663</v>
      </c>
      <c r="Z620" s="38">
        <v>0.29166666666666669</v>
      </c>
      <c r="AA620" t="s">
        <v>117</v>
      </c>
      <c r="AC620" t="s">
        <v>118</v>
      </c>
      <c r="AQ620">
        <v>0.25</v>
      </c>
      <c r="AR620">
        <v>0.75</v>
      </c>
      <c r="BI620">
        <v>0.33329999999999999</v>
      </c>
      <c r="BK620">
        <f>0</f>
        <v>0</v>
      </c>
      <c r="BL620">
        <f t="shared" si="135"/>
        <v>1.3332999999999999</v>
      </c>
      <c r="BM620">
        <f t="shared" si="136"/>
        <v>0</v>
      </c>
      <c r="BN620">
        <f t="shared" si="137"/>
        <v>0</v>
      </c>
      <c r="BO620">
        <f t="shared" si="138"/>
        <v>1</v>
      </c>
      <c r="BP620" s="37">
        <f>IF($F620="","",IFERROR(INDEX(Familias!$C$5:$C$300,MATCH($F620,Familias!$A$5:$A$300,0)),""))</f>
        <v>2280</v>
      </c>
      <c r="BQ620" s="37">
        <f t="shared" si="139"/>
        <v>20195</v>
      </c>
      <c r="BR620" s="36">
        <f t="shared" si="140"/>
        <v>12</v>
      </c>
      <c r="BS620" s="36">
        <f t="shared" si="141"/>
        <v>1.3332999999999999</v>
      </c>
      <c r="BT620" s="36">
        <f t="shared" si="142"/>
        <v>10.666700000000001</v>
      </c>
      <c r="BU620" s="36">
        <f t="shared" si="143"/>
        <v>8.8574999999999999</v>
      </c>
      <c r="BV620" s="39">
        <f t="shared" si="144"/>
        <v>0.83038803003740613</v>
      </c>
      <c r="BW620" s="39">
        <f t="shared" si="145"/>
        <v>0.99900965585540979</v>
      </c>
      <c r="BX620" s="40">
        <f t="shared" si="146"/>
        <v>8.7138375740676201E-3</v>
      </c>
      <c r="BY620" s="40">
        <f t="shared" si="147"/>
        <v>5.7511327988846285E-3</v>
      </c>
      <c r="BZ620" t="str">
        <f t="shared" si="148"/>
        <v>OK</v>
      </c>
      <c r="CA620">
        <f t="shared" si="149"/>
        <v>1</v>
      </c>
    </row>
    <row r="621" spans="1:80" x14ac:dyDescent="0.25">
      <c r="A621" s="35">
        <v>46206</v>
      </c>
      <c r="B621" s="36">
        <v>12</v>
      </c>
      <c r="C621" t="s">
        <v>113</v>
      </c>
      <c r="D621" t="s">
        <v>6</v>
      </c>
      <c r="E621" t="s">
        <v>147</v>
      </c>
      <c r="F621" t="s">
        <v>147</v>
      </c>
      <c r="G621">
        <v>4900</v>
      </c>
      <c r="H621">
        <v>2140110665</v>
      </c>
      <c r="I621" t="s">
        <v>185</v>
      </c>
      <c r="J621" s="37">
        <v>17500</v>
      </c>
      <c r="K621" s="37">
        <v>15</v>
      </c>
      <c r="M621">
        <v>5232</v>
      </c>
      <c r="O621">
        <v>105</v>
      </c>
      <c r="P621">
        <v>15</v>
      </c>
      <c r="Q621">
        <v>106</v>
      </c>
      <c r="R621">
        <v>35</v>
      </c>
      <c r="T621">
        <v>9</v>
      </c>
      <c r="V621" t="s">
        <v>116</v>
      </c>
      <c r="Y621" s="38">
        <v>0.29166666666666669</v>
      </c>
      <c r="Z621" s="38">
        <v>0.79166666666666663</v>
      </c>
      <c r="AA621" t="s">
        <v>117</v>
      </c>
      <c r="AC621" t="s">
        <v>118</v>
      </c>
      <c r="AF621">
        <v>1.8332999999999999</v>
      </c>
      <c r="AQ621">
        <v>0.25</v>
      </c>
      <c r="AR621">
        <v>0.75</v>
      </c>
      <c r="BK621">
        <f>0</f>
        <v>0</v>
      </c>
      <c r="BL621">
        <f t="shared" si="135"/>
        <v>2.8332999999999999</v>
      </c>
      <c r="BM621">
        <f t="shared" si="136"/>
        <v>0</v>
      </c>
      <c r="BN621">
        <f t="shared" si="137"/>
        <v>0</v>
      </c>
      <c r="BO621">
        <f t="shared" si="138"/>
        <v>1</v>
      </c>
      <c r="BP621" s="37">
        <f>IF($F621="","",IFERROR(INDEX(Familias!$C$5:$C$300,MATCH($F621,Familias!$A$5:$A$300,0)),""))</f>
        <v>2280</v>
      </c>
      <c r="BQ621" s="37">
        <f t="shared" si="139"/>
        <v>17515</v>
      </c>
      <c r="BR621" s="36">
        <f t="shared" si="140"/>
        <v>12</v>
      </c>
      <c r="BS621" s="36">
        <f t="shared" si="141"/>
        <v>2.8332999999999999</v>
      </c>
      <c r="BT621" s="36">
        <f t="shared" si="142"/>
        <v>9.1667000000000005</v>
      </c>
      <c r="BU621" s="36">
        <f t="shared" si="143"/>
        <v>7.6820000000000004</v>
      </c>
      <c r="BV621" s="39">
        <f t="shared" si="144"/>
        <v>0.83803331624248634</v>
      </c>
      <c r="BW621" s="39">
        <f t="shared" si="145"/>
        <v>0.99914359120753637</v>
      </c>
      <c r="BX621" s="40">
        <f t="shared" si="146"/>
        <v>2.9625382262996942E-2</v>
      </c>
      <c r="BY621" s="40">
        <f t="shared" si="147"/>
        <v>2.0259938837920488E-2</v>
      </c>
      <c r="BZ621" t="str">
        <f t="shared" si="148"/>
        <v>OK</v>
      </c>
      <c r="CA621">
        <f t="shared" si="149"/>
        <v>1</v>
      </c>
    </row>
    <row r="622" spans="1:80" x14ac:dyDescent="0.25">
      <c r="A622" s="35">
        <v>46206</v>
      </c>
      <c r="B622" s="36">
        <v>12</v>
      </c>
      <c r="C622" t="s">
        <v>119</v>
      </c>
      <c r="D622" t="s">
        <v>6</v>
      </c>
      <c r="E622" t="s">
        <v>147</v>
      </c>
      <c r="F622" t="s">
        <v>147</v>
      </c>
      <c r="G622">
        <v>4900</v>
      </c>
      <c r="H622">
        <v>2140110665</v>
      </c>
      <c r="I622" t="s">
        <v>185</v>
      </c>
      <c r="J622" s="37">
        <v>20000</v>
      </c>
      <c r="K622" s="37">
        <v>10</v>
      </c>
      <c r="M622">
        <v>5752</v>
      </c>
      <c r="O622">
        <v>40</v>
      </c>
      <c r="P622">
        <v>33</v>
      </c>
      <c r="Q622">
        <v>7</v>
      </c>
      <c r="T622">
        <v>11</v>
      </c>
      <c r="V622" t="s">
        <v>120</v>
      </c>
      <c r="Y622" s="38">
        <v>0.79166666666666663</v>
      </c>
      <c r="Z622" s="38">
        <v>0.29166666666666669</v>
      </c>
      <c r="AA622" t="s">
        <v>117</v>
      </c>
      <c r="AC622" t="s">
        <v>118</v>
      </c>
      <c r="AO622">
        <v>0.91669999999999996</v>
      </c>
      <c r="AR622">
        <v>1</v>
      </c>
      <c r="BI622">
        <v>0.33329999999999999</v>
      </c>
      <c r="BK622">
        <f>0</f>
        <v>0</v>
      </c>
      <c r="BL622">
        <f t="shared" si="135"/>
        <v>2.25</v>
      </c>
      <c r="BM622">
        <f t="shared" si="136"/>
        <v>0</v>
      </c>
      <c r="BN622">
        <f t="shared" si="137"/>
        <v>0</v>
      </c>
      <c r="BO622">
        <f t="shared" si="138"/>
        <v>1</v>
      </c>
      <c r="BP622" s="37">
        <f>IF($F622="","",IFERROR(INDEX(Familias!$C$5:$C$300,MATCH($F622,Familias!$A$5:$A$300,0)),""))</f>
        <v>2280</v>
      </c>
      <c r="BQ622" s="37">
        <f t="shared" si="139"/>
        <v>20010</v>
      </c>
      <c r="BR622" s="36">
        <f t="shared" si="140"/>
        <v>12</v>
      </c>
      <c r="BS622" s="36">
        <f t="shared" si="141"/>
        <v>2.25</v>
      </c>
      <c r="BT622" s="36">
        <f t="shared" si="142"/>
        <v>9.75</v>
      </c>
      <c r="BU622" s="36">
        <f t="shared" si="143"/>
        <v>8.7763000000000009</v>
      </c>
      <c r="BV622" s="39">
        <f t="shared" si="144"/>
        <v>0.90013333333333345</v>
      </c>
      <c r="BW622" s="39">
        <f t="shared" si="145"/>
        <v>0.99950024987506247</v>
      </c>
      <c r="BX622" s="40">
        <f t="shared" si="146"/>
        <v>1.2691237830319889E-2</v>
      </c>
      <c r="BY622" s="40">
        <f t="shared" si="147"/>
        <v>1.2169680111265646E-3</v>
      </c>
      <c r="BZ622" t="str">
        <f t="shared" si="148"/>
        <v>OK</v>
      </c>
      <c r="CA622">
        <f t="shared" si="149"/>
        <v>1</v>
      </c>
    </row>
    <row r="623" spans="1:80" x14ac:dyDescent="0.25">
      <c r="A623" s="35">
        <v>46207</v>
      </c>
      <c r="B623" s="36">
        <v>12</v>
      </c>
      <c r="C623" t="s">
        <v>113</v>
      </c>
      <c r="D623" t="s">
        <v>6</v>
      </c>
      <c r="E623" t="s">
        <v>147</v>
      </c>
      <c r="F623" t="s">
        <v>147</v>
      </c>
      <c r="G623">
        <v>4900</v>
      </c>
      <c r="H623">
        <v>2140110665</v>
      </c>
      <c r="I623" t="s">
        <v>185</v>
      </c>
      <c r="J623" s="37">
        <v>20400</v>
      </c>
      <c r="K623" s="37">
        <v>20</v>
      </c>
      <c r="M623">
        <v>5904</v>
      </c>
      <c r="O623">
        <v>64</v>
      </c>
      <c r="P623">
        <v>30</v>
      </c>
      <c r="Q623">
        <v>13</v>
      </c>
      <c r="T623">
        <v>10</v>
      </c>
      <c r="V623" t="s">
        <v>116</v>
      </c>
      <c r="Y623" s="38">
        <v>0.29166666666666669</v>
      </c>
      <c r="Z623" s="38">
        <v>0.79166666666666663</v>
      </c>
      <c r="AA623" t="s">
        <v>117</v>
      </c>
      <c r="AC623" t="s">
        <v>118</v>
      </c>
      <c r="AO623">
        <v>1</v>
      </c>
      <c r="AQ623">
        <v>0.25</v>
      </c>
      <c r="AR623">
        <v>0.75</v>
      </c>
      <c r="BE623">
        <v>0.75</v>
      </c>
      <c r="BK623">
        <f>0</f>
        <v>0</v>
      </c>
      <c r="BL623">
        <f t="shared" si="135"/>
        <v>2.75</v>
      </c>
      <c r="BM623">
        <f t="shared" si="136"/>
        <v>0</v>
      </c>
      <c r="BN623">
        <f t="shared" si="137"/>
        <v>0</v>
      </c>
      <c r="BO623">
        <f t="shared" si="138"/>
        <v>1</v>
      </c>
      <c r="BP623" s="37">
        <f>IF($F623="","",IFERROR(INDEX(Familias!$C$5:$C$300,MATCH($F623,Familias!$A$5:$A$300,0)),""))</f>
        <v>2280</v>
      </c>
      <c r="BQ623" s="37">
        <f t="shared" si="139"/>
        <v>20420</v>
      </c>
      <c r="BR623" s="36">
        <f t="shared" si="140"/>
        <v>12</v>
      </c>
      <c r="BS623" s="36">
        <f t="shared" si="141"/>
        <v>2.75</v>
      </c>
      <c r="BT623" s="36">
        <f t="shared" si="142"/>
        <v>9.25</v>
      </c>
      <c r="BU623" s="36">
        <f t="shared" si="143"/>
        <v>8.9560999999999993</v>
      </c>
      <c r="BV623" s="39">
        <f t="shared" si="144"/>
        <v>0.9682270270270269</v>
      </c>
      <c r="BW623" s="39">
        <f t="shared" si="145"/>
        <v>0.99902056807051909</v>
      </c>
      <c r="BX623" s="40">
        <f t="shared" si="146"/>
        <v>1.5921409214092141E-2</v>
      </c>
      <c r="BY623" s="40">
        <f t="shared" si="147"/>
        <v>2.2018970189701895E-3</v>
      </c>
      <c r="BZ623" t="str">
        <f t="shared" si="148"/>
        <v>OK</v>
      </c>
      <c r="CA623">
        <f t="shared" si="149"/>
        <v>1</v>
      </c>
    </row>
    <row r="624" spans="1:80" x14ac:dyDescent="0.25">
      <c r="A624" s="35">
        <v>46207</v>
      </c>
      <c r="B624" s="36">
        <v>2.1006999999999998</v>
      </c>
      <c r="C624" t="s">
        <v>119</v>
      </c>
      <c r="D624" t="s">
        <v>6</v>
      </c>
      <c r="E624" t="s">
        <v>147</v>
      </c>
      <c r="F624" t="s">
        <v>147</v>
      </c>
      <c r="G624">
        <v>4900</v>
      </c>
      <c r="H624">
        <v>2140110665</v>
      </c>
      <c r="I624" t="s">
        <v>185</v>
      </c>
      <c r="J624" s="37">
        <v>2850</v>
      </c>
      <c r="K624" s="37"/>
      <c r="M624">
        <v>926</v>
      </c>
      <c r="O624">
        <v>5</v>
      </c>
      <c r="P624">
        <v>6</v>
      </c>
      <c r="T624">
        <v>2</v>
      </c>
      <c r="V624" t="s">
        <v>120</v>
      </c>
      <c r="Y624" s="38">
        <v>0.79166666666666663</v>
      </c>
      <c r="Z624" s="38">
        <v>0.87916666666666665</v>
      </c>
      <c r="AA624" t="s">
        <v>117</v>
      </c>
      <c r="AC624" t="s">
        <v>121</v>
      </c>
      <c r="AF624">
        <v>4.3799999999999999E-2</v>
      </c>
      <c r="AG624">
        <v>0.1021</v>
      </c>
      <c r="AR624">
        <v>0.1313</v>
      </c>
      <c r="BC624">
        <v>0.2918</v>
      </c>
      <c r="BI624">
        <v>5.8400000000000001E-2</v>
      </c>
      <c r="BK624">
        <f>0</f>
        <v>0</v>
      </c>
      <c r="BL624">
        <f t="shared" si="135"/>
        <v>0.62739999999999996</v>
      </c>
      <c r="BM624">
        <f t="shared" si="136"/>
        <v>0</v>
      </c>
      <c r="BN624">
        <f t="shared" si="137"/>
        <v>0</v>
      </c>
      <c r="BO624">
        <f t="shared" si="138"/>
        <v>1</v>
      </c>
      <c r="BP624" s="37">
        <f>IF($F624="","",IFERROR(INDEX(Familias!$C$5:$C$300,MATCH($F624,Familias!$A$5:$A$300,0)),""))</f>
        <v>2280</v>
      </c>
      <c r="BQ624" s="37">
        <f t="shared" si="139"/>
        <v>2850</v>
      </c>
      <c r="BR624" s="36">
        <f t="shared" si="140"/>
        <v>2.1006999999999998</v>
      </c>
      <c r="BS624" s="36">
        <f t="shared" si="141"/>
        <v>0.62739999999999996</v>
      </c>
      <c r="BT624" s="36">
        <f t="shared" si="142"/>
        <v>1.4733000000000001</v>
      </c>
      <c r="BU624" s="36">
        <f t="shared" si="143"/>
        <v>1.25</v>
      </c>
      <c r="BV624" s="39">
        <f t="shared" si="144"/>
        <v>0.84843548496572319</v>
      </c>
      <c r="BW624" s="39">
        <f t="shared" si="145"/>
        <v>1</v>
      </c>
      <c r="BX624" s="40">
        <f t="shared" si="146"/>
        <v>1.1879049676025918E-2</v>
      </c>
      <c r="BY624" s="40">
        <f t="shared" si="147"/>
        <v>0</v>
      </c>
      <c r="BZ624" t="str">
        <f t="shared" si="148"/>
        <v>OK</v>
      </c>
      <c r="CA624">
        <f t="shared" si="149"/>
        <v>1</v>
      </c>
    </row>
    <row r="625" spans="1:80" x14ac:dyDescent="0.25">
      <c r="A625" s="35">
        <v>46207</v>
      </c>
      <c r="B625" s="36">
        <v>9.8993000000000002</v>
      </c>
      <c r="C625" t="s">
        <v>119</v>
      </c>
      <c r="D625" t="s">
        <v>6</v>
      </c>
      <c r="E625" t="s">
        <v>147</v>
      </c>
      <c r="F625" t="s">
        <v>147</v>
      </c>
      <c r="G625">
        <v>4901</v>
      </c>
      <c r="H625">
        <v>2140110663</v>
      </c>
      <c r="I625" t="s">
        <v>148</v>
      </c>
      <c r="J625" s="37">
        <v>13425</v>
      </c>
      <c r="K625" s="37">
        <v>5</v>
      </c>
      <c r="M625">
        <v>3968</v>
      </c>
      <c r="O625">
        <v>40</v>
      </c>
      <c r="P625">
        <v>21</v>
      </c>
      <c r="R625">
        <v>17</v>
      </c>
      <c r="T625">
        <v>7</v>
      </c>
      <c r="V625" t="s">
        <v>120</v>
      </c>
      <c r="Y625" s="38">
        <v>0.87916666666666665</v>
      </c>
      <c r="Z625" s="38">
        <v>0.29166666666666669</v>
      </c>
      <c r="AA625" t="s">
        <v>117</v>
      </c>
      <c r="AC625" t="s">
        <v>121</v>
      </c>
      <c r="AF625">
        <v>0.20619999999999999</v>
      </c>
      <c r="AG625">
        <v>0.48120000000000002</v>
      </c>
      <c r="AR625">
        <v>0.61870000000000003</v>
      </c>
      <c r="BC625">
        <v>1.3749</v>
      </c>
      <c r="BI625">
        <v>0.27500000000000002</v>
      </c>
      <c r="BK625">
        <f>0</f>
        <v>0</v>
      </c>
      <c r="BL625">
        <f t="shared" si="135"/>
        <v>2.956</v>
      </c>
      <c r="BM625">
        <f t="shared" si="136"/>
        <v>0</v>
      </c>
      <c r="BN625">
        <f t="shared" si="137"/>
        <v>0</v>
      </c>
      <c r="BO625">
        <f t="shared" si="138"/>
        <v>1</v>
      </c>
      <c r="BP625" s="37">
        <f>IF($F625="","",IFERROR(INDEX(Familias!$C$5:$C$300,MATCH($F625,Familias!$A$5:$A$300,0)),""))</f>
        <v>2280</v>
      </c>
      <c r="BQ625" s="37">
        <f t="shared" si="139"/>
        <v>13430</v>
      </c>
      <c r="BR625" s="36">
        <f t="shared" si="140"/>
        <v>9.8993000000000002</v>
      </c>
      <c r="BS625" s="36">
        <f t="shared" si="141"/>
        <v>2.956</v>
      </c>
      <c r="BT625" s="36">
        <f t="shared" si="142"/>
        <v>6.9432999999999998</v>
      </c>
      <c r="BU625" s="36">
        <f t="shared" si="143"/>
        <v>5.8903999999999996</v>
      </c>
      <c r="BV625" s="39">
        <f t="shared" si="144"/>
        <v>0.84835740930105275</v>
      </c>
      <c r="BW625" s="39">
        <f t="shared" si="145"/>
        <v>0.99962769918093819</v>
      </c>
      <c r="BX625" s="40">
        <f t="shared" si="146"/>
        <v>1.9657258064516129E-2</v>
      </c>
      <c r="BY625" s="40">
        <f t="shared" si="147"/>
        <v>0</v>
      </c>
      <c r="BZ625" t="str">
        <f t="shared" si="148"/>
        <v>OK</v>
      </c>
      <c r="CA625">
        <f t="shared" si="149"/>
        <v>1</v>
      </c>
    </row>
    <row r="626" spans="1:80" x14ac:dyDescent="0.25">
      <c r="A626" s="35">
        <v>46209</v>
      </c>
      <c r="B626" s="36">
        <v>12</v>
      </c>
      <c r="C626" t="s">
        <v>113</v>
      </c>
      <c r="D626" t="s">
        <v>6</v>
      </c>
      <c r="E626" t="s">
        <v>147</v>
      </c>
      <c r="F626" t="s">
        <v>147</v>
      </c>
      <c r="G626">
        <v>4901</v>
      </c>
      <c r="H626">
        <v>2140110663</v>
      </c>
      <c r="I626" t="s">
        <v>148</v>
      </c>
      <c r="J626" s="37">
        <v>20200</v>
      </c>
      <c r="K626" s="37">
        <v>16</v>
      </c>
      <c r="M626">
        <v>5927</v>
      </c>
      <c r="O626">
        <v>71</v>
      </c>
      <c r="P626">
        <v>36</v>
      </c>
      <c r="Q626">
        <v>60</v>
      </c>
      <c r="T626">
        <v>11</v>
      </c>
      <c r="V626" t="s">
        <v>120</v>
      </c>
      <c r="Y626" s="38">
        <v>0.29166666666666669</v>
      </c>
      <c r="Z626" s="38">
        <v>0.79166666666666663</v>
      </c>
      <c r="AA626" t="s">
        <v>117</v>
      </c>
      <c r="AC626" t="s">
        <v>118</v>
      </c>
      <c r="AQ626">
        <v>0.25</v>
      </c>
      <c r="AR626">
        <v>0.75</v>
      </c>
      <c r="AS626">
        <v>0.5</v>
      </c>
      <c r="BI626">
        <v>1</v>
      </c>
      <c r="BK626">
        <f>0</f>
        <v>0</v>
      </c>
      <c r="BL626">
        <f t="shared" si="135"/>
        <v>2.5</v>
      </c>
      <c r="BM626">
        <f t="shared" si="136"/>
        <v>0</v>
      </c>
      <c r="BN626">
        <f t="shared" si="137"/>
        <v>0</v>
      </c>
      <c r="BO626">
        <f t="shared" si="138"/>
        <v>1</v>
      </c>
      <c r="BP626" s="37">
        <f>IF($F626="","",IFERROR(INDEX(Familias!$C$5:$C$300,MATCH($F626,Familias!$A$5:$A$300,0)),""))</f>
        <v>2280</v>
      </c>
      <c r="BQ626" s="37">
        <f t="shared" si="139"/>
        <v>20216</v>
      </c>
      <c r="BR626" s="36">
        <f t="shared" si="140"/>
        <v>12</v>
      </c>
      <c r="BS626" s="36">
        <f t="shared" si="141"/>
        <v>2.5</v>
      </c>
      <c r="BT626" s="36">
        <f t="shared" si="142"/>
        <v>9.5</v>
      </c>
      <c r="BU626" s="36">
        <f t="shared" si="143"/>
        <v>8.8666999999999998</v>
      </c>
      <c r="BV626" s="39">
        <f t="shared" si="144"/>
        <v>0.93333684210526313</v>
      </c>
      <c r="BW626" s="39">
        <f t="shared" si="145"/>
        <v>0.999208547685002</v>
      </c>
      <c r="BX626" s="40">
        <f t="shared" si="146"/>
        <v>1.8052977897756031E-2</v>
      </c>
      <c r="BY626" s="40">
        <f t="shared" si="147"/>
        <v>1.0123165176311793E-2</v>
      </c>
      <c r="BZ626" t="str">
        <f t="shared" si="148"/>
        <v>OK</v>
      </c>
      <c r="CA626">
        <f t="shared" si="149"/>
        <v>1</v>
      </c>
    </row>
    <row r="627" spans="1:80" x14ac:dyDescent="0.25">
      <c r="A627" s="35">
        <v>46209</v>
      </c>
      <c r="B627" s="36">
        <v>3.3090000000000002</v>
      </c>
      <c r="C627" t="s">
        <v>119</v>
      </c>
      <c r="D627" t="s">
        <v>6</v>
      </c>
      <c r="E627" t="s">
        <v>147</v>
      </c>
      <c r="F627" t="s">
        <v>147</v>
      </c>
      <c r="G627">
        <v>4901</v>
      </c>
      <c r="H627">
        <v>2140110663</v>
      </c>
      <c r="I627" t="s">
        <v>148</v>
      </c>
      <c r="J627" s="37">
        <v>5525</v>
      </c>
      <c r="K627" s="37">
        <v>8</v>
      </c>
      <c r="M627">
        <v>4455</v>
      </c>
      <c r="O627">
        <v>15</v>
      </c>
      <c r="P627">
        <v>21</v>
      </c>
      <c r="Q627">
        <v>26</v>
      </c>
      <c r="T627">
        <v>8</v>
      </c>
      <c r="V627" t="s">
        <v>116</v>
      </c>
      <c r="Y627" s="38">
        <v>0.79166666666666663</v>
      </c>
      <c r="Z627" s="38">
        <v>0.92986111111111114</v>
      </c>
      <c r="AA627" t="s">
        <v>117</v>
      </c>
      <c r="AC627" t="s">
        <v>121</v>
      </c>
      <c r="AJ627">
        <v>9.1899999999999996E-2</v>
      </c>
      <c r="AQ627">
        <v>6.8900000000000003E-2</v>
      </c>
      <c r="AR627">
        <v>0.20680000000000001</v>
      </c>
      <c r="BE627">
        <v>0.13789999999999999</v>
      </c>
      <c r="BI627">
        <v>9.1899999999999996E-2</v>
      </c>
      <c r="BJ627">
        <v>0.1149</v>
      </c>
      <c r="BK627">
        <f>0</f>
        <v>0</v>
      </c>
      <c r="BL627">
        <f t="shared" si="135"/>
        <v>0.71230000000000004</v>
      </c>
      <c r="BM627">
        <f t="shared" si="136"/>
        <v>0</v>
      </c>
      <c r="BN627">
        <f t="shared" si="137"/>
        <v>0</v>
      </c>
      <c r="BO627">
        <f t="shared" si="138"/>
        <v>1</v>
      </c>
      <c r="BP627" s="37">
        <f>IF($F627="","",IFERROR(INDEX(Familias!$C$5:$C$300,MATCH($F627,Familias!$A$5:$A$300,0)),""))</f>
        <v>2280</v>
      </c>
      <c r="BQ627" s="37">
        <f t="shared" si="139"/>
        <v>5533</v>
      </c>
      <c r="BR627" s="36">
        <f t="shared" si="140"/>
        <v>3.3090000000000002</v>
      </c>
      <c r="BS627" s="36">
        <f t="shared" si="141"/>
        <v>0.71230000000000004</v>
      </c>
      <c r="BT627" s="36">
        <f t="shared" si="142"/>
        <v>2.5966999999999998</v>
      </c>
      <c r="BU627" s="36">
        <f t="shared" si="143"/>
        <v>2.4268000000000001</v>
      </c>
      <c r="BV627" s="39">
        <f t="shared" si="144"/>
        <v>0.93457080140177928</v>
      </c>
      <c r="BW627" s="39">
        <f t="shared" si="145"/>
        <v>0.99855412976685343</v>
      </c>
      <c r="BX627" s="40">
        <f t="shared" si="146"/>
        <v>8.0808080808080808E-3</v>
      </c>
      <c r="BY627" s="40">
        <f t="shared" si="147"/>
        <v>5.8361391694725026E-3</v>
      </c>
      <c r="BZ627" t="str">
        <f t="shared" si="148"/>
        <v>OK</v>
      </c>
      <c r="CA627">
        <f t="shared" si="149"/>
        <v>1</v>
      </c>
    </row>
    <row r="628" spans="1:80" x14ac:dyDescent="0.25">
      <c r="A628" s="35">
        <v>46209</v>
      </c>
      <c r="B628" s="36">
        <v>8.6910000000000007</v>
      </c>
      <c r="C628" t="s">
        <v>119</v>
      </c>
      <c r="D628" t="s">
        <v>6</v>
      </c>
      <c r="E628" t="s">
        <v>147</v>
      </c>
      <c r="F628" t="s">
        <v>175</v>
      </c>
      <c r="G628">
        <v>5054</v>
      </c>
      <c r="H628">
        <v>2140110669</v>
      </c>
      <c r="I628" t="s">
        <v>177</v>
      </c>
      <c r="J628" s="37">
        <v>15100</v>
      </c>
      <c r="K628" s="37">
        <v>6</v>
      </c>
      <c r="M628">
        <v>1586</v>
      </c>
      <c r="O628">
        <v>35</v>
      </c>
      <c r="P628">
        <v>13</v>
      </c>
      <c r="T628">
        <v>8</v>
      </c>
      <c r="V628" t="s">
        <v>116</v>
      </c>
      <c r="Y628" s="38">
        <v>0.92986111111111114</v>
      </c>
      <c r="Z628" s="38">
        <v>0.29166666666666669</v>
      </c>
      <c r="AA628" t="s">
        <v>117</v>
      </c>
      <c r="AC628" t="s">
        <v>121</v>
      </c>
      <c r="AJ628">
        <v>0.2414</v>
      </c>
      <c r="AQ628">
        <v>0.18110000000000001</v>
      </c>
      <c r="AR628">
        <v>0.54320000000000002</v>
      </c>
      <c r="BE628">
        <v>0.36209999999999998</v>
      </c>
      <c r="BI628">
        <v>0.2414</v>
      </c>
      <c r="BJ628">
        <v>0.30180000000000001</v>
      </c>
      <c r="BK628">
        <f>0</f>
        <v>0</v>
      </c>
      <c r="BL628">
        <f t="shared" si="135"/>
        <v>1.871</v>
      </c>
      <c r="BM628">
        <f t="shared" si="136"/>
        <v>0</v>
      </c>
      <c r="BN628">
        <f t="shared" si="137"/>
        <v>0</v>
      </c>
      <c r="BO628">
        <f t="shared" si="138"/>
        <v>1</v>
      </c>
      <c r="BP628" s="37">
        <f>IF($F628="","",IFERROR(INDEX(Familias!$C$5:$C$300,MATCH($F628,Familias!$A$5:$A$300,0)),""))</f>
        <v>2370</v>
      </c>
      <c r="BQ628" s="37">
        <f t="shared" si="139"/>
        <v>15106</v>
      </c>
      <c r="BR628" s="36">
        <f t="shared" si="140"/>
        <v>8.6910000000000007</v>
      </c>
      <c r="BS628" s="36">
        <f t="shared" si="141"/>
        <v>1.871</v>
      </c>
      <c r="BT628" s="36">
        <f t="shared" si="142"/>
        <v>6.82</v>
      </c>
      <c r="BU628" s="36">
        <f t="shared" si="143"/>
        <v>6.3738000000000001</v>
      </c>
      <c r="BV628" s="39">
        <f t="shared" si="144"/>
        <v>0.93457478005865102</v>
      </c>
      <c r="BW628" s="39">
        <f t="shared" si="145"/>
        <v>0.99960280683172253</v>
      </c>
      <c r="BX628" s="40">
        <f t="shared" si="146"/>
        <v>3.0264817150063052E-2</v>
      </c>
      <c r="BY628" s="40">
        <f t="shared" si="147"/>
        <v>0</v>
      </c>
      <c r="BZ628" t="str">
        <f t="shared" si="148"/>
        <v>OK</v>
      </c>
      <c r="CA628">
        <f t="shared" si="149"/>
        <v>1</v>
      </c>
    </row>
    <row r="629" spans="1:80" x14ac:dyDescent="0.25">
      <c r="A629" s="35">
        <v>46210</v>
      </c>
      <c r="B629" s="36">
        <v>5.1977000000000002</v>
      </c>
      <c r="C629" t="s">
        <v>113</v>
      </c>
      <c r="D629" t="s">
        <v>6</v>
      </c>
      <c r="E629" t="s">
        <v>147</v>
      </c>
      <c r="F629" t="s">
        <v>175</v>
      </c>
      <c r="G629">
        <v>5054</v>
      </c>
      <c r="H629">
        <v>2140110669</v>
      </c>
      <c r="I629" t="s">
        <v>177</v>
      </c>
      <c r="J629" s="37">
        <v>7300</v>
      </c>
      <c r="K629" s="37">
        <v>5</v>
      </c>
      <c r="M629">
        <v>2656</v>
      </c>
      <c r="O629">
        <v>30</v>
      </c>
      <c r="P629">
        <v>12</v>
      </c>
      <c r="Q629">
        <v>14</v>
      </c>
      <c r="R629">
        <v>15</v>
      </c>
      <c r="T629">
        <v>5</v>
      </c>
      <c r="V629" t="s">
        <v>120</v>
      </c>
      <c r="Y629" s="38">
        <v>0.29166666666666669</v>
      </c>
      <c r="Z629" s="38">
        <v>0.5083333333333333</v>
      </c>
      <c r="AA629" t="s">
        <v>117</v>
      </c>
      <c r="AC629" t="s">
        <v>121</v>
      </c>
      <c r="AF629">
        <v>0.1444</v>
      </c>
      <c r="AG629">
        <v>0.32490000000000002</v>
      </c>
      <c r="AQ629">
        <v>0.10829999999999999</v>
      </c>
      <c r="AR629">
        <v>0.32490000000000002</v>
      </c>
      <c r="BI629">
        <v>0.1444</v>
      </c>
      <c r="BJ629">
        <v>0.50529999999999997</v>
      </c>
      <c r="BK629">
        <f>0</f>
        <v>0</v>
      </c>
      <c r="BL629">
        <f t="shared" si="135"/>
        <v>1.5522</v>
      </c>
      <c r="BM629">
        <f t="shared" si="136"/>
        <v>0</v>
      </c>
      <c r="BN629">
        <f t="shared" si="137"/>
        <v>0</v>
      </c>
      <c r="BO629">
        <f t="shared" si="138"/>
        <v>1</v>
      </c>
      <c r="BP629" s="37">
        <f>IF($F629="","",IFERROR(INDEX(Familias!$C$5:$C$300,MATCH($F629,Familias!$A$5:$A$300,0)),""))</f>
        <v>2370</v>
      </c>
      <c r="BQ629" s="37">
        <f t="shared" si="139"/>
        <v>7305</v>
      </c>
      <c r="BR629" s="36">
        <f t="shared" si="140"/>
        <v>5.1977000000000002</v>
      </c>
      <c r="BS629" s="36">
        <f t="shared" si="141"/>
        <v>1.5522</v>
      </c>
      <c r="BT629" s="36">
        <f t="shared" si="142"/>
        <v>3.6455000000000002</v>
      </c>
      <c r="BU629" s="36">
        <f t="shared" si="143"/>
        <v>3.0823</v>
      </c>
      <c r="BV629" s="39">
        <f t="shared" si="144"/>
        <v>0.84550816074612534</v>
      </c>
      <c r="BW629" s="39">
        <f t="shared" si="145"/>
        <v>0.99931553730321698</v>
      </c>
      <c r="BX629" s="40">
        <f t="shared" si="146"/>
        <v>2.1460843373493976E-2</v>
      </c>
      <c r="BY629" s="40">
        <f t="shared" si="147"/>
        <v>5.2710843373493972E-3</v>
      </c>
      <c r="BZ629" t="str">
        <f t="shared" si="148"/>
        <v>OK</v>
      </c>
      <c r="CA629">
        <f t="shared" si="149"/>
        <v>1</v>
      </c>
    </row>
    <row r="630" spans="1:80" x14ac:dyDescent="0.25">
      <c r="A630" s="35">
        <v>46210</v>
      </c>
      <c r="B630" s="36">
        <v>6.8022999999999998</v>
      </c>
      <c r="C630" t="s">
        <v>113</v>
      </c>
      <c r="D630" t="s">
        <v>6</v>
      </c>
      <c r="E630" t="s">
        <v>147</v>
      </c>
      <c r="F630" t="s">
        <v>175</v>
      </c>
      <c r="G630">
        <v>5053</v>
      </c>
      <c r="H630">
        <v>2140110668</v>
      </c>
      <c r="I630" t="s">
        <v>181</v>
      </c>
      <c r="J630" s="37">
        <v>9550</v>
      </c>
      <c r="K630" s="37">
        <v>10</v>
      </c>
      <c r="M630">
        <v>2656</v>
      </c>
      <c r="O630">
        <v>40</v>
      </c>
      <c r="P630">
        <v>15</v>
      </c>
      <c r="Q630">
        <v>14</v>
      </c>
      <c r="R630">
        <v>30</v>
      </c>
      <c r="V630" t="s">
        <v>120</v>
      </c>
      <c r="Y630" s="38">
        <v>0.5083333333333333</v>
      </c>
      <c r="Z630" s="38">
        <v>0.79166666666666663</v>
      </c>
      <c r="AA630" t="s">
        <v>117</v>
      </c>
      <c r="AC630" t="s">
        <v>121</v>
      </c>
      <c r="AF630">
        <v>0.189</v>
      </c>
      <c r="AG630">
        <v>0.42509999999999998</v>
      </c>
      <c r="AQ630">
        <v>0.14169999999999999</v>
      </c>
      <c r="AR630">
        <v>0.42509999999999998</v>
      </c>
      <c r="BI630">
        <v>0.189</v>
      </c>
      <c r="BJ630">
        <v>0.6613</v>
      </c>
      <c r="BK630">
        <f>0</f>
        <v>0</v>
      </c>
      <c r="BL630">
        <f t="shared" si="135"/>
        <v>2.0312000000000001</v>
      </c>
      <c r="BM630">
        <f t="shared" si="136"/>
        <v>0</v>
      </c>
      <c r="BN630">
        <f t="shared" si="137"/>
        <v>0</v>
      </c>
      <c r="BO630">
        <f t="shared" si="138"/>
        <v>1</v>
      </c>
      <c r="BP630" s="37">
        <f>IF($F630="","",IFERROR(INDEX(Familias!$C$5:$C$300,MATCH($F630,Familias!$A$5:$A$300,0)),""))</f>
        <v>2370</v>
      </c>
      <c r="BQ630" s="37">
        <f t="shared" si="139"/>
        <v>9560</v>
      </c>
      <c r="BR630" s="36">
        <f t="shared" si="140"/>
        <v>6.8022999999999998</v>
      </c>
      <c r="BS630" s="36">
        <f t="shared" si="141"/>
        <v>2.0312000000000001</v>
      </c>
      <c r="BT630" s="36">
        <f t="shared" si="142"/>
        <v>4.7710999999999997</v>
      </c>
      <c r="BU630" s="36">
        <f t="shared" si="143"/>
        <v>4.0338000000000003</v>
      </c>
      <c r="BV630" s="39">
        <f t="shared" si="144"/>
        <v>0.84546540630043399</v>
      </c>
      <c r="BW630" s="39">
        <f t="shared" si="145"/>
        <v>0.9989539748953975</v>
      </c>
      <c r="BX630" s="40">
        <f t="shared" si="146"/>
        <v>3.2003012048192774E-2</v>
      </c>
      <c r="BY630" s="40">
        <f t="shared" si="147"/>
        <v>5.2710843373493972E-3</v>
      </c>
      <c r="BZ630" t="str">
        <f t="shared" si="148"/>
        <v>OK</v>
      </c>
      <c r="CA630">
        <f t="shared" si="149"/>
        <v>1</v>
      </c>
    </row>
    <row r="631" spans="1:80" x14ac:dyDescent="0.25">
      <c r="A631" s="35">
        <v>46210</v>
      </c>
      <c r="B631" s="36">
        <v>0.30099999999999999</v>
      </c>
      <c r="C631" t="s">
        <v>119</v>
      </c>
      <c r="D631" t="s">
        <v>6</v>
      </c>
      <c r="E631" t="s">
        <v>147</v>
      </c>
      <c r="F631" t="s">
        <v>175</v>
      </c>
      <c r="G631">
        <v>5053</v>
      </c>
      <c r="H631">
        <v>2140110668</v>
      </c>
      <c r="I631" t="s">
        <v>181</v>
      </c>
      <c r="J631" s="37">
        <v>500</v>
      </c>
      <c r="K631" s="37"/>
      <c r="M631">
        <v>5598</v>
      </c>
      <c r="O631">
        <v>8</v>
      </c>
      <c r="P631">
        <v>31</v>
      </c>
      <c r="T631">
        <v>10</v>
      </c>
      <c r="V631" t="s">
        <v>116</v>
      </c>
      <c r="Y631" s="38">
        <v>0.79166666666666663</v>
      </c>
      <c r="Z631" s="38">
        <v>0.8041666666666667</v>
      </c>
      <c r="AA631" t="s">
        <v>117</v>
      </c>
      <c r="AC631" t="s">
        <v>121</v>
      </c>
      <c r="AF631">
        <v>1.2500000000000001E-2</v>
      </c>
      <c r="AQ631">
        <v>1.67E-2</v>
      </c>
      <c r="AR631">
        <v>1.8800000000000001E-2</v>
      </c>
      <c r="BI631">
        <v>4.1999999999999997E-3</v>
      </c>
      <c r="BJ631">
        <v>1.2500000000000001E-2</v>
      </c>
      <c r="BK631">
        <f>0</f>
        <v>0</v>
      </c>
      <c r="BL631">
        <f t="shared" si="135"/>
        <v>6.4700000000000008E-2</v>
      </c>
      <c r="BM631">
        <f t="shared" si="136"/>
        <v>0</v>
      </c>
      <c r="BN631">
        <f t="shared" si="137"/>
        <v>0</v>
      </c>
      <c r="BO631">
        <f t="shared" si="138"/>
        <v>1</v>
      </c>
      <c r="BP631" s="37">
        <f>IF($F631="","",IFERROR(INDEX(Familias!$C$5:$C$300,MATCH($F631,Familias!$A$5:$A$300,0)),""))</f>
        <v>2370</v>
      </c>
      <c r="BQ631" s="37">
        <f t="shared" si="139"/>
        <v>500</v>
      </c>
      <c r="BR631" s="36">
        <f t="shared" si="140"/>
        <v>0.30099999999999999</v>
      </c>
      <c r="BS631" s="36">
        <f t="shared" si="141"/>
        <v>6.4699999999999994E-2</v>
      </c>
      <c r="BT631" s="36">
        <f t="shared" si="142"/>
        <v>0.23630000000000001</v>
      </c>
      <c r="BU631" s="36">
        <f t="shared" si="143"/>
        <v>0.21099999999999999</v>
      </c>
      <c r="BV631" s="39">
        <f t="shared" si="144"/>
        <v>0.89293271265340657</v>
      </c>
      <c r="BW631" s="39">
        <f t="shared" si="145"/>
        <v>1</v>
      </c>
      <c r="BX631" s="40">
        <f t="shared" si="146"/>
        <v>6.9667738478027871E-3</v>
      </c>
      <c r="BY631" s="40">
        <f t="shared" si="147"/>
        <v>0</v>
      </c>
      <c r="BZ631" t="str">
        <f t="shared" si="148"/>
        <v>OK</v>
      </c>
      <c r="CA631">
        <f t="shared" si="149"/>
        <v>1</v>
      </c>
    </row>
    <row r="632" spans="1:80" x14ac:dyDescent="0.25">
      <c r="A632" s="35">
        <v>46210</v>
      </c>
      <c r="B632" s="36">
        <v>11.699</v>
      </c>
      <c r="C632" t="s">
        <v>119</v>
      </c>
      <c r="D632" t="s">
        <v>6</v>
      </c>
      <c r="E632" t="s">
        <v>147</v>
      </c>
      <c r="F632" t="s">
        <v>175</v>
      </c>
      <c r="G632">
        <v>5077</v>
      </c>
      <c r="H632">
        <v>2140110667</v>
      </c>
      <c r="I632" t="s">
        <v>179</v>
      </c>
      <c r="J632" s="37">
        <v>19425</v>
      </c>
      <c r="K632" s="37">
        <v>8</v>
      </c>
      <c r="M632">
        <v>194</v>
      </c>
      <c r="O632">
        <v>30</v>
      </c>
      <c r="R632">
        <v>20</v>
      </c>
      <c r="T632">
        <v>0</v>
      </c>
      <c r="V632" t="s">
        <v>116</v>
      </c>
      <c r="Y632" s="38">
        <v>0.8041666666666667</v>
      </c>
      <c r="Z632" s="38">
        <v>0.29166666666666669</v>
      </c>
      <c r="AA632" t="s">
        <v>117</v>
      </c>
      <c r="AC632" t="s">
        <v>121</v>
      </c>
      <c r="AF632">
        <v>0.48749999999999999</v>
      </c>
      <c r="AQ632">
        <v>0.64990000000000003</v>
      </c>
      <c r="AR632">
        <v>0.73119999999999996</v>
      </c>
      <c r="BI632">
        <v>0.16250000000000001</v>
      </c>
      <c r="BJ632">
        <v>0.48749999999999999</v>
      </c>
      <c r="BK632">
        <f>0</f>
        <v>0</v>
      </c>
      <c r="BL632">
        <f t="shared" si="135"/>
        <v>2.5185999999999997</v>
      </c>
      <c r="BM632">
        <f t="shared" si="136"/>
        <v>0</v>
      </c>
      <c r="BN632">
        <f t="shared" si="137"/>
        <v>0</v>
      </c>
      <c r="BO632">
        <f t="shared" si="138"/>
        <v>1</v>
      </c>
      <c r="BP632" s="37">
        <f>IF($F632="","",IFERROR(INDEX(Familias!$C$5:$C$300,MATCH($F632,Familias!$A$5:$A$300,0)),""))</f>
        <v>2370</v>
      </c>
      <c r="BQ632" s="37">
        <f t="shared" si="139"/>
        <v>19433</v>
      </c>
      <c r="BR632" s="36">
        <f t="shared" si="140"/>
        <v>11.699</v>
      </c>
      <c r="BS632" s="36">
        <f t="shared" si="141"/>
        <v>2.5186000000000002</v>
      </c>
      <c r="BT632" s="36">
        <f t="shared" si="142"/>
        <v>9.1804000000000006</v>
      </c>
      <c r="BU632" s="36">
        <f t="shared" si="143"/>
        <v>8.1996000000000002</v>
      </c>
      <c r="BV632" s="39">
        <f t="shared" si="144"/>
        <v>0.89316369657095551</v>
      </c>
      <c r="BW632" s="39">
        <f t="shared" si="145"/>
        <v>0.99958832913085993</v>
      </c>
      <c r="BX632" s="40">
        <f t="shared" si="146"/>
        <v>0.25773195876288657</v>
      </c>
      <c r="BY632" s="40">
        <f t="shared" si="147"/>
        <v>0</v>
      </c>
      <c r="BZ632" t="str">
        <f t="shared" si="148"/>
        <v>OK</v>
      </c>
      <c r="CA632">
        <f t="shared" si="149"/>
        <v>1</v>
      </c>
    </row>
    <row r="633" spans="1:80" x14ac:dyDescent="0.25">
      <c r="A633" s="35">
        <v>46211</v>
      </c>
      <c r="B633" s="36">
        <v>12</v>
      </c>
      <c r="C633" t="s">
        <v>113</v>
      </c>
      <c r="D633" t="s">
        <v>6</v>
      </c>
      <c r="E633" t="s">
        <v>114</v>
      </c>
      <c r="F633" t="s">
        <v>210</v>
      </c>
      <c r="G633">
        <v>5082</v>
      </c>
      <c r="H633">
        <v>2140110703</v>
      </c>
      <c r="I633" t="s">
        <v>216</v>
      </c>
      <c r="J633" s="37">
        <v>3250</v>
      </c>
      <c r="K633" s="37">
        <v>20</v>
      </c>
      <c r="M633">
        <v>1010</v>
      </c>
      <c r="O633">
        <v>25</v>
      </c>
      <c r="P633">
        <v>6</v>
      </c>
      <c r="Q633">
        <v>10</v>
      </c>
      <c r="R633">
        <v>80</v>
      </c>
      <c r="T633">
        <v>2</v>
      </c>
      <c r="V633" t="s">
        <v>120</v>
      </c>
      <c r="Y633" s="38">
        <v>0.29166666666666669</v>
      </c>
      <c r="Z633" s="38">
        <v>0.79166666666666663</v>
      </c>
      <c r="AA633" t="s">
        <v>117</v>
      </c>
      <c r="AC633" t="s">
        <v>118</v>
      </c>
      <c r="AE633">
        <v>3.8332999999999999</v>
      </c>
      <c r="AL633">
        <v>0.5</v>
      </c>
      <c r="AM633">
        <v>1.5</v>
      </c>
      <c r="AQ633">
        <v>0.25</v>
      </c>
      <c r="AR633">
        <v>0.75</v>
      </c>
      <c r="AS633">
        <v>2.75</v>
      </c>
      <c r="BI633">
        <v>0.16669999999999999</v>
      </c>
      <c r="BJ633">
        <v>1.25</v>
      </c>
      <c r="BK633">
        <f>0</f>
        <v>0</v>
      </c>
      <c r="BL633">
        <f t="shared" si="135"/>
        <v>11</v>
      </c>
      <c r="BM633">
        <f t="shared" si="136"/>
        <v>0</v>
      </c>
      <c r="BN633">
        <f t="shared" si="137"/>
        <v>0</v>
      </c>
      <c r="BO633">
        <f t="shared" si="138"/>
        <v>1</v>
      </c>
      <c r="BP633" s="37">
        <f>IF($F633="","",IFERROR(INDEX(Familias!$C$5:$C$300,MATCH($F633,Familias!$A$5:$A$300,0)),""))</f>
        <v>2520</v>
      </c>
      <c r="BQ633" s="37">
        <f t="shared" si="139"/>
        <v>3270</v>
      </c>
      <c r="BR633" s="36">
        <f t="shared" si="140"/>
        <v>12</v>
      </c>
      <c r="BS633" s="36">
        <f t="shared" si="141"/>
        <v>11</v>
      </c>
      <c r="BT633" s="36">
        <f t="shared" si="142"/>
        <v>1</v>
      </c>
      <c r="BU633" s="36">
        <f t="shared" si="143"/>
        <v>1.2976000000000001</v>
      </c>
      <c r="BV633" s="39">
        <f t="shared" si="144"/>
        <v>1.2976000000000001</v>
      </c>
      <c r="BW633" s="39">
        <f t="shared" si="145"/>
        <v>0.99388379204892963</v>
      </c>
      <c r="BX633" s="40">
        <f t="shared" si="146"/>
        <v>0.1099009900990099</v>
      </c>
      <c r="BY633" s="40">
        <f t="shared" si="147"/>
        <v>9.9009900990099011E-3</v>
      </c>
      <c r="BZ633" t="str">
        <f t="shared" si="148"/>
        <v>Revisar rendimiento</v>
      </c>
      <c r="CA633">
        <f t="shared" si="149"/>
        <v>1</v>
      </c>
    </row>
    <row r="634" spans="1:80" x14ac:dyDescent="0.25">
      <c r="A634" s="35">
        <v>46211</v>
      </c>
      <c r="B634" s="36">
        <v>12</v>
      </c>
      <c r="C634" t="s">
        <v>119</v>
      </c>
      <c r="D634" t="s">
        <v>6</v>
      </c>
      <c r="E634" t="s">
        <v>114</v>
      </c>
      <c r="F634" t="s">
        <v>210</v>
      </c>
      <c r="G634">
        <v>5082</v>
      </c>
      <c r="H634">
        <v>2140110703</v>
      </c>
      <c r="I634" t="s">
        <v>216</v>
      </c>
      <c r="J634" s="37">
        <v>24000</v>
      </c>
      <c r="K634" s="37">
        <v>8</v>
      </c>
      <c r="M634">
        <v>6069</v>
      </c>
      <c r="O634">
        <v>70</v>
      </c>
      <c r="P634">
        <v>44</v>
      </c>
      <c r="T634">
        <v>11</v>
      </c>
      <c r="V634" t="s">
        <v>116</v>
      </c>
      <c r="Y634" s="38">
        <v>0.79166666666666663</v>
      </c>
      <c r="Z634" s="38">
        <v>0.29166666666666669</v>
      </c>
      <c r="AA634" t="s">
        <v>117</v>
      </c>
      <c r="AC634" t="s">
        <v>118</v>
      </c>
      <c r="AQ634">
        <v>0.25</v>
      </c>
      <c r="AR634">
        <v>0.75</v>
      </c>
      <c r="BI634">
        <v>0.5</v>
      </c>
      <c r="BK634">
        <f>0</f>
        <v>0</v>
      </c>
      <c r="BL634">
        <f t="shared" si="135"/>
        <v>1.5</v>
      </c>
      <c r="BM634">
        <f t="shared" si="136"/>
        <v>0</v>
      </c>
      <c r="BN634">
        <f t="shared" si="137"/>
        <v>0</v>
      </c>
      <c r="BO634">
        <f t="shared" si="138"/>
        <v>1</v>
      </c>
      <c r="BP634" s="37">
        <f>IF($F634="","",IFERROR(INDEX(Familias!$C$5:$C$300,MATCH($F634,Familias!$A$5:$A$300,0)),""))</f>
        <v>2520</v>
      </c>
      <c r="BQ634" s="37">
        <f t="shared" si="139"/>
        <v>24008</v>
      </c>
      <c r="BR634" s="36">
        <f t="shared" si="140"/>
        <v>12</v>
      </c>
      <c r="BS634" s="36">
        <f t="shared" si="141"/>
        <v>1.5</v>
      </c>
      <c r="BT634" s="36">
        <f t="shared" si="142"/>
        <v>10.5</v>
      </c>
      <c r="BU634" s="36">
        <f t="shared" si="143"/>
        <v>9.5269999999999992</v>
      </c>
      <c r="BV634" s="39">
        <f t="shared" si="144"/>
        <v>0.90733333333333321</v>
      </c>
      <c r="BW634" s="39">
        <f t="shared" si="145"/>
        <v>0.99966677774075308</v>
      </c>
      <c r="BX634" s="40">
        <f t="shared" si="146"/>
        <v>1.8783984181908058E-2</v>
      </c>
      <c r="BY634" s="40">
        <f t="shared" si="147"/>
        <v>0</v>
      </c>
      <c r="BZ634" t="str">
        <f t="shared" si="148"/>
        <v>OK</v>
      </c>
      <c r="CA634">
        <f t="shared" si="149"/>
        <v>1</v>
      </c>
    </row>
    <row r="635" spans="1:80" x14ac:dyDescent="0.25">
      <c r="A635" s="35">
        <v>46212</v>
      </c>
      <c r="B635" s="36">
        <v>12</v>
      </c>
      <c r="C635" t="s">
        <v>113</v>
      </c>
      <c r="D635" t="s">
        <v>6</v>
      </c>
      <c r="E635" t="s">
        <v>114</v>
      </c>
      <c r="F635" t="s">
        <v>210</v>
      </c>
      <c r="G635">
        <v>5082</v>
      </c>
      <c r="H635">
        <v>2140110703</v>
      </c>
      <c r="I635" t="s">
        <v>216</v>
      </c>
      <c r="J635" s="37">
        <v>25350</v>
      </c>
      <c r="K635" s="37">
        <v>5</v>
      </c>
      <c r="M635">
        <v>6263</v>
      </c>
      <c r="O635">
        <v>50</v>
      </c>
      <c r="P635">
        <v>33</v>
      </c>
      <c r="V635" t="s">
        <v>120</v>
      </c>
      <c r="Y635" s="38">
        <v>0.29166666666666669</v>
      </c>
      <c r="Z635" s="38">
        <v>0.79166666666666663</v>
      </c>
      <c r="AA635" t="s">
        <v>117</v>
      </c>
      <c r="AC635" t="s">
        <v>118</v>
      </c>
      <c r="AQ635">
        <v>0.25</v>
      </c>
      <c r="AR635">
        <v>0.75</v>
      </c>
      <c r="BI635">
        <v>0.16669999999999999</v>
      </c>
      <c r="BK635">
        <f>0</f>
        <v>0</v>
      </c>
      <c r="BL635">
        <f t="shared" si="135"/>
        <v>1.1667000000000001</v>
      </c>
      <c r="BM635">
        <f t="shared" si="136"/>
        <v>0</v>
      </c>
      <c r="BN635">
        <f t="shared" si="137"/>
        <v>0</v>
      </c>
      <c r="BO635">
        <f t="shared" si="138"/>
        <v>1</v>
      </c>
      <c r="BP635" s="37">
        <f>IF($F635="","",IFERROR(INDEX(Familias!$C$5:$C$300,MATCH($F635,Familias!$A$5:$A$300,0)),""))</f>
        <v>2520</v>
      </c>
      <c r="BQ635" s="37">
        <f t="shared" si="139"/>
        <v>25355</v>
      </c>
      <c r="BR635" s="36">
        <f t="shared" si="140"/>
        <v>12</v>
      </c>
      <c r="BS635" s="36">
        <f t="shared" si="141"/>
        <v>1.1667000000000001</v>
      </c>
      <c r="BT635" s="36">
        <f t="shared" si="142"/>
        <v>10.833299999999999</v>
      </c>
      <c r="BU635" s="36">
        <f t="shared" si="143"/>
        <v>10.061500000000001</v>
      </c>
      <c r="BV635" s="39">
        <f t="shared" si="144"/>
        <v>0.92875670386678122</v>
      </c>
      <c r="BW635" s="39">
        <f t="shared" si="145"/>
        <v>0.9998028002366397</v>
      </c>
      <c r="BX635" s="40">
        <f t="shared" si="146"/>
        <v>1.3252434935334505E-2</v>
      </c>
      <c r="BY635" s="40">
        <f t="shared" si="147"/>
        <v>0</v>
      </c>
      <c r="BZ635" t="str">
        <f t="shared" si="148"/>
        <v>OK</v>
      </c>
      <c r="CA635">
        <f t="shared" si="149"/>
        <v>1</v>
      </c>
    </row>
    <row r="636" spans="1:80" x14ac:dyDescent="0.25">
      <c r="A636" s="35">
        <v>46212</v>
      </c>
      <c r="B636" s="36">
        <v>12</v>
      </c>
      <c r="C636" t="s">
        <v>119</v>
      </c>
      <c r="D636" t="s">
        <v>6</v>
      </c>
      <c r="E636" t="s">
        <v>114</v>
      </c>
      <c r="F636" t="s">
        <v>210</v>
      </c>
      <c r="G636">
        <v>5082</v>
      </c>
      <c r="H636">
        <v>2140110703</v>
      </c>
      <c r="I636" t="s">
        <v>216</v>
      </c>
      <c r="J636" s="37">
        <v>24350</v>
      </c>
      <c r="K636" s="37">
        <v>5</v>
      </c>
      <c r="M636">
        <v>6158</v>
      </c>
      <c r="O636">
        <v>48</v>
      </c>
      <c r="Q636">
        <v>154</v>
      </c>
      <c r="T636">
        <v>11</v>
      </c>
      <c r="V636" t="s">
        <v>116</v>
      </c>
      <c r="Y636" s="38">
        <v>0.79166666666666663</v>
      </c>
      <c r="Z636" s="38">
        <v>0.29166666666666669</v>
      </c>
      <c r="AA636" t="s">
        <v>117</v>
      </c>
      <c r="AC636" t="s">
        <v>118</v>
      </c>
      <c r="AQ636">
        <v>0.25</v>
      </c>
      <c r="AR636">
        <v>0.75</v>
      </c>
      <c r="BI636">
        <v>0.5</v>
      </c>
      <c r="BK636">
        <f>0</f>
        <v>0</v>
      </c>
      <c r="BL636">
        <f t="shared" si="135"/>
        <v>1.5</v>
      </c>
      <c r="BM636">
        <f t="shared" si="136"/>
        <v>0</v>
      </c>
      <c r="BN636">
        <f t="shared" si="137"/>
        <v>0</v>
      </c>
      <c r="BO636">
        <f t="shared" si="138"/>
        <v>1</v>
      </c>
      <c r="BP636" s="37">
        <f>IF($F636="","",IFERROR(INDEX(Familias!$C$5:$C$300,MATCH($F636,Familias!$A$5:$A$300,0)),""))</f>
        <v>2520</v>
      </c>
      <c r="BQ636" s="37">
        <f t="shared" si="139"/>
        <v>24355</v>
      </c>
      <c r="BR636" s="36">
        <f t="shared" si="140"/>
        <v>12</v>
      </c>
      <c r="BS636" s="36">
        <f t="shared" si="141"/>
        <v>1.5</v>
      </c>
      <c r="BT636" s="36">
        <f t="shared" si="142"/>
        <v>10.5</v>
      </c>
      <c r="BU636" s="36">
        <f t="shared" si="143"/>
        <v>9.6646999999999998</v>
      </c>
      <c r="BV636" s="39">
        <f t="shared" si="144"/>
        <v>0.92044761904761907</v>
      </c>
      <c r="BW636" s="39">
        <f t="shared" si="145"/>
        <v>0.99979470334633547</v>
      </c>
      <c r="BX636" s="40">
        <f t="shared" si="146"/>
        <v>7.7947385514777522E-3</v>
      </c>
      <c r="BY636" s="40">
        <f t="shared" si="147"/>
        <v>2.5008119519324457E-2</v>
      </c>
      <c r="BZ636" t="str">
        <f t="shared" si="148"/>
        <v>OK</v>
      </c>
      <c r="CA636">
        <f t="shared" si="149"/>
        <v>1</v>
      </c>
    </row>
    <row r="637" spans="1:80" x14ac:dyDescent="0.25">
      <c r="A637" s="35">
        <v>46213</v>
      </c>
      <c r="B637" s="36">
        <v>12</v>
      </c>
      <c r="C637" t="s">
        <v>113</v>
      </c>
      <c r="D637" t="s">
        <v>6</v>
      </c>
      <c r="E637" t="s">
        <v>114</v>
      </c>
      <c r="F637" t="s">
        <v>210</v>
      </c>
      <c r="G637">
        <v>5082</v>
      </c>
      <c r="H637">
        <v>2140110703</v>
      </c>
      <c r="I637" t="s">
        <v>216</v>
      </c>
      <c r="J637" s="37">
        <v>24650</v>
      </c>
      <c r="K637" s="37">
        <v>5</v>
      </c>
      <c r="M637">
        <v>6148</v>
      </c>
      <c r="O637">
        <v>40</v>
      </c>
      <c r="V637" t="s">
        <v>120</v>
      </c>
      <c r="Y637" s="38">
        <v>0.29166666666666669</v>
      </c>
      <c r="Z637" s="38">
        <v>0.79166666666666663</v>
      </c>
      <c r="AA637" t="s">
        <v>117</v>
      </c>
      <c r="AC637" t="s">
        <v>118</v>
      </c>
      <c r="AO637">
        <v>0.75</v>
      </c>
      <c r="AQ637">
        <v>0.25</v>
      </c>
      <c r="BI637">
        <v>0.16669999999999999</v>
      </c>
      <c r="BK637">
        <f>0</f>
        <v>0</v>
      </c>
      <c r="BL637">
        <f t="shared" si="135"/>
        <v>1.1667000000000001</v>
      </c>
      <c r="BM637">
        <f t="shared" si="136"/>
        <v>0</v>
      </c>
      <c r="BN637">
        <f t="shared" si="137"/>
        <v>0</v>
      </c>
      <c r="BO637">
        <f t="shared" si="138"/>
        <v>1</v>
      </c>
      <c r="BP637" s="37">
        <f>IF($F637="","",IFERROR(INDEX(Familias!$C$5:$C$300,MATCH($F637,Familias!$A$5:$A$300,0)),""))</f>
        <v>2520</v>
      </c>
      <c r="BQ637" s="37">
        <f t="shared" si="139"/>
        <v>24655</v>
      </c>
      <c r="BR637" s="36">
        <f t="shared" si="140"/>
        <v>12</v>
      </c>
      <c r="BS637" s="36">
        <f t="shared" si="141"/>
        <v>1.1667000000000001</v>
      </c>
      <c r="BT637" s="36">
        <f t="shared" si="142"/>
        <v>10.833299999999999</v>
      </c>
      <c r="BU637" s="36">
        <f t="shared" si="143"/>
        <v>9.7836999999999996</v>
      </c>
      <c r="BV637" s="39">
        <f t="shared" si="144"/>
        <v>0.90311354804168631</v>
      </c>
      <c r="BW637" s="39">
        <f t="shared" si="145"/>
        <v>0.99979720137903061</v>
      </c>
      <c r="BX637" s="40">
        <f t="shared" si="146"/>
        <v>6.5061808718282366E-3</v>
      </c>
      <c r="BY637" s="40">
        <f t="shared" si="147"/>
        <v>0</v>
      </c>
      <c r="BZ637" t="str">
        <f t="shared" si="148"/>
        <v>OK</v>
      </c>
      <c r="CA637">
        <f t="shared" si="149"/>
        <v>1</v>
      </c>
    </row>
    <row r="638" spans="1:80" x14ac:dyDescent="0.25">
      <c r="A638" s="35">
        <v>46213</v>
      </c>
      <c r="B638" s="36">
        <v>12</v>
      </c>
      <c r="C638" t="s">
        <v>119</v>
      </c>
      <c r="D638" t="s">
        <v>6</v>
      </c>
      <c r="E638" t="s">
        <v>114</v>
      </c>
      <c r="F638" t="s">
        <v>210</v>
      </c>
      <c r="G638">
        <v>5082</v>
      </c>
      <c r="H638">
        <v>2140110703</v>
      </c>
      <c r="I638" t="s">
        <v>216</v>
      </c>
      <c r="J638" s="37">
        <v>24450</v>
      </c>
      <c r="K638" s="37">
        <v>6</v>
      </c>
      <c r="M638">
        <v>6100</v>
      </c>
      <c r="O638">
        <v>40</v>
      </c>
      <c r="P638">
        <v>40</v>
      </c>
      <c r="T638">
        <v>11</v>
      </c>
      <c r="V638" t="s">
        <v>116</v>
      </c>
      <c r="Y638" s="38">
        <v>0.79166666666666663</v>
      </c>
      <c r="Z638" s="38">
        <v>0.29166666666666669</v>
      </c>
      <c r="AA638" t="s">
        <v>117</v>
      </c>
      <c r="AC638" t="s">
        <v>118</v>
      </c>
      <c r="AQ638">
        <v>0.25</v>
      </c>
      <c r="AR638">
        <v>0.75</v>
      </c>
      <c r="BI638">
        <v>0.5</v>
      </c>
      <c r="BK638">
        <f>0</f>
        <v>0</v>
      </c>
      <c r="BL638">
        <f t="shared" si="135"/>
        <v>1.5</v>
      </c>
      <c r="BM638">
        <f t="shared" si="136"/>
        <v>0</v>
      </c>
      <c r="BN638">
        <f t="shared" si="137"/>
        <v>0</v>
      </c>
      <c r="BO638">
        <f t="shared" si="138"/>
        <v>1</v>
      </c>
      <c r="BP638" s="37">
        <f>IF($F638="","",IFERROR(INDEX(Familias!$C$5:$C$300,MATCH($F638,Familias!$A$5:$A$300,0)),""))</f>
        <v>2520</v>
      </c>
      <c r="BQ638" s="37">
        <f t="shared" si="139"/>
        <v>24456</v>
      </c>
      <c r="BR638" s="36">
        <f t="shared" si="140"/>
        <v>12</v>
      </c>
      <c r="BS638" s="36">
        <f t="shared" si="141"/>
        <v>1.5</v>
      </c>
      <c r="BT638" s="36">
        <f t="shared" si="142"/>
        <v>10.5</v>
      </c>
      <c r="BU638" s="36">
        <f t="shared" si="143"/>
        <v>9.7048000000000005</v>
      </c>
      <c r="BV638" s="39">
        <f t="shared" si="144"/>
        <v>0.92426666666666668</v>
      </c>
      <c r="BW638" s="39">
        <f t="shared" si="145"/>
        <v>0.99975466143277725</v>
      </c>
      <c r="BX638" s="40">
        <f t="shared" si="146"/>
        <v>1.3114754098360656E-2</v>
      </c>
      <c r="BY638" s="40">
        <f t="shared" si="147"/>
        <v>0</v>
      </c>
      <c r="BZ638" t="str">
        <f t="shared" si="148"/>
        <v>OK</v>
      </c>
      <c r="CA638">
        <f t="shared" si="149"/>
        <v>1</v>
      </c>
    </row>
    <row r="639" spans="1:80" x14ac:dyDescent="0.25">
      <c r="A639" s="35">
        <v>46214</v>
      </c>
      <c r="B639" s="36">
        <v>11.1517</v>
      </c>
      <c r="C639" t="s">
        <v>113</v>
      </c>
      <c r="D639" t="s">
        <v>6</v>
      </c>
      <c r="E639" t="s">
        <v>114</v>
      </c>
      <c r="F639" t="s">
        <v>210</v>
      </c>
      <c r="G639">
        <v>5082</v>
      </c>
      <c r="H639">
        <v>2140110703</v>
      </c>
      <c r="I639" t="s">
        <v>216</v>
      </c>
      <c r="J639" s="37">
        <v>23000</v>
      </c>
      <c r="K639" s="37">
        <v>5</v>
      </c>
      <c r="M639">
        <v>5719</v>
      </c>
      <c r="O639">
        <v>40</v>
      </c>
      <c r="P639">
        <v>33</v>
      </c>
      <c r="T639">
        <v>11</v>
      </c>
      <c r="V639" t="s">
        <v>120</v>
      </c>
      <c r="Y639" s="38">
        <v>0.29166666666666669</v>
      </c>
      <c r="Z639" s="38">
        <v>0.75624999999999998</v>
      </c>
      <c r="AA639" t="s">
        <v>117</v>
      </c>
      <c r="AC639" t="s">
        <v>121</v>
      </c>
      <c r="AQ639">
        <v>0.23230000000000001</v>
      </c>
      <c r="AR639">
        <v>0.69699999999999995</v>
      </c>
      <c r="BI639">
        <v>0.15490000000000001</v>
      </c>
      <c r="BK639">
        <f>0</f>
        <v>0</v>
      </c>
      <c r="BL639">
        <f t="shared" si="135"/>
        <v>1.0842000000000001</v>
      </c>
      <c r="BM639">
        <f t="shared" si="136"/>
        <v>0</v>
      </c>
      <c r="BN639">
        <f t="shared" si="137"/>
        <v>0</v>
      </c>
      <c r="BO639">
        <f t="shared" si="138"/>
        <v>1</v>
      </c>
      <c r="BP639" s="37">
        <f>IF($F639="","",IFERROR(INDEX(Familias!$C$5:$C$300,MATCH($F639,Familias!$A$5:$A$300,0)),""))</f>
        <v>2520</v>
      </c>
      <c r="BQ639" s="37">
        <f t="shared" si="139"/>
        <v>23005</v>
      </c>
      <c r="BR639" s="36">
        <f t="shared" si="140"/>
        <v>11.1517</v>
      </c>
      <c r="BS639" s="36">
        <f t="shared" si="141"/>
        <v>1.0842000000000001</v>
      </c>
      <c r="BT639" s="36">
        <f t="shared" si="142"/>
        <v>10.067500000000001</v>
      </c>
      <c r="BU639" s="36">
        <f t="shared" si="143"/>
        <v>9.1289999999999996</v>
      </c>
      <c r="BV639" s="39">
        <f t="shared" si="144"/>
        <v>0.90677924012912825</v>
      </c>
      <c r="BW639" s="39">
        <f t="shared" si="145"/>
        <v>0.99978265594435989</v>
      </c>
      <c r="BX639" s="40">
        <f t="shared" si="146"/>
        <v>1.2764469312816926E-2</v>
      </c>
      <c r="BY639" s="40">
        <f t="shared" si="147"/>
        <v>0</v>
      </c>
      <c r="BZ639" t="str">
        <f t="shared" si="148"/>
        <v>OK</v>
      </c>
      <c r="CA639">
        <f t="shared" si="149"/>
        <v>1</v>
      </c>
    </row>
    <row r="640" spans="1:80" x14ac:dyDescent="0.25">
      <c r="A640" s="35">
        <v>46214</v>
      </c>
      <c r="B640" s="36">
        <v>0.84830000000000005</v>
      </c>
      <c r="C640" t="s">
        <v>113</v>
      </c>
      <c r="D640" t="s">
        <v>6</v>
      </c>
      <c r="E640" t="s">
        <v>114</v>
      </c>
      <c r="F640" t="s">
        <v>210</v>
      </c>
      <c r="G640">
        <v>5171</v>
      </c>
      <c r="H640">
        <v>2140110707</v>
      </c>
      <c r="I640" t="s">
        <v>211</v>
      </c>
      <c r="J640" s="37">
        <v>1750</v>
      </c>
      <c r="K640" s="37"/>
      <c r="M640">
        <v>400</v>
      </c>
      <c r="T640">
        <v>0</v>
      </c>
      <c r="V640" t="s">
        <v>120</v>
      </c>
      <c r="Y640" s="38">
        <v>0.75624999999999998</v>
      </c>
      <c r="Z640" s="38">
        <v>0.79166666666666663</v>
      </c>
      <c r="AA640" t="s">
        <v>117</v>
      </c>
      <c r="AC640" t="s">
        <v>121</v>
      </c>
      <c r="AQ640">
        <v>1.77E-2</v>
      </c>
      <c r="AR640">
        <v>5.2999999999999999E-2</v>
      </c>
      <c r="BI640">
        <v>1.18E-2</v>
      </c>
      <c r="BK640">
        <f>0</f>
        <v>0</v>
      </c>
      <c r="BL640">
        <f t="shared" si="135"/>
        <v>8.2500000000000004E-2</v>
      </c>
      <c r="BM640">
        <f t="shared" si="136"/>
        <v>0</v>
      </c>
      <c r="BN640">
        <f t="shared" si="137"/>
        <v>0</v>
      </c>
      <c r="BO640">
        <f t="shared" si="138"/>
        <v>1</v>
      </c>
      <c r="BP640" s="37">
        <f>IF($F640="","",IFERROR(INDEX(Familias!$C$5:$C$300,MATCH($F640,Familias!$A$5:$A$300,0)),""))</f>
        <v>2520</v>
      </c>
      <c r="BQ640" s="37">
        <f t="shared" si="139"/>
        <v>1750</v>
      </c>
      <c r="BR640" s="36">
        <f t="shared" si="140"/>
        <v>0.84830000000000005</v>
      </c>
      <c r="BS640" s="36">
        <f t="shared" si="141"/>
        <v>8.2500000000000004E-2</v>
      </c>
      <c r="BT640" s="36">
        <f t="shared" si="142"/>
        <v>0.76580000000000004</v>
      </c>
      <c r="BU640" s="36">
        <f t="shared" si="143"/>
        <v>0.69440000000000002</v>
      </c>
      <c r="BV640" s="39">
        <f t="shared" si="144"/>
        <v>0.90676416819012795</v>
      </c>
      <c r="BW640" s="39">
        <f t="shared" si="145"/>
        <v>1</v>
      </c>
      <c r="BX640" s="40">
        <f t="shared" si="146"/>
        <v>0</v>
      </c>
      <c r="BY640" s="40">
        <f t="shared" si="147"/>
        <v>0</v>
      </c>
      <c r="BZ640" t="str">
        <f t="shared" si="148"/>
        <v>OK</v>
      </c>
      <c r="CA640">
        <f t="shared" si="149"/>
        <v>1</v>
      </c>
    </row>
    <row r="641" spans="1:80" x14ac:dyDescent="0.25">
      <c r="A641" s="35">
        <v>46214</v>
      </c>
      <c r="B641" s="36">
        <v>12</v>
      </c>
      <c r="C641" t="s">
        <v>119</v>
      </c>
      <c r="D641" t="s">
        <v>6</v>
      </c>
      <c r="E641" t="s">
        <v>114</v>
      </c>
      <c r="F641" t="s">
        <v>210</v>
      </c>
      <c r="G641">
        <v>5171</v>
      </c>
      <c r="H641">
        <v>2140110707</v>
      </c>
      <c r="I641" t="s">
        <v>211</v>
      </c>
      <c r="J641" s="37">
        <v>20300</v>
      </c>
      <c r="K641" s="37">
        <v>8</v>
      </c>
      <c r="M641">
        <v>5021</v>
      </c>
      <c r="O641">
        <v>40</v>
      </c>
      <c r="P641">
        <v>24</v>
      </c>
      <c r="Q641">
        <v>20</v>
      </c>
      <c r="T641">
        <v>9</v>
      </c>
      <c r="V641" t="s">
        <v>116</v>
      </c>
      <c r="Y641" s="38">
        <v>0.79166666666666663</v>
      </c>
      <c r="Z641" s="38">
        <v>0.29166666666666669</v>
      </c>
      <c r="AA641" t="s">
        <v>117</v>
      </c>
      <c r="AC641" t="s">
        <v>118</v>
      </c>
      <c r="AQ641">
        <v>2</v>
      </c>
      <c r="AR641">
        <v>0.75</v>
      </c>
      <c r="BI641">
        <v>0.5</v>
      </c>
      <c r="BK641">
        <f>0</f>
        <v>0</v>
      </c>
      <c r="BL641">
        <f t="shared" si="135"/>
        <v>3.25</v>
      </c>
      <c r="BM641">
        <f t="shared" si="136"/>
        <v>0</v>
      </c>
      <c r="BN641">
        <f t="shared" si="137"/>
        <v>0</v>
      </c>
      <c r="BO641">
        <f t="shared" si="138"/>
        <v>1</v>
      </c>
      <c r="BP641" s="37">
        <f>IF($F641="","",IFERROR(INDEX(Familias!$C$5:$C$300,MATCH($F641,Familias!$A$5:$A$300,0)),""))</f>
        <v>2520</v>
      </c>
      <c r="BQ641" s="37">
        <f t="shared" si="139"/>
        <v>20308</v>
      </c>
      <c r="BR641" s="36">
        <f t="shared" si="140"/>
        <v>12</v>
      </c>
      <c r="BS641" s="36">
        <f t="shared" si="141"/>
        <v>3.25</v>
      </c>
      <c r="BT641" s="36">
        <f t="shared" si="142"/>
        <v>8.75</v>
      </c>
      <c r="BU641" s="36">
        <f t="shared" si="143"/>
        <v>8.0587</v>
      </c>
      <c r="BV641" s="39">
        <f t="shared" si="144"/>
        <v>0.92099428571428577</v>
      </c>
      <c r="BW641" s="39">
        <f t="shared" si="145"/>
        <v>0.99960606657474882</v>
      </c>
      <c r="BX641" s="40">
        <f t="shared" si="146"/>
        <v>1.2746464847639912E-2</v>
      </c>
      <c r="BY641" s="40">
        <f t="shared" si="147"/>
        <v>3.9832702648874728E-3</v>
      </c>
      <c r="BZ641" t="str">
        <f t="shared" si="148"/>
        <v>OK</v>
      </c>
      <c r="CA641">
        <f t="shared" si="149"/>
        <v>1</v>
      </c>
    </row>
    <row r="642" spans="1:80" x14ac:dyDescent="0.25">
      <c r="A642" s="35">
        <v>46216</v>
      </c>
      <c r="B642" s="36">
        <v>12</v>
      </c>
      <c r="C642" t="s">
        <v>113</v>
      </c>
      <c r="D642" t="s">
        <v>6</v>
      </c>
      <c r="E642" t="s">
        <v>114</v>
      </c>
      <c r="F642" t="s">
        <v>210</v>
      </c>
      <c r="G642">
        <v>5171</v>
      </c>
      <c r="H642">
        <v>2140110707</v>
      </c>
      <c r="I642" t="s">
        <v>211</v>
      </c>
      <c r="J642" s="37">
        <v>24350</v>
      </c>
      <c r="K642" s="37">
        <v>8</v>
      </c>
      <c r="M642">
        <v>6150</v>
      </c>
      <c r="O642">
        <v>65</v>
      </c>
      <c r="P642">
        <v>36</v>
      </c>
      <c r="Q642">
        <v>61</v>
      </c>
      <c r="T642">
        <v>11</v>
      </c>
      <c r="V642" t="s">
        <v>116</v>
      </c>
      <c r="Y642" s="38">
        <v>0.29166666666666669</v>
      </c>
      <c r="Z642" s="38">
        <v>0.79166666666666663</v>
      </c>
      <c r="AA642" t="s">
        <v>117</v>
      </c>
      <c r="AC642" t="s">
        <v>118</v>
      </c>
      <c r="AD642">
        <v>0.83330000000000004</v>
      </c>
      <c r="AQ642">
        <v>0.25</v>
      </c>
      <c r="AR642">
        <v>0.75</v>
      </c>
      <c r="BK642">
        <f>0</f>
        <v>0</v>
      </c>
      <c r="BL642">
        <f t="shared" ref="BL642:BL705" si="150">N(AD642)+N(AE642)+N(AF642)+N(AG642)+N(AH642)+N(AI642)+N(AJ642)+N(AK642)+N(AL642)+N(AM642)+N(AN642)+N(AO642)+N(AP642)+N(AQ642)+N(AR642)+N(AS642)+N(AT642)+N(AU642)+N(AW642)+N(AX642)+N(AY642)+N(BC642)+N(BE642)+N(BF642)+N(BH642)+N(BI642)+N(BJ642)</f>
        <v>1.8332999999999999</v>
      </c>
      <c r="BM642">
        <f t="shared" ref="BM642:BM705" si="151">N(AZ642)+N(BA642)+N(BB642)+N(BD642)</f>
        <v>0</v>
      </c>
      <c r="BN642">
        <f t="shared" ref="BN642:BN705" si="152">N(AV642)+N(BG642)</f>
        <v>0</v>
      </c>
      <c r="BO642">
        <f t="shared" ref="BO642:BO705" si="153">IF($A642="","",IF(WEEKDAY($A642,2)=7,0,1))</f>
        <v>1</v>
      </c>
      <c r="BP642" s="37">
        <f>IF($F642="","",IFERROR(INDEX(Familias!$C$5:$C$300,MATCH($F642,Familias!$A$5:$A$300,0)),""))</f>
        <v>2520</v>
      </c>
      <c r="BQ642" s="37">
        <f t="shared" ref="BQ642:BQ705" si="154">IF(AND($J642="",$K642=""),"",N($J642)+N($K642))</f>
        <v>24358</v>
      </c>
      <c r="BR642" s="36">
        <f t="shared" ref="BR642:BR705" si="155">IF($A642="","",ROUND(N($B642),4))</f>
        <v>12</v>
      </c>
      <c r="BS642" s="36">
        <f t="shared" ref="BS642:BS705" si="156">IF($A642="","",ROUND(SUM($AD642:$BJ642),4))</f>
        <v>1.8332999999999999</v>
      </c>
      <c r="BT642" s="36">
        <f t="shared" ref="BT642:BT705" si="157">IF($A642="","",ROUND(MAX(0,$BR642-$BS642),4))</f>
        <v>10.166700000000001</v>
      </c>
      <c r="BU642" s="36">
        <f t="shared" ref="BU642:BU705" si="158">IF(OR($BQ642="",$BP642="",N($BP642)=0),"",ROUND($BQ642/$BP642,4))</f>
        <v>9.6659000000000006</v>
      </c>
      <c r="BV642" s="39">
        <f t="shared" ref="BV642:BV705" si="159">IF(OR($BU642="",N($BT642)=0),"",$BU642/$BT642)</f>
        <v>0.95074114511099961</v>
      </c>
      <c r="BW642" s="39">
        <f t="shared" ref="BW642:BW705" si="160">IF(N($BQ642)&gt;0,N($J642)/$BQ642,"")</f>
        <v>0.99967156581000083</v>
      </c>
      <c r="BX642" s="40">
        <f t="shared" ref="BX642:BX705" si="161">IF(N($M642)&gt;0,(N($P642)+N($O642)+N($R642))/$M642,"")</f>
        <v>1.6422764227642276E-2</v>
      </c>
      <c r="BY642" s="40">
        <f t="shared" ref="BY642:BY705" si="162">IF(N($M642)&gt;0,N($Q642)/$M642,"")</f>
        <v>9.9186991869918695E-3</v>
      </c>
      <c r="BZ642" t="str">
        <f t="shared" ref="BZ642:BZ705" si="163">IF($A642="","",IF($BO642=0,"Domingo",IF($AA642&lt;&gt;"Sí","Paradas no digitadas",IF($BQ642="",IF(N($BT642)&gt;0,"Sin producción","Parada total"),IF($F642="","Sin familia",IF($BP642="","Familia sin estándar",IF(AND($BV642&lt;&gt;"",N($BV642)&gt;1.1),"Revisar rendimiento","OK")))))))</f>
        <v>OK</v>
      </c>
      <c r="CA642">
        <f t="shared" ref="CA642:CA705" si="164">IF(OR($BU642="",$BO642&lt;&gt;1,$AA642&lt;&gt;"Sí"),0,1)</f>
        <v>1</v>
      </c>
    </row>
    <row r="643" spans="1:80" x14ac:dyDescent="0.25">
      <c r="A643" s="35">
        <v>46216</v>
      </c>
      <c r="B643" s="36">
        <v>12</v>
      </c>
      <c r="C643" t="s">
        <v>119</v>
      </c>
      <c r="D643" t="s">
        <v>6</v>
      </c>
      <c r="E643" t="s">
        <v>114</v>
      </c>
      <c r="F643" t="s">
        <v>210</v>
      </c>
      <c r="G643">
        <v>5171</v>
      </c>
      <c r="H643">
        <v>2140110707</v>
      </c>
      <c r="I643" t="s">
        <v>211</v>
      </c>
      <c r="J643" s="37">
        <v>24650</v>
      </c>
      <c r="K643" s="37">
        <v>5</v>
      </c>
      <c r="M643">
        <v>6125</v>
      </c>
      <c r="O643">
        <v>42</v>
      </c>
      <c r="P643">
        <v>33</v>
      </c>
      <c r="V643" t="s">
        <v>120</v>
      </c>
      <c r="Y643" s="38">
        <v>0.79166666666666663</v>
      </c>
      <c r="Z643" s="38">
        <v>0.29166666666666669</v>
      </c>
      <c r="AA643" t="s">
        <v>117</v>
      </c>
      <c r="AC643" t="s">
        <v>118</v>
      </c>
      <c r="AQ643">
        <v>0.25</v>
      </c>
      <c r="AR643">
        <v>0.75</v>
      </c>
      <c r="BI643">
        <v>0.5</v>
      </c>
      <c r="BK643">
        <f>0</f>
        <v>0</v>
      </c>
      <c r="BL643">
        <f t="shared" si="150"/>
        <v>1.5</v>
      </c>
      <c r="BM643">
        <f t="shared" si="151"/>
        <v>0</v>
      </c>
      <c r="BN643">
        <f t="shared" si="152"/>
        <v>0</v>
      </c>
      <c r="BO643">
        <f t="shared" si="153"/>
        <v>1</v>
      </c>
      <c r="BP643" s="37">
        <f>IF($F643="","",IFERROR(INDEX(Familias!$C$5:$C$300,MATCH($F643,Familias!$A$5:$A$300,0)),""))</f>
        <v>2520</v>
      </c>
      <c r="BQ643" s="37">
        <f t="shared" si="154"/>
        <v>24655</v>
      </c>
      <c r="BR643" s="36">
        <f t="shared" si="155"/>
        <v>12</v>
      </c>
      <c r="BS643" s="36">
        <f t="shared" si="156"/>
        <v>1.5</v>
      </c>
      <c r="BT643" s="36">
        <f t="shared" si="157"/>
        <v>10.5</v>
      </c>
      <c r="BU643" s="36">
        <f t="shared" si="158"/>
        <v>9.7836999999999996</v>
      </c>
      <c r="BV643" s="39">
        <f t="shared" si="159"/>
        <v>0.93178095238095238</v>
      </c>
      <c r="BW643" s="39">
        <f t="shared" si="160"/>
        <v>0.99979720137903061</v>
      </c>
      <c r="BX643" s="40">
        <f t="shared" si="161"/>
        <v>1.2244897959183673E-2</v>
      </c>
      <c r="BY643" s="40">
        <f t="shared" si="162"/>
        <v>0</v>
      </c>
      <c r="BZ643" t="str">
        <f t="shared" si="163"/>
        <v>OK</v>
      </c>
      <c r="CA643">
        <f t="shared" si="164"/>
        <v>1</v>
      </c>
    </row>
    <row r="644" spans="1:80" x14ac:dyDescent="0.25">
      <c r="A644" s="35">
        <v>46217</v>
      </c>
      <c r="B644" s="36">
        <v>11.024800000000001</v>
      </c>
      <c r="C644" t="s">
        <v>113</v>
      </c>
      <c r="D644" t="s">
        <v>6</v>
      </c>
      <c r="E644" t="s">
        <v>114</v>
      </c>
      <c r="F644" t="s">
        <v>210</v>
      </c>
      <c r="G644">
        <v>5171</v>
      </c>
      <c r="H644">
        <v>2140110707</v>
      </c>
      <c r="I644" t="s">
        <v>211</v>
      </c>
      <c r="J644" s="37">
        <v>23050</v>
      </c>
      <c r="K644" s="37">
        <v>7</v>
      </c>
      <c r="M644">
        <v>5649</v>
      </c>
      <c r="O644">
        <v>35</v>
      </c>
      <c r="P644">
        <v>36</v>
      </c>
      <c r="T644">
        <v>11</v>
      </c>
      <c r="V644" t="s">
        <v>116</v>
      </c>
      <c r="Y644" s="38">
        <v>0.29166666666666669</v>
      </c>
      <c r="Z644" s="38">
        <v>0.75069444444444444</v>
      </c>
      <c r="AA644" t="s">
        <v>117</v>
      </c>
      <c r="AC644" t="s">
        <v>121</v>
      </c>
      <c r="AQ644">
        <v>0.22969999999999999</v>
      </c>
      <c r="AR644">
        <v>0.68899999999999995</v>
      </c>
      <c r="BI644">
        <v>0.15310000000000001</v>
      </c>
      <c r="BJ644">
        <v>4.0576999999999996</v>
      </c>
      <c r="BK644">
        <f>0</f>
        <v>0</v>
      </c>
      <c r="BL644">
        <f t="shared" si="150"/>
        <v>5.1295000000000002</v>
      </c>
      <c r="BM644">
        <f t="shared" si="151"/>
        <v>0</v>
      </c>
      <c r="BN644">
        <f t="shared" si="152"/>
        <v>0</v>
      </c>
      <c r="BO644">
        <f t="shared" si="153"/>
        <v>1</v>
      </c>
      <c r="BP644" s="37">
        <f>IF($F644="","",IFERROR(INDEX(Familias!$C$5:$C$300,MATCH($F644,Familias!$A$5:$A$300,0)),""))</f>
        <v>2520</v>
      </c>
      <c r="BQ644" s="37">
        <f t="shared" si="154"/>
        <v>23057</v>
      </c>
      <c r="BR644" s="36">
        <f t="shared" si="155"/>
        <v>11.024800000000001</v>
      </c>
      <c r="BS644" s="36">
        <f t="shared" si="156"/>
        <v>5.1295000000000002</v>
      </c>
      <c r="BT644" s="36">
        <f t="shared" si="157"/>
        <v>5.8952999999999998</v>
      </c>
      <c r="BU644" s="36">
        <f t="shared" si="158"/>
        <v>9.1495999999999995</v>
      </c>
      <c r="BV644" s="39">
        <f t="shared" si="159"/>
        <v>1.5520160127559242</v>
      </c>
      <c r="BW644" s="39">
        <f t="shared" si="160"/>
        <v>0.99969640456260567</v>
      </c>
      <c r="BX644" s="40">
        <f t="shared" si="161"/>
        <v>1.2568596211718889E-2</v>
      </c>
      <c r="BY644" s="40">
        <f t="shared" si="162"/>
        <v>0</v>
      </c>
      <c r="BZ644" t="str">
        <f t="shared" si="163"/>
        <v>Revisar rendimiento</v>
      </c>
      <c r="CA644">
        <f t="shared" si="164"/>
        <v>1</v>
      </c>
    </row>
    <row r="645" spans="1:80" x14ac:dyDescent="0.25">
      <c r="A645" s="35">
        <v>46217</v>
      </c>
      <c r="B645" s="36">
        <v>0.97519999999999996</v>
      </c>
      <c r="C645" t="s">
        <v>113</v>
      </c>
      <c r="D645" t="s">
        <v>6</v>
      </c>
      <c r="E645" t="s">
        <v>114</v>
      </c>
      <c r="F645" t="s">
        <v>114</v>
      </c>
      <c r="G645">
        <v>5177</v>
      </c>
      <c r="H645">
        <v>2140110699</v>
      </c>
      <c r="I645" t="s">
        <v>115</v>
      </c>
      <c r="J645" s="37">
        <v>2420</v>
      </c>
      <c r="K645" s="37"/>
      <c r="M645">
        <v>572</v>
      </c>
      <c r="O645">
        <v>5</v>
      </c>
      <c r="P645">
        <v>3</v>
      </c>
      <c r="T645">
        <v>1</v>
      </c>
      <c r="V645" t="s">
        <v>116</v>
      </c>
      <c r="Y645" s="38">
        <v>0.75069444444444444</v>
      </c>
      <c r="Z645" s="38">
        <v>0.79166666666666663</v>
      </c>
      <c r="AA645" t="s">
        <v>117</v>
      </c>
      <c r="AC645" t="s">
        <v>121</v>
      </c>
      <c r="AQ645">
        <v>2.0299999999999999E-2</v>
      </c>
      <c r="AR645">
        <v>6.0999999999999999E-2</v>
      </c>
      <c r="BI645">
        <v>1.35E-2</v>
      </c>
      <c r="BJ645">
        <v>0.3589</v>
      </c>
      <c r="BK645">
        <f>0</f>
        <v>0</v>
      </c>
      <c r="BL645">
        <f t="shared" si="150"/>
        <v>0.45369999999999999</v>
      </c>
      <c r="BM645">
        <f t="shared" si="151"/>
        <v>0</v>
      </c>
      <c r="BN645">
        <f t="shared" si="152"/>
        <v>0</v>
      </c>
      <c r="BO645">
        <f t="shared" si="153"/>
        <v>1</v>
      </c>
      <c r="BP645" s="37">
        <f>IF($F645="","",IFERROR(INDEX(Familias!$C$5:$C$300,MATCH($F645,Familias!$A$5:$A$300,0)),""))</f>
        <v>2990</v>
      </c>
      <c r="BQ645" s="37">
        <f t="shared" si="154"/>
        <v>2420</v>
      </c>
      <c r="BR645" s="36">
        <f t="shared" si="155"/>
        <v>0.97519999999999996</v>
      </c>
      <c r="BS645" s="36">
        <f t="shared" si="156"/>
        <v>0.45369999999999999</v>
      </c>
      <c r="BT645" s="36">
        <f t="shared" si="157"/>
        <v>0.52149999999999996</v>
      </c>
      <c r="BU645" s="36">
        <f t="shared" si="158"/>
        <v>0.80940000000000001</v>
      </c>
      <c r="BV645" s="39">
        <f t="shared" si="159"/>
        <v>1.5520613614573346</v>
      </c>
      <c r="BW645" s="39">
        <f t="shared" si="160"/>
        <v>1</v>
      </c>
      <c r="BX645" s="40">
        <f t="shared" si="161"/>
        <v>1.3986013986013986E-2</v>
      </c>
      <c r="BY645" s="40">
        <f t="shared" si="162"/>
        <v>0</v>
      </c>
      <c r="BZ645" t="str">
        <f t="shared" si="163"/>
        <v>Revisar rendimiento</v>
      </c>
      <c r="CA645">
        <f t="shared" si="164"/>
        <v>1</v>
      </c>
    </row>
    <row r="646" spans="1:80" x14ac:dyDescent="0.25">
      <c r="A646" s="35">
        <v>46217</v>
      </c>
      <c r="B646" s="36">
        <v>12</v>
      </c>
      <c r="C646" t="s">
        <v>119</v>
      </c>
      <c r="D646" t="s">
        <v>6</v>
      </c>
      <c r="E646" t="s">
        <v>114</v>
      </c>
      <c r="F646" t="s">
        <v>114</v>
      </c>
      <c r="G646">
        <v>5177</v>
      </c>
      <c r="H646">
        <v>2140110699</v>
      </c>
      <c r="I646" t="s">
        <v>115</v>
      </c>
      <c r="J646" s="37">
        <v>24400</v>
      </c>
      <c r="K646" s="37">
        <v>5</v>
      </c>
      <c r="M646">
        <v>6110</v>
      </c>
      <c r="O646">
        <v>40</v>
      </c>
      <c r="P646">
        <v>37</v>
      </c>
      <c r="Q646">
        <v>10</v>
      </c>
      <c r="T646">
        <v>11</v>
      </c>
      <c r="V646" t="s">
        <v>120</v>
      </c>
      <c r="Y646" s="38">
        <v>0.79166666666666663</v>
      </c>
      <c r="Z646" s="38">
        <v>0.29166666666666669</v>
      </c>
      <c r="AA646" t="s">
        <v>117</v>
      </c>
      <c r="AC646" t="s">
        <v>118</v>
      </c>
      <c r="AQ646">
        <v>0.25</v>
      </c>
      <c r="AR646">
        <v>0.75</v>
      </c>
      <c r="BI646">
        <v>0.5</v>
      </c>
      <c r="BK646">
        <f>0</f>
        <v>0</v>
      </c>
      <c r="BL646">
        <f t="shared" si="150"/>
        <v>1.5</v>
      </c>
      <c r="BM646">
        <f t="shared" si="151"/>
        <v>0</v>
      </c>
      <c r="BN646">
        <f t="shared" si="152"/>
        <v>0</v>
      </c>
      <c r="BO646">
        <f t="shared" si="153"/>
        <v>1</v>
      </c>
      <c r="BP646" s="37">
        <f>IF($F646="","",IFERROR(INDEX(Familias!$C$5:$C$300,MATCH($F646,Familias!$A$5:$A$300,0)),""))</f>
        <v>2990</v>
      </c>
      <c r="BQ646" s="37">
        <f t="shared" si="154"/>
        <v>24405</v>
      </c>
      <c r="BR646" s="36">
        <f t="shared" si="155"/>
        <v>12</v>
      </c>
      <c r="BS646" s="36">
        <f t="shared" si="156"/>
        <v>1.5</v>
      </c>
      <c r="BT646" s="36">
        <f t="shared" si="157"/>
        <v>10.5</v>
      </c>
      <c r="BU646" s="36">
        <f t="shared" si="158"/>
        <v>8.1622000000000003</v>
      </c>
      <c r="BV646" s="39">
        <f t="shared" si="159"/>
        <v>0.77735238095238102</v>
      </c>
      <c r="BW646" s="39">
        <f t="shared" si="160"/>
        <v>0.99979512395001024</v>
      </c>
      <c r="BX646" s="40">
        <f t="shared" si="161"/>
        <v>1.2602291325695581E-2</v>
      </c>
      <c r="BY646" s="40">
        <f t="shared" si="162"/>
        <v>1.6366612111292963E-3</v>
      </c>
      <c r="BZ646" t="str">
        <f t="shared" si="163"/>
        <v>OK</v>
      </c>
      <c r="CA646">
        <f t="shared" si="164"/>
        <v>1</v>
      </c>
    </row>
    <row r="647" spans="1:80" x14ac:dyDescent="0.25">
      <c r="A647" s="35">
        <v>46218</v>
      </c>
      <c r="B647" s="36">
        <v>12</v>
      </c>
      <c r="C647" t="s">
        <v>113</v>
      </c>
      <c r="D647" t="s">
        <v>6</v>
      </c>
      <c r="E647" t="s">
        <v>114</v>
      </c>
      <c r="F647" t="s">
        <v>114</v>
      </c>
      <c r="G647">
        <v>5177</v>
      </c>
      <c r="H647">
        <v>2140110699</v>
      </c>
      <c r="I647" t="s">
        <v>115</v>
      </c>
      <c r="J647" s="37">
        <v>25850</v>
      </c>
      <c r="K647" s="37">
        <v>8</v>
      </c>
      <c r="M647">
        <v>6530</v>
      </c>
      <c r="O647">
        <v>40</v>
      </c>
      <c r="P647">
        <v>35</v>
      </c>
      <c r="V647" t="s">
        <v>116</v>
      </c>
      <c r="Y647" s="38">
        <v>0.29166666666666669</v>
      </c>
      <c r="Z647" s="38">
        <v>0.79166666666666663</v>
      </c>
      <c r="AA647" t="s">
        <v>117</v>
      </c>
      <c r="AC647" t="s">
        <v>118</v>
      </c>
      <c r="AQ647">
        <v>0.25</v>
      </c>
      <c r="AR647">
        <v>0.75</v>
      </c>
      <c r="BI647">
        <v>0.16669999999999999</v>
      </c>
      <c r="BK647">
        <f>0</f>
        <v>0</v>
      </c>
      <c r="BL647">
        <f t="shared" si="150"/>
        <v>1.1667000000000001</v>
      </c>
      <c r="BM647">
        <f t="shared" si="151"/>
        <v>0</v>
      </c>
      <c r="BN647">
        <f t="shared" si="152"/>
        <v>0</v>
      </c>
      <c r="BO647">
        <f t="shared" si="153"/>
        <v>1</v>
      </c>
      <c r="BP647" s="37">
        <f>IF($F647="","",IFERROR(INDEX(Familias!$C$5:$C$300,MATCH($F647,Familias!$A$5:$A$300,0)),""))</f>
        <v>2990</v>
      </c>
      <c r="BQ647" s="37">
        <f t="shared" si="154"/>
        <v>25858</v>
      </c>
      <c r="BR647" s="36">
        <f t="shared" si="155"/>
        <v>12</v>
      </c>
      <c r="BS647" s="36">
        <f t="shared" si="156"/>
        <v>1.1667000000000001</v>
      </c>
      <c r="BT647" s="36">
        <f t="shared" si="157"/>
        <v>10.833299999999999</v>
      </c>
      <c r="BU647" s="36">
        <f t="shared" si="158"/>
        <v>8.6481999999999992</v>
      </c>
      <c r="BV647" s="39">
        <f t="shared" si="159"/>
        <v>0.79829784091643352</v>
      </c>
      <c r="BW647" s="39">
        <f t="shared" si="160"/>
        <v>0.9996906179905638</v>
      </c>
      <c r="BX647" s="40">
        <f t="shared" si="161"/>
        <v>1.1485451761102604E-2</v>
      </c>
      <c r="BY647" s="40">
        <f t="shared" si="162"/>
        <v>0</v>
      </c>
      <c r="BZ647" t="str">
        <f t="shared" si="163"/>
        <v>OK</v>
      </c>
      <c r="CA647">
        <f t="shared" si="164"/>
        <v>1</v>
      </c>
    </row>
    <row r="648" spans="1:80" x14ac:dyDescent="0.25">
      <c r="A648" s="35">
        <v>46218</v>
      </c>
      <c r="B648" s="36">
        <v>0.86909999999999998</v>
      </c>
      <c r="C648" t="s">
        <v>119</v>
      </c>
      <c r="D648" t="s">
        <v>6</v>
      </c>
      <c r="E648" t="s">
        <v>114</v>
      </c>
      <c r="F648" t="s">
        <v>114</v>
      </c>
      <c r="G648">
        <v>5177</v>
      </c>
      <c r="H648">
        <v>2140110699</v>
      </c>
      <c r="I648" t="s">
        <v>115</v>
      </c>
      <c r="J648" s="37">
        <v>1500</v>
      </c>
      <c r="K648" s="37"/>
      <c r="M648">
        <v>247</v>
      </c>
      <c r="T648">
        <v>1</v>
      </c>
      <c r="V648" t="s">
        <v>120</v>
      </c>
      <c r="Y648" s="38">
        <v>0.79166666666666663</v>
      </c>
      <c r="Z648" s="38">
        <v>0.82777777777777772</v>
      </c>
      <c r="AA648" t="s">
        <v>117</v>
      </c>
      <c r="AC648" t="s">
        <v>121</v>
      </c>
      <c r="AF648">
        <v>0.65790000000000004</v>
      </c>
      <c r="AG648">
        <v>6.6400000000000001E-2</v>
      </c>
      <c r="AQ648">
        <v>1.8100000000000002E-2</v>
      </c>
      <c r="AR648">
        <v>5.4300000000000001E-2</v>
      </c>
      <c r="BI648">
        <v>3.6200000000000003E-2</v>
      </c>
      <c r="BK648">
        <f>0</f>
        <v>0</v>
      </c>
      <c r="BL648">
        <f t="shared" si="150"/>
        <v>0.83290000000000008</v>
      </c>
      <c r="BM648">
        <f t="shared" si="151"/>
        <v>0</v>
      </c>
      <c r="BN648">
        <f t="shared" si="152"/>
        <v>0</v>
      </c>
      <c r="BO648">
        <f t="shared" si="153"/>
        <v>1</v>
      </c>
      <c r="BP648" s="37">
        <f>IF($F648="","",IFERROR(INDEX(Familias!$C$5:$C$300,MATCH($F648,Familias!$A$5:$A$300,0)),""))</f>
        <v>2990</v>
      </c>
      <c r="BQ648" s="37">
        <f t="shared" si="154"/>
        <v>1500</v>
      </c>
      <c r="BR648" s="36">
        <f t="shared" si="155"/>
        <v>0.86909999999999998</v>
      </c>
      <c r="BS648" s="36">
        <f t="shared" si="156"/>
        <v>0.83289999999999997</v>
      </c>
      <c r="BT648" s="36">
        <f t="shared" si="157"/>
        <v>3.6200000000000003E-2</v>
      </c>
      <c r="BU648" s="36">
        <f t="shared" si="158"/>
        <v>0.50170000000000003</v>
      </c>
      <c r="BV648" s="39">
        <f t="shared" si="159"/>
        <v>13.859116022099448</v>
      </c>
      <c r="BW648" s="39">
        <f t="shared" si="160"/>
        <v>1</v>
      </c>
      <c r="BX648" s="40">
        <f t="shared" si="161"/>
        <v>0</v>
      </c>
      <c r="BY648" s="40">
        <f t="shared" si="162"/>
        <v>0</v>
      </c>
      <c r="BZ648" t="str">
        <f t="shared" si="163"/>
        <v>Revisar rendimiento</v>
      </c>
      <c r="CA648">
        <f t="shared" si="164"/>
        <v>1</v>
      </c>
    </row>
    <row r="649" spans="1:80" x14ac:dyDescent="0.25">
      <c r="A649" s="35">
        <v>46218</v>
      </c>
      <c r="B649" s="36">
        <v>11.1309</v>
      </c>
      <c r="C649" t="s">
        <v>119</v>
      </c>
      <c r="D649" t="s">
        <v>6</v>
      </c>
      <c r="E649" t="s">
        <v>114</v>
      </c>
      <c r="F649" t="s">
        <v>114</v>
      </c>
      <c r="G649">
        <v>5246</v>
      </c>
      <c r="H649">
        <v>2140110699</v>
      </c>
      <c r="I649" t="s">
        <v>115</v>
      </c>
      <c r="J649" s="37">
        <v>19200</v>
      </c>
      <c r="K649" s="37">
        <v>10</v>
      </c>
      <c r="M649">
        <v>4874</v>
      </c>
      <c r="O649">
        <v>56</v>
      </c>
      <c r="P649">
        <v>24</v>
      </c>
      <c r="T649">
        <v>8</v>
      </c>
      <c r="V649" t="s">
        <v>120</v>
      </c>
      <c r="Y649" s="38">
        <v>0.82777777777777772</v>
      </c>
      <c r="Z649" s="38">
        <v>0.29166666666666669</v>
      </c>
      <c r="AA649" t="s">
        <v>117</v>
      </c>
      <c r="AC649" t="s">
        <v>121</v>
      </c>
      <c r="AF649">
        <v>8.4253999999999998</v>
      </c>
      <c r="AG649">
        <v>0.85029999999999994</v>
      </c>
      <c r="AQ649">
        <v>0.2319</v>
      </c>
      <c r="AR649">
        <v>0.69569999999999999</v>
      </c>
      <c r="BI649">
        <v>0.46379999999999999</v>
      </c>
      <c r="BK649">
        <f>0</f>
        <v>0</v>
      </c>
      <c r="BL649">
        <f t="shared" si="150"/>
        <v>10.667100000000001</v>
      </c>
      <c r="BM649">
        <f t="shared" si="151"/>
        <v>0</v>
      </c>
      <c r="BN649">
        <f t="shared" si="152"/>
        <v>0</v>
      </c>
      <c r="BO649">
        <f t="shared" si="153"/>
        <v>1</v>
      </c>
      <c r="BP649" s="37">
        <f>IF($F649="","",IFERROR(INDEX(Familias!$C$5:$C$300,MATCH($F649,Familias!$A$5:$A$300,0)),""))</f>
        <v>2990</v>
      </c>
      <c r="BQ649" s="37">
        <f t="shared" si="154"/>
        <v>19210</v>
      </c>
      <c r="BR649" s="36">
        <f t="shared" si="155"/>
        <v>11.1309</v>
      </c>
      <c r="BS649" s="36">
        <f t="shared" si="156"/>
        <v>10.6671</v>
      </c>
      <c r="BT649" s="36">
        <f t="shared" si="157"/>
        <v>0.46379999999999999</v>
      </c>
      <c r="BU649" s="36">
        <f t="shared" si="158"/>
        <v>6.4246999999999996</v>
      </c>
      <c r="BV649" s="39">
        <f t="shared" si="159"/>
        <v>13.852307028891763</v>
      </c>
      <c r="BW649" s="39">
        <f t="shared" si="160"/>
        <v>0.99947943779281623</v>
      </c>
      <c r="BX649" s="40">
        <f t="shared" si="161"/>
        <v>1.6413623307345096E-2</v>
      </c>
      <c r="BY649" s="40">
        <f t="shared" si="162"/>
        <v>0</v>
      </c>
      <c r="BZ649" t="str">
        <f t="shared" si="163"/>
        <v>Revisar rendimiento</v>
      </c>
      <c r="CA649">
        <f t="shared" si="164"/>
        <v>1</v>
      </c>
    </row>
    <row r="650" spans="1:80" x14ac:dyDescent="0.25">
      <c r="A650" s="35">
        <v>46219</v>
      </c>
      <c r="B650" s="36">
        <v>12</v>
      </c>
      <c r="C650" t="s">
        <v>113</v>
      </c>
      <c r="D650" t="s">
        <v>6</v>
      </c>
      <c r="E650" t="s">
        <v>114</v>
      </c>
      <c r="F650" t="s">
        <v>114</v>
      </c>
      <c r="G650">
        <v>5246</v>
      </c>
      <c r="H650">
        <v>2140110699</v>
      </c>
      <c r="I650" t="s">
        <v>115</v>
      </c>
      <c r="J650" s="37">
        <v>24650</v>
      </c>
      <c r="K650" s="37">
        <v>6</v>
      </c>
      <c r="M650">
        <v>6142</v>
      </c>
      <c r="O650">
        <v>50</v>
      </c>
      <c r="P650">
        <v>37</v>
      </c>
      <c r="T650">
        <v>11</v>
      </c>
      <c r="V650" t="s">
        <v>116</v>
      </c>
      <c r="Y650" s="38">
        <v>0.29166666666666669</v>
      </c>
      <c r="Z650" s="38">
        <v>0.79166666666666663</v>
      </c>
      <c r="AA650" t="s">
        <v>117</v>
      </c>
      <c r="AC650" t="s">
        <v>118</v>
      </c>
      <c r="AQ650">
        <v>0.25</v>
      </c>
      <c r="AR650">
        <v>0.75</v>
      </c>
      <c r="BE650">
        <v>0.5</v>
      </c>
      <c r="BI650">
        <v>0.16669999999999999</v>
      </c>
      <c r="BK650">
        <f>0</f>
        <v>0</v>
      </c>
      <c r="BL650">
        <f t="shared" si="150"/>
        <v>1.6667000000000001</v>
      </c>
      <c r="BM650">
        <f t="shared" si="151"/>
        <v>0</v>
      </c>
      <c r="BN650">
        <f t="shared" si="152"/>
        <v>0</v>
      </c>
      <c r="BO650">
        <f t="shared" si="153"/>
        <v>1</v>
      </c>
      <c r="BP650" s="37">
        <f>IF($F650="","",IFERROR(INDEX(Familias!$C$5:$C$300,MATCH($F650,Familias!$A$5:$A$300,0)),""))</f>
        <v>2990</v>
      </c>
      <c r="BQ650" s="37">
        <f t="shared" si="154"/>
        <v>24656</v>
      </c>
      <c r="BR650" s="36">
        <f t="shared" si="155"/>
        <v>12</v>
      </c>
      <c r="BS650" s="36">
        <f t="shared" si="156"/>
        <v>1.6667000000000001</v>
      </c>
      <c r="BT650" s="36">
        <f t="shared" si="157"/>
        <v>10.333299999999999</v>
      </c>
      <c r="BU650" s="36">
        <f t="shared" si="158"/>
        <v>8.2462</v>
      </c>
      <c r="BV650" s="39">
        <f t="shared" si="159"/>
        <v>0.79802192910299719</v>
      </c>
      <c r="BW650" s="39">
        <f t="shared" si="160"/>
        <v>0.99975665152498383</v>
      </c>
      <c r="BX650" s="40">
        <f t="shared" si="161"/>
        <v>1.416476717681537E-2</v>
      </c>
      <c r="BY650" s="40">
        <f t="shared" si="162"/>
        <v>0</v>
      </c>
      <c r="BZ650" t="str">
        <f t="shared" si="163"/>
        <v>OK</v>
      </c>
      <c r="CA650">
        <f t="shared" si="164"/>
        <v>1</v>
      </c>
    </row>
    <row r="651" spans="1:80" x14ac:dyDescent="0.25">
      <c r="A651" s="35">
        <v>46219</v>
      </c>
      <c r="B651" s="36">
        <v>4.3132999999999999</v>
      </c>
      <c r="C651" t="s">
        <v>119</v>
      </c>
      <c r="D651" t="s">
        <v>6</v>
      </c>
      <c r="E651" t="s">
        <v>114</v>
      </c>
      <c r="F651" t="s">
        <v>210</v>
      </c>
      <c r="G651">
        <v>5246</v>
      </c>
      <c r="H651">
        <v>2140110709</v>
      </c>
      <c r="I651" t="s">
        <v>213</v>
      </c>
      <c r="J651" s="37">
        <v>8950</v>
      </c>
      <c r="K651" s="37"/>
      <c r="M651">
        <v>4008</v>
      </c>
      <c r="O651">
        <v>49</v>
      </c>
      <c r="P651">
        <v>33</v>
      </c>
      <c r="T651">
        <v>7</v>
      </c>
      <c r="V651" t="s">
        <v>120</v>
      </c>
      <c r="Y651" s="38">
        <v>0.79166666666666663</v>
      </c>
      <c r="Z651" s="38">
        <v>0.97152777777777777</v>
      </c>
      <c r="AA651" t="s">
        <v>117</v>
      </c>
      <c r="AC651" t="s">
        <v>121</v>
      </c>
      <c r="AQ651">
        <v>8.9899999999999994E-2</v>
      </c>
      <c r="AR651">
        <v>0.26960000000000001</v>
      </c>
      <c r="BI651">
        <v>0.1797</v>
      </c>
      <c r="BK651">
        <f>0</f>
        <v>0</v>
      </c>
      <c r="BL651">
        <f t="shared" si="150"/>
        <v>0.53920000000000001</v>
      </c>
      <c r="BM651">
        <f t="shared" si="151"/>
        <v>0</v>
      </c>
      <c r="BN651">
        <f t="shared" si="152"/>
        <v>0</v>
      </c>
      <c r="BO651">
        <f t="shared" si="153"/>
        <v>1</v>
      </c>
      <c r="BP651" s="37">
        <f>IF($F651="","",IFERROR(INDEX(Familias!$C$5:$C$300,MATCH($F651,Familias!$A$5:$A$300,0)),""))</f>
        <v>2520</v>
      </c>
      <c r="BQ651" s="37">
        <f t="shared" si="154"/>
        <v>8950</v>
      </c>
      <c r="BR651" s="36">
        <f t="shared" si="155"/>
        <v>4.3132999999999999</v>
      </c>
      <c r="BS651" s="36">
        <f t="shared" si="156"/>
        <v>0.53920000000000001</v>
      </c>
      <c r="BT651" s="36">
        <f t="shared" si="157"/>
        <v>3.7740999999999998</v>
      </c>
      <c r="BU651" s="36">
        <f t="shared" si="158"/>
        <v>3.5516000000000001</v>
      </c>
      <c r="BV651" s="39">
        <f t="shared" si="159"/>
        <v>0.94104554728279599</v>
      </c>
      <c r="BW651" s="39">
        <f t="shared" si="160"/>
        <v>1</v>
      </c>
      <c r="BX651" s="40">
        <f t="shared" si="161"/>
        <v>2.0459081836327345E-2</v>
      </c>
      <c r="BY651" s="40">
        <f t="shared" si="162"/>
        <v>0</v>
      </c>
      <c r="BZ651" t="str">
        <f t="shared" si="163"/>
        <v>OK</v>
      </c>
      <c r="CA651">
        <f t="shared" si="164"/>
        <v>1</v>
      </c>
    </row>
    <row r="652" spans="1:80" x14ac:dyDescent="0.25">
      <c r="A652" s="35">
        <v>46219</v>
      </c>
      <c r="B652" s="36">
        <v>7.6867000000000001</v>
      </c>
      <c r="C652" t="s">
        <v>119</v>
      </c>
      <c r="D652" t="s">
        <v>6</v>
      </c>
      <c r="E652" t="s">
        <v>114</v>
      </c>
      <c r="F652" t="s">
        <v>210</v>
      </c>
      <c r="G652">
        <v>5240</v>
      </c>
      <c r="H652">
        <v>2140110705</v>
      </c>
      <c r="I652" t="s">
        <v>218</v>
      </c>
      <c r="J652" s="37">
        <v>15950</v>
      </c>
      <c r="K652" s="37"/>
      <c r="M652">
        <v>2249</v>
      </c>
      <c r="P652">
        <v>15</v>
      </c>
      <c r="T652">
        <v>4</v>
      </c>
      <c r="V652" t="s">
        <v>120</v>
      </c>
      <c r="Y652" s="38">
        <v>0.97152777777777777</v>
      </c>
      <c r="Z652" s="38">
        <v>0.29166666666666669</v>
      </c>
      <c r="AA652" t="s">
        <v>117</v>
      </c>
      <c r="AC652" t="s">
        <v>121</v>
      </c>
      <c r="AQ652">
        <v>0.16009999999999999</v>
      </c>
      <c r="AR652">
        <v>0.48039999999999999</v>
      </c>
      <c r="BI652">
        <v>0.32029999999999997</v>
      </c>
      <c r="BK652">
        <f>0</f>
        <v>0</v>
      </c>
      <c r="BL652">
        <f t="shared" si="150"/>
        <v>0.96079999999999988</v>
      </c>
      <c r="BM652">
        <f t="shared" si="151"/>
        <v>0</v>
      </c>
      <c r="BN652">
        <f t="shared" si="152"/>
        <v>0</v>
      </c>
      <c r="BO652">
        <f t="shared" si="153"/>
        <v>1</v>
      </c>
      <c r="BP652" s="37">
        <f>IF($F652="","",IFERROR(INDEX(Familias!$C$5:$C$300,MATCH($F652,Familias!$A$5:$A$300,0)),""))</f>
        <v>2520</v>
      </c>
      <c r="BQ652" s="37">
        <f t="shared" si="154"/>
        <v>15950</v>
      </c>
      <c r="BR652" s="36">
        <f t="shared" si="155"/>
        <v>7.6867000000000001</v>
      </c>
      <c r="BS652" s="36">
        <f t="shared" si="156"/>
        <v>0.96079999999999999</v>
      </c>
      <c r="BT652" s="36">
        <f t="shared" si="157"/>
        <v>6.7259000000000002</v>
      </c>
      <c r="BU652" s="36">
        <f t="shared" si="158"/>
        <v>6.3293999999999997</v>
      </c>
      <c r="BV652" s="39">
        <f t="shared" si="159"/>
        <v>0.94104878157569982</v>
      </c>
      <c r="BW652" s="39">
        <f t="shared" si="160"/>
        <v>1</v>
      </c>
      <c r="BX652" s="40">
        <f t="shared" si="161"/>
        <v>6.6696309470875943E-3</v>
      </c>
      <c r="BY652" s="40">
        <f t="shared" si="162"/>
        <v>0</v>
      </c>
      <c r="BZ652" t="str">
        <f t="shared" si="163"/>
        <v>OK</v>
      </c>
      <c r="CA652">
        <f t="shared" si="164"/>
        <v>1</v>
      </c>
    </row>
    <row r="653" spans="1:80" x14ac:dyDescent="0.25">
      <c r="A653" s="35">
        <v>46220</v>
      </c>
      <c r="B653" s="36">
        <v>12</v>
      </c>
      <c r="C653" t="s">
        <v>113</v>
      </c>
      <c r="D653" t="s">
        <v>6</v>
      </c>
      <c r="E653" t="s">
        <v>114</v>
      </c>
      <c r="F653" t="s">
        <v>210</v>
      </c>
      <c r="G653">
        <v>5240</v>
      </c>
      <c r="H653">
        <v>2140110705</v>
      </c>
      <c r="I653" t="s">
        <v>218</v>
      </c>
      <c r="J653" s="37">
        <v>25500</v>
      </c>
      <c r="K653" s="37">
        <v>5</v>
      </c>
      <c r="M653">
        <v>6289</v>
      </c>
      <c r="O653">
        <v>43</v>
      </c>
      <c r="P653">
        <v>39</v>
      </c>
      <c r="T653">
        <v>12</v>
      </c>
      <c r="V653" t="s">
        <v>116</v>
      </c>
      <c r="Y653" s="38">
        <v>0.29166666666666669</v>
      </c>
      <c r="Z653" s="38">
        <v>0.79166666666666663</v>
      </c>
      <c r="AA653" t="s">
        <v>117</v>
      </c>
      <c r="AC653" t="s">
        <v>118</v>
      </c>
      <c r="AQ653">
        <v>0.25</v>
      </c>
      <c r="AR653">
        <v>0.75</v>
      </c>
      <c r="BI653">
        <v>0.16669999999999999</v>
      </c>
      <c r="BK653">
        <f>0</f>
        <v>0</v>
      </c>
      <c r="BL653">
        <f t="shared" si="150"/>
        <v>1.1667000000000001</v>
      </c>
      <c r="BM653">
        <f t="shared" si="151"/>
        <v>0</v>
      </c>
      <c r="BN653">
        <f t="shared" si="152"/>
        <v>0</v>
      </c>
      <c r="BO653">
        <f t="shared" si="153"/>
        <v>1</v>
      </c>
      <c r="BP653" s="37">
        <f>IF($F653="","",IFERROR(INDEX(Familias!$C$5:$C$300,MATCH($F653,Familias!$A$5:$A$300,0)),""))</f>
        <v>2520</v>
      </c>
      <c r="BQ653" s="37">
        <f t="shared" si="154"/>
        <v>25505</v>
      </c>
      <c r="BR653" s="36">
        <f t="shared" si="155"/>
        <v>12</v>
      </c>
      <c r="BS653" s="36">
        <f t="shared" si="156"/>
        <v>1.1667000000000001</v>
      </c>
      <c r="BT653" s="36">
        <f t="shared" si="157"/>
        <v>10.833299999999999</v>
      </c>
      <c r="BU653" s="36">
        <f t="shared" si="158"/>
        <v>10.121</v>
      </c>
      <c r="BV653" s="39">
        <f t="shared" si="159"/>
        <v>0.93424902845854918</v>
      </c>
      <c r="BW653" s="39">
        <f t="shared" si="160"/>
        <v>0.99980396000784155</v>
      </c>
      <c r="BX653" s="40">
        <f t="shared" si="161"/>
        <v>1.3038638893305771E-2</v>
      </c>
      <c r="BY653" s="40">
        <f t="shared" si="162"/>
        <v>0</v>
      </c>
      <c r="BZ653" t="str">
        <f t="shared" si="163"/>
        <v>OK</v>
      </c>
      <c r="CA653">
        <f t="shared" si="164"/>
        <v>1</v>
      </c>
    </row>
    <row r="654" spans="1:80" x14ac:dyDescent="0.25">
      <c r="A654" s="35">
        <v>46220</v>
      </c>
      <c r="B654" s="36">
        <v>4.7637</v>
      </c>
      <c r="C654" t="s">
        <v>119</v>
      </c>
      <c r="D654" t="s">
        <v>6</v>
      </c>
      <c r="E654" t="s">
        <v>114</v>
      </c>
      <c r="F654" t="s">
        <v>210</v>
      </c>
      <c r="G654">
        <v>5240</v>
      </c>
      <c r="H654">
        <v>2140110705</v>
      </c>
      <c r="I654" t="s">
        <v>218</v>
      </c>
      <c r="J654" s="37">
        <v>8350</v>
      </c>
      <c r="K654" s="37"/>
      <c r="M654">
        <v>2154</v>
      </c>
      <c r="O654">
        <v>12</v>
      </c>
      <c r="P654">
        <v>12</v>
      </c>
      <c r="T654">
        <v>4</v>
      </c>
      <c r="V654" t="s">
        <v>120</v>
      </c>
      <c r="Y654" s="38">
        <v>0.79166666666666663</v>
      </c>
      <c r="Z654" s="38">
        <v>0.99027777777777781</v>
      </c>
      <c r="AA654" t="s">
        <v>117</v>
      </c>
      <c r="AC654" t="s">
        <v>121</v>
      </c>
      <c r="AQ654">
        <v>9.9199999999999997E-2</v>
      </c>
      <c r="AR654">
        <v>0.29770000000000002</v>
      </c>
      <c r="BI654">
        <v>0.19850000000000001</v>
      </c>
      <c r="BJ654">
        <v>0.1323</v>
      </c>
      <c r="BK654">
        <f>0</f>
        <v>0</v>
      </c>
      <c r="BL654">
        <f t="shared" si="150"/>
        <v>0.72770000000000001</v>
      </c>
      <c r="BM654">
        <f t="shared" si="151"/>
        <v>0</v>
      </c>
      <c r="BN654">
        <f t="shared" si="152"/>
        <v>0</v>
      </c>
      <c r="BO654">
        <f t="shared" si="153"/>
        <v>1</v>
      </c>
      <c r="BP654" s="37">
        <f>IF($F654="","",IFERROR(INDEX(Familias!$C$5:$C$300,MATCH($F654,Familias!$A$5:$A$300,0)),""))</f>
        <v>2520</v>
      </c>
      <c r="BQ654" s="37">
        <f t="shared" si="154"/>
        <v>8350</v>
      </c>
      <c r="BR654" s="36">
        <f t="shared" si="155"/>
        <v>4.7637</v>
      </c>
      <c r="BS654" s="36">
        <f t="shared" si="156"/>
        <v>0.72770000000000001</v>
      </c>
      <c r="BT654" s="36">
        <f t="shared" si="157"/>
        <v>4.0359999999999996</v>
      </c>
      <c r="BU654" s="36">
        <f t="shared" si="158"/>
        <v>3.3134999999999999</v>
      </c>
      <c r="BV654" s="39">
        <f t="shared" si="159"/>
        <v>0.820986124876115</v>
      </c>
      <c r="BW654" s="39">
        <f t="shared" si="160"/>
        <v>1</v>
      </c>
      <c r="BX654" s="40">
        <f t="shared" si="161"/>
        <v>1.1142061281337047E-2</v>
      </c>
      <c r="BY654" s="40">
        <f t="shared" si="162"/>
        <v>0</v>
      </c>
      <c r="BZ654" t="str">
        <f t="shared" si="163"/>
        <v>OK</v>
      </c>
      <c r="CA654">
        <f t="shared" si="164"/>
        <v>1</v>
      </c>
    </row>
    <row r="655" spans="1:80" x14ac:dyDescent="0.25">
      <c r="A655" s="35">
        <v>46220</v>
      </c>
      <c r="B655" s="36">
        <v>7.2363</v>
      </c>
      <c r="C655" t="s">
        <v>119</v>
      </c>
      <c r="D655" t="s">
        <v>6</v>
      </c>
      <c r="E655" t="s">
        <v>114</v>
      </c>
      <c r="F655" t="s">
        <v>114</v>
      </c>
      <c r="G655">
        <v>5283</v>
      </c>
      <c r="H655">
        <v>2140110701</v>
      </c>
      <c r="I655" t="s">
        <v>123</v>
      </c>
      <c r="J655" s="37">
        <v>15050</v>
      </c>
      <c r="K655" s="37"/>
      <c r="M655">
        <v>3806</v>
      </c>
      <c r="O655">
        <v>26</v>
      </c>
      <c r="P655">
        <v>18</v>
      </c>
      <c r="T655">
        <v>6</v>
      </c>
      <c r="V655" t="s">
        <v>120</v>
      </c>
      <c r="Y655" s="38">
        <v>0.99027777777777781</v>
      </c>
      <c r="Z655" s="38">
        <v>0.29166666666666669</v>
      </c>
      <c r="AA655" t="s">
        <v>117</v>
      </c>
      <c r="AC655" t="s">
        <v>121</v>
      </c>
      <c r="AQ655">
        <v>0.15079999999999999</v>
      </c>
      <c r="AR655">
        <v>0.45229999999999998</v>
      </c>
      <c r="BI655">
        <v>0.30149999999999999</v>
      </c>
      <c r="BJ655">
        <v>0.20100000000000001</v>
      </c>
      <c r="BK655">
        <f>0</f>
        <v>0</v>
      </c>
      <c r="BL655">
        <f t="shared" si="150"/>
        <v>1.1055999999999999</v>
      </c>
      <c r="BM655">
        <f t="shared" si="151"/>
        <v>0</v>
      </c>
      <c r="BN655">
        <f t="shared" si="152"/>
        <v>0</v>
      </c>
      <c r="BO655">
        <f t="shared" si="153"/>
        <v>1</v>
      </c>
      <c r="BP655" s="37">
        <f>IF($F655="","",IFERROR(INDEX(Familias!$C$5:$C$300,MATCH($F655,Familias!$A$5:$A$300,0)),""))</f>
        <v>2990</v>
      </c>
      <c r="BQ655" s="37">
        <f t="shared" si="154"/>
        <v>15050</v>
      </c>
      <c r="BR655" s="36">
        <f t="shared" si="155"/>
        <v>7.2363</v>
      </c>
      <c r="BS655" s="36">
        <f t="shared" si="156"/>
        <v>1.1055999999999999</v>
      </c>
      <c r="BT655" s="36">
        <f t="shared" si="157"/>
        <v>6.1307</v>
      </c>
      <c r="BU655" s="36">
        <f t="shared" si="158"/>
        <v>5.0334000000000003</v>
      </c>
      <c r="BV655" s="39">
        <f t="shared" si="159"/>
        <v>0.82101554471756899</v>
      </c>
      <c r="BW655" s="39">
        <f t="shared" si="160"/>
        <v>1</v>
      </c>
      <c r="BX655" s="40">
        <f t="shared" si="161"/>
        <v>1.1560693641618497E-2</v>
      </c>
      <c r="BY655" s="40">
        <f t="shared" si="162"/>
        <v>0</v>
      </c>
      <c r="BZ655" t="str">
        <f t="shared" si="163"/>
        <v>OK</v>
      </c>
      <c r="CA655">
        <f t="shared" si="164"/>
        <v>1</v>
      </c>
    </row>
    <row r="656" spans="1:80" x14ac:dyDescent="0.25">
      <c r="A656" s="35">
        <v>46221</v>
      </c>
      <c r="B656" s="36">
        <v>8.1219000000000001</v>
      </c>
      <c r="C656" t="s">
        <v>113</v>
      </c>
      <c r="D656" t="s">
        <v>6</v>
      </c>
      <c r="E656" t="s">
        <v>114</v>
      </c>
      <c r="F656" t="s">
        <v>114</v>
      </c>
      <c r="G656">
        <v>5285</v>
      </c>
      <c r="H656">
        <v>2140110700</v>
      </c>
      <c r="I656" t="s">
        <v>122</v>
      </c>
      <c r="J656" s="37">
        <v>15650</v>
      </c>
      <c r="K656" s="37">
        <v>5</v>
      </c>
      <c r="M656">
        <v>4053</v>
      </c>
      <c r="O656">
        <v>24</v>
      </c>
      <c r="P656">
        <v>172</v>
      </c>
      <c r="T656">
        <v>8</v>
      </c>
      <c r="V656" t="s">
        <v>116</v>
      </c>
      <c r="Y656" s="38">
        <v>0.29166666666666669</v>
      </c>
      <c r="Z656" s="38">
        <v>0.62986111111111109</v>
      </c>
      <c r="AA656" t="s">
        <v>200</v>
      </c>
      <c r="AB656" t="s">
        <v>250</v>
      </c>
      <c r="AC656" t="s">
        <v>121</v>
      </c>
      <c r="AE656">
        <v>2.3689</v>
      </c>
      <c r="AQ656">
        <v>0.16919999999999999</v>
      </c>
      <c r="AR656">
        <v>0.50760000000000005</v>
      </c>
      <c r="BI656">
        <v>0.67679999999999996</v>
      </c>
      <c r="BJ656">
        <v>15.4542</v>
      </c>
      <c r="BK656">
        <f>0</f>
        <v>0</v>
      </c>
      <c r="BL656">
        <f t="shared" si="150"/>
        <v>19.1767</v>
      </c>
      <c r="BM656">
        <f t="shared" si="151"/>
        <v>0</v>
      </c>
      <c r="BN656">
        <f t="shared" si="152"/>
        <v>0</v>
      </c>
      <c r="BO656">
        <f t="shared" si="153"/>
        <v>1</v>
      </c>
      <c r="BP656" s="37">
        <f>IF($F656="","",IFERROR(INDEX(Familias!$C$5:$C$300,MATCH($F656,Familias!$A$5:$A$300,0)),""))</f>
        <v>2990</v>
      </c>
      <c r="BQ656" s="37">
        <f t="shared" si="154"/>
        <v>15655</v>
      </c>
      <c r="BR656" s="36">
        <f t="shared" si="155"/>
        <v>8.1219000000000001</v>
      </c>
      <c r="BS656" s="36">
        <f t="shared" si="156"/>
        <v>19.1767</v>
      </c>
      <c r="BT656" s="36">
        <f t="shared" si="157"/>
        <v>0</v>
      </c>
      <c r="BU656" s="36">
        <f t="shared" si="158"/>
        <v>5.2358000000000002</v>
      </c>
      <c r="BV656" s="39" t="str">
        <f t="shared" si="159"/>
        <v/>
      </c>
      <c r="BW656" s="39">
        <f t="shared" si="160"/>
        <v>0.99968061322261259</v>
      </c>
      <c r="BX656" s="40">
        <f t="shared" si="161"/>
        <v>4.8359240069084632E-2</v>
      </c>
      <c r="BY656" s="40">
        <f t="shared" si="162"/>
        <v>0</v>
      </c>
      <c r="BZ656" t="str">
        <f t="shared" si="163"/>
        <v>Paradas no digitadas</v>
      </c>
      <c r="CA656">
        <f t="shared" si="164"/>
        <v>0</v>
      </c>
    </row>
    <row r="657" spans="1:80" x14ac:dyDescent="0.25">
      <c r="A657" s="35">
        <v>46221</v>
      </c>
      <c r="B657" s="36">
        <v>3.8780999999999999</v>
      </c>
      <c r="C657" t="s">
        <v>113</v>
      </c>
      <c r="D657" t="s">
        <v>6</v>
      </c>
      <c r="E657" t="s">
        <v>114</v>
      </c>
      <c r="F657" t="s">
        <v>210</v>
      </c>
      <c r="G657">
        <v>5284</v>
      </c>
      <c r="H657">
        <v>2140110704</v>
      </c>
      <c r="I657" t="s">
        <v>217</v>
      </c>
      <c r="J657" s="37">
        <v>6300</v>
      </c>
      <c r="K657" s="37"/>
      <c r="M657">
        <v>1556</v>
      </c>
      <c r="P657">
        <v>11</v>
      </c>
      <c r="T657">
        <v>2</v>
      </c>
      <c r="V657" t="s">
        <v>116</v>
      </c>
      <c r="Y657" s="38">
        <v>0.62986111111111109</v>
      </c>
      <c r="Z657" s="38">
        <v>0.79166666666666663</v>
      </c>
      <c r="AA657" t="s">
        <v>200</v>
      </c>
      <c r="AC657" t="s">
        <v>121</v>
      </c>
      <c r="AE657">
        <v>1.1311</v>
      </c>
      <c r="AQ657">
        <v>8.0799999999999997E-2</v>
      </c>
      <c r="AR657">
        <v>0.2424</v>
      </c>
      <c r="BI657">
        <v>0.32319999999999999</v>
      </c>
      <c r="BJ657">
        <v>7.3791000000000002</v>
      </c>
      <c r="BK657">
        <f>0</f>
        <v>0</v>
      </c>
      <c r="BL657">
        <f t="shared" si="150"/>
        <v>9.156600000000001</v>
      </c>
      <c r="BM657">
        <f t="shared" si="151"/>
        <v>0</v>
      </c>
      <c r="BN657">
        <f t="shared" si="152"/>
        <v>0</v>
      </c>
      <c r="BO657">
        <f t="shared" si="153"/>
        <v>1</v>
      </c>
      <c r="BP657" s="37">
        <f>IF($F657="","",IFERROR(INDEX(Familias!$C$5:$C$300,MATCH($F657,Familias!$A$5:$A$300,0)),""))</f>
        <v>2520</v>
      </c>
      <c r="BQ657" s="37">
        <f t="shared" si="154"/>
        <v>6300</v>
      </c>
      <c r="BR657" s="36">
        <f t="shared" si="155"/>
        <v>3.8780999999999999</v>
      </c>
      <c r="BS657" s="36">
        <f t="shared" si="156"/>
        <v>9.1565999999999992</v>
      </c>
      <c r="BT657" s="36">
        <f t="shared" si="157"/>
        <v>0</v>
      </c>
      <c r="BU657" s="36">
        <f t="shared" si="158"/>
        <v>2.5</v>
      </c>
      <c r="BV657" s="39" t="str">
        <f t="shared" si="159"/>
        <v/>
      </c>
      <c r="BW657" s="39">
        <f t="shared" si="160"/>
        <v>1</v>
      </c>
      <c r="BX657" s="40">
        <f t="shared" si="161"/>
        <v>7.0694087403598968E-3</v>
      </c>
      <c r="BY657" s="40">
        <f t="shared" si="162"/>
        <v>0</v>
      </c>
      <c r="BZ657" t="str">
        <f t="shared" si="163"/>
        <v>Paradas no digitadas</v>
      </c>
      <c r="CA657">
        <f t="shared" si="164"/>
        <v>0</v>
      </c>
    </row>
    <row r="658" spans="1:80" x14ac:dyDescent="0.25">
      <c r="A658" s="35">
        <v>46221</v>
      </c>
      <c r="B658" s="36">
        <v>12</v>
      </c>
      <c r="C658" t="s">
        <v>119</v>
      </c>
      <c r="D658" t="s">
        <v>6</v>
      </c>
      <c r="E658" t="s">
        <v>114</v>
      </c>
      <c r="F658" t="s">
        <v>210</v>
      </c>
      <c r="G658">
        <v>5284</v>
      </c>
      <c r="H658">
        <v>2140110704</v>
      </c>
      <c r="I658" t="s">
        <v>217</v>
      </c>
      <c r="J658" s="37">
        <v>10900</v>
      </c>
      <c r="K658" s="37">
        <v>5</v>
      </c>
      <c r="M658">
        <v>2795</v>
      </c>
      <c r="O658">
        <v>30</v>
      </c>
      <c r="P658">
        <v>15</v>
      </c>
      <c r="Q658">
        <v>70</v>
      </c>
      <c r="T658">
        <v>5</v>
      </c>
      <c r="V658" t="s">
        <v>120</v>
      </c>
      <c r="Y658" s="38">
        <v>0.79166666666666663</v>
      </c>
      <c r="Z658" s="38">
        <v>0.29166666666666669</v>
      </c>
      <c r="AA658" t="s">
        <v>117</v>
      </c>
      <c r="AC658" t="s">
        <v>118</v>
      </c>
      <c r="AQ658">
        <v>1.5</v>
      </c>
      <c r="AR658">
        <v>0.75</v>
      </c>
      <c r="BI658">
        <v>0.5</v>
      </c>
      <c r="BJ658">
        <v>2.8332999999999999</v>
      </c>
      <c r="BK658">
        <f>0</f>
        <v>0</v>
      </c>
      <c r="BL658">
        <f t="shared" si="150"/>
        <v>5.5832999999999995</v>
      </c>
      <c r="BM658">
        <f t="shared" si="151"/>
        <v>0</v>
      </c>
      <c r="BN658">
        <f t="shared" si="152"/>
        <v>0</v>
      </c>
      <c r="BO658">
        <f t="shared" si="153"/>
        <v>1</v>
      </c>
      <c r="BP658" s="37">
        <f>IF($F658="","",IFERROR(INDEX(Familias!$C$5:$C$300,MATCH($F658,Familias!$A$5:$A$300,0)),""))</f>
        <v>2520</v>
      </c>
      <c r="BQ658" s="37">
        <f t="shared" si="154"/>
        <v>10905</v>
      </c>
      <c r="BR658" s="36">
        <f t="shared" si="155"/>
        <v>12</v>
      </c>
      <c r="BS658" s="36">
        <f t="shared" si="156"/>
        <v>5.5833000000000004</v>
      </c>
      <c r="BT658" s="36">
        <f t="shared" si="157"/>
        <v>6.4166999999999996</v>
      </c>
      <c r="BU658" s="36">
        <f t="shared" si="158"/>
        <v>4.3273999999999999</v>
      </c>
      <c r="BV658" s="39">
        <f t="shared" si="159"/>
        <v>0.67439649664157586</v>
      </c>
      <c r="BW658" s="39">
        <f t="shared" si="160"/>
        <v>0.99954149472718934</v>
      </c>
      <c r="BX658" s="40">
        <f t="shared" si="161"/>
        <v>1.6100178890876567E-2</v>
      </c>
      <c r="BY658" s="40">
        <f t="shared" si="162"/>
        <v>2.5044722719141325E-2</v>
      </c>
      <c r="BZ658" t="str">
        <f t="shared" si="163"/>
        <v>OK</v>
      </c>
      <c r="CA658">
        <f t="shared" si="164"/>
        <v>1</v>
      </c>
    </row>
    <row r="659" spans="1:80" x14ac:dyDescent="0.25">
      <c r="A659" s="35">
        <v>46223</v>
      </c>
      <c r="B659" s="36">
        <v>12</v>
      </c>
      <c r="C659" t="s">
        <v>113</v>
      </c>
      <c r="D659" t="s">
        <v>6</v>
      </c>
      <c r="E659" t="s">
        <v>126</v>
      </c>
      <c r="F659" t="s">
        <v>127</v>
      </c>
      <c r="G659">
        <v>4780</v>
      </c>
      <c r="H659">
        <v>2140110743</v>
      </c>
      <c r="I659" t="s">
        <v>251</v>
      </c>
      <c r="J659" s="37"/>
      <c r="K659" s="37"/>
      <c r="M659">
        <v>80</v>
      </c>
      <c r="V659" t="s">
        <v>120</v>
      </c>
      <c r="Y659" s="38">
        <v>0.29166666666666669</v>
      </c>
      <c r="Z659" s="38">
        <v>0.79166666666666663</v>
      </c>
      <c r="AA659" t="s">
        <v>117</v>
      </c>
      <c r="AC659" t="s">
        <v>118</v>
      </c>
      <c r="AQ659">
        <v>0.25</v>
      </c>
      <c r="AR659">
        <v>0.75</v>
      </c>
      <c r="BI659">
        <v>1</v>
      </c>
      <c r="BJ659">
        <v>10</v>
      </c>
      <c r="BK659">
        <f>0</f>
        <v>0</v>
      </c>
      <c r="BL659">
        <f t="shared" si="150"/>
        <v>12</v>
      </c>
      <c r="BM659">
        <f t="shared" si="151"/>
        <v>0</v>
      </c>
      <c r="BN659">
        <f t="shared" si="152"/>
        <v>0</v>
      </c>
      <c r="BO659">
        <f t="shared" si="153"/>
        <v>1</v>
      </c>
      <c r="BP659" s="37">
        <f>IF($F659="","",IFERROR(INDEX(Familias!$C$5:$C$300,MATCH($F659,Familias!$A$5:$A$300,0)),""))</f>
        <v>2450</v>
      </c>
      <c r="BQ659" s="37" t="str">
        <f t="shared" si="154"/>
        <v/>
      </c>
      <c r="BR659" s="36">
        <f t="shared" si="155"/>
        <v>12</v>
      </c>
      <c r="BS659" s="36">
        <f t="shared" si="156"/>
        <v>12</v>
      </c>
      <c r="BT659" s="36">
        <f t="shared" si="157"/>
        <v>0</v>
      </c>
      <c r="BU659" s="36" t="str">
        <f t="shared" si="158"/>
        <v/>
      </c>
      <c r="BV659" s="39" t="str">
        <f t="shared" si="159"/>
        <v/>
      </c>
      <c r="BW659" s="39" t="str">
        <f t="shared" si="160"/>
        <v/>
      </c>
      <c r="BX659" s="40">
        <f t="shared" si="161"/>
        <v>0</v>
      </c>
      <c r="BY659" s="40">
        <f t="shared" si="162"/>
        <v>0</v>
      </c>
      <c r="BZ659" t="str">
        <f t="shared" si="163"/>
        <v>Parada total</v>
      </c>
      <c r="CA659">
        <f t="shared" si="164"/>
        <v>0</v>
      </c>
    </row>
    <row r="660" spans="1:80" x14ac:dyDescent="0.25">
      <c r="A660" s="35">
        <v>46223</v>
      </c>
      <c r="B660" s="36">
        <v>12</v>
      </c>
      <c r="C660" t="s">
        <v>119</v>
      </c>
      <c r="D660" t="s">
        <v>6</v>
      </c>
      <c r="E660" t="s">
        <v>126</v>
      </c>
      <c r="F660" t="s">
        <v>127</v>
      </c>
      <c r="G660">
        <v>4780</v>
      </c>
      <c r="H660">
        <v>2140110743</v>
      </c>
      <c r="I660" t="s">
        <v>251</v>
      </c>
      <c r="J660" s="37">
        <v>11700</v>
      </c>
      <c r="K660" s="37">
        <v>25</v>
      </c>
      <c r="M660">
        <v>4745</v>
      </c>
      <c r="P660">
        <v>14</v>
      </c>
      <c r="Q660">
        <v>147</v>
      </c>
      <c r="V660" t="s">
        <v>116</v>
      </c>
      <c r="Y660" s="38">
        <v>0.79166666666666663</v>
      </c>
      <c r="Z660" s="38">
        <v>0.29166666666666669</v>
      </c>
      <c r="AA660" t="s">
        <v>117</v>
      </c>
      <c r="AC660" t="s">
        <v>118</v>
      </c>
      <c r="AL660">
        <v>6.9166999999999996</v>
      </c>
      <c r="AQ660">
        <v>0.25</v>
      </c>
      <c r="AR660">
        <v>0.75</v>
      </c>
      <c r="BI660">
        <v>0.5</v>
      </c>
      <c r="BK660">
        <f>0</f>
        <v>0</v>
      </c>
      <c r="BL660">
        <f t="shared" si="150"/>
        <v>8.4166999999999987</v>
      </c>
      <c r="BM660">
        <f t="shared" si="151"/>
        <v>0</v>
      </c>
      <c r="BN660">
        <f t="shared" si="152"/>
        <v>0</v>
      </c>
      <c r="BO660">
        <f t="shared" si="153"/>
        <v>1</v>
      </c>
      <c r="BP660" s="37">
        <f>IF($F660="","",IFERROR(INDEX(Familias!$C$5:$C$300,MATCH($F660,Familias!$A$5:$A$300,0)),""))</f>
        <v>2450</v>
      </c>
      <c r="BQ660" s="37">
        <f t="shared" si="154"/>
        <v>11725</v>
      </c>
      <c r="BR660" s="36">
        <f t="shared" si="155"/>
        <v>12</v>
      </c>
      <c r="BS660" s="36">
        <f t="shared" si="156"/>
        <v>8.4167000000000005</v>
      </c>
      <c r="BT660" s="36">
        <f t="shared" si="157"/>
        <v>3.5832999999999999</v>
      </c>
      <c r="BU660" s="36">
        <f t="shared" si="158"/>
        <v>4.7857000000000003</v>
      </c>
      <c r="BV660" s="39">
        <f t="shared" si="159"/>
        <v>1.3355566098289287</v>
      </c>
      <c r="BW660" s="39">
        <f t="shared" si="160"/>
        <v>0.99786780383795304</v>
      </c>
      <c r="BX660" s="40">
        <f t="shared" si="161"/>
        <v>2.9504741833508955E-3</v>
      </c>
      <c r="BY660" s="40">
        <f t="shared" si="162"/>
        <v>3.0979978925184403E-2</v>
      </c>
      <c r="BZ660" t="str">
        <f t="shared" si="163"/>
        <v>Revisar rendimiento</v>
      </c>
      <c r="CA660">
        <f t="shared" si="164"/>
        <v>1</v>
      </c>
    </row>
    <row r="661" spans="1:80" x14ac:dyDescent="0.25">
      <c r="A661" s="35">
        <v>46224</v>
      </c>
      <c r="B661" s="36">
        <v>12</v>
      </c>
      <c r="C661" t="s">
        <v>113</v>
      </c>
      <c r="D661" t="s">
        <v>6</v>
      </c>
      <c r="E661" t="s">
        <v>126</v>
      </c>
      <c r="F661" t="s">
        <v>127</v>
      </c>
      <c r="G661">
        <v>4780</v>
      </c>
      <c r="H661">
        <v>2140110743</v>
      </c>
      <c r="I661" t="s">
        <v>251</v>
      </c>
      <c r="J661" s="37">
        <v>10850</v>
      </c>
      <c r="K661" s="37">
        <v>10</v>
      </c>
      <c r="M661">
        <v>4112</v>
      </c>
      <c r="P661">
        <v>26</v>
      </c>
      <c r="V661" t="s">
        <v>120</v>
      </c>
      <c r="Y661" s="38">
        <v>0.29166666666666669</v>
      </c>
      <c r="Z661" s="38">
        <v>0.79166666666666663</v>
      </c>
      <c r="AA661" t="s">
        <v>117</v>
      </c>
      <c r="AC661" t="s">
        <v>118</v>
      </c>
      <c r="AQ661">
        <v>0.25</v>
      </c>
      <c r="AR661">
        <v>0.75</v>
      </c>
      <c r="AY661">
        <v>1.1667000000000001</v>
      </c>
      <c r="BI661">
        <v>0.16669999999999999</v>
      </c>
      <c r="BJ661">
        <v>2.3332999999999999</v>
      </c>
      <c r="BK661">
        <f>0</f>
        <v>0</v>
      </c>
      <c r="BL661">
        <f t="shared" si="150"/>
        <v>4.6667000000000005</v>
      </c>
      <c r="BM661">
        <f t="shared" si="151"/>
        <v>0</v>
      </c>
      <c r="BN661">
        <f t="shared" si="152"/>
        <v>0</v>
      </c>
      <c r="BO661">
        <f t="shared" si="153"/>
        <v>1</v>
      </c>
      <c r="BP661" s="37">
        <f>IF($F661="","",IFERROR(INDEX(Familias!$C$5:$C$300,MATCH($F661,Familias!$A$5:$A$300,0)),""))</f>
        <v>2450</v>
      </c>
      <c r="BQ661" s="37">
        <f t="shared" si="154"/>
        <v>10860</v>
      </c>
      <c r="BR661" s="36">
        <f t="shared" si="155"/>
        <v>12</v>
      </c>
      <c r="BS661" s="36">
        <f t="shared" si="156"/>
        <v>4.6666999999999996</v>
      </c>
      <c r="BT661" s="36">
        <f t="shared" si="157"/>
        <v>7.3333000000000004</v>
      </c>
      <c r="BU661" s="36">
        <f t="shared" si="158"/>
        <v>4.4326999999999996</v>
      </c>
      <c r="BV661" s="39">
        <f t="shared" si="159"/>
        <v>0.60446183846290202</v>
      </c>
      <c r="BW661" s="39">
        <f t="shared" si="160"/>
        <v>0.99907918968692444</v>
      </c>
      <c r="BX661" s="40">
        <f t="shared" si="161"/>
        <v>6.3229571984435799E-3</v>
      </c>
      <c r="BY661" s="40">
        <f t="shared" si="162"/>
        <v>0</v>
      </c>
      <c r="BZ661" t="str">
        <f t="shared" si="163"/>
        <v>OK</v>
      </c>
      <c r="CA661">
        <f t="shared" si="164"/>
        <v>1</v>
      </c>
    </row>
    <row r="662" spans="1:80" x14ac:dyDescent="0.25">
      <c r="A662" s="35">
        <v>46224</v>
      </c>
      <c r="B662" s="36">
        <v>12</v>
      </c>
      <c r="C662" t="s">
        <v>119</v>
      </c>
      <c r="D662" t="s">
        <v>6</v>
      </c>
      <c r="E662" t="s">
        <v>126</v>
      </c>
      <c r="F662" t="s">
        <v>127</v>
      </c>
      <c r="G662">
        <v>4780</v>
      </c>
      <c r="H662">
        <v>2140110743</v>
      </c>
      <c r="I662" t="s">
        <v>251</v>
      </c>
      <c r="J662" s="37">
        <v>16875</v>
      </c>
      <c r="K662" s="37">
        <v>30</v>
      </c>
      <c r="M662">
        <v>6382</v>
      </c>
      <c r="P662">
        <v>34</v>
      </c>
      <c r="V662" t="s">
        <v>116</v>
      </c>
      <c r="Y662" s="38">
        <v>0.79166666666666663</v>
      </c>
      <c r="Z662" s="38">
        <v>0.29166666666666669</v>
      </c>
      <c r="AA662" t="s">
        <v>117</v>
      </c>
      <c r="AC662" t="s">
        <v>118</v>
      </c>
      <c r="AJ662">
        <v>0.5</v>
      </c>
      <c r="AQ662">
        <v>0.25</v>
      </c>
      <c r="AR662">
        <v>0.75</v>
      </c>
      <c r="BI662">
        <v>0.5</v>
      </c>
      <c r="BK662">
        <f>0</f>
        <v>0</v>
      </c>
      <c r="BL662">
        <f t="shared" si="150"/>
        <v>2</v>
      </c>
      <c r="BM662">
        <f t="shared" si="151"/>
        <v>0</v>
      </c>
      <c r="BN662">
        <f t="shared" si="152"/>
        <v>0</v>
      </c>
      <c r="BO662">
        <f t="shared" si="153"/>
        <v>1</v>
      </c>
      <c r="BP662" s="37">
        <f>IF($F662="","",IFERROR(INDEX(Familias!$C$5:$C$300,MATCH($F662,Familias!$A$5:$A$300,0)),""))</f>
        <v>2450</v>
      </c>
      <c r="BQ662" s="37">
        <f t="shared" si="154"/>
        <v>16905</v>
      </c>
      <c r="BR662" s="36">
        <f t="shared" si="155"/>
        <v>12</v>
      </c>
      <c r="BS662" s="36">
        <f t="shared" si="156"/>
        <v>2</v>
      </c>
      <c r="BT662" s="36">
        <f t="shared" si="157"/>
        <v>10</v>
      </c>
      <c r="BU662" s="36">
        <f t="shared" si="158"/>
        <v>6.9</v>
      </c>
      <c r="BV662" s="39">
        <f t="shared" si="159"/>
        <v>0.69000000000000006</v>
      </c>
      <c r="BW662" s="39">
        <f t="shared" si="160"/>
        <v>0.9982253771073647</v>
      </c>
      <c r="BX662" s="40">
        <f t="shared" si="161"/>
        <v>5.3274835474772797E-3</v>
      </c>
      <c r="BY662" s="40">
        <f t="shared" si="162"/>
        <v>0</v>
      </c>
      <c r="BZ662" t="str">
        <f t="shared" si="163"/>
        <v>OK</v>
      </c>
      <c r="CA662">
        <f t="shared" si="164"/>
        <v>1</v>
      </c>
    </row>
    <row r="663" spans="1:80" x14ac:dyDescent="0.25">
      <c r="A663" s="35">
        <v>46225</v>
      </c>
      <c r="B663" s="36">
        <v>12</v>
      </c>
      <c r="C663" t="s">
        <v>113</v>
      </c>
      <c r="D663" t="s">
        <v>6</v>
      </c>
      <c r="E663" t="s">
        <v>126</v>
      </c>
      <c r="F663" t="s">
        <v>127</v>
      </c>
      <c r="G663">
        <v>4780</v>
      </c>
      <c r="H663">
        <v>2140110743</v>
      </c>
      <c r="I663" t="s">
        <v>251</v>
      </c>
      <c r="J663" s="37">
        <v>16225</v>
      </c>
      <c r="K663" s="37">
        <v>10</v>
      </c>
      <c r="M663">
        <v>6019</v>
      </c>
      <c r="P663">
        <v>21</v>
      </c>
      <c r="V663" t="s">
        <v>120</v>
      </c>
      <c r="Y663" s="38">
        <v>0.29166666666666669</v>
      </c>
      <c r="Z663" s="38">
        <v>0.79166666666666663</v>
      </c>
      <c r="AA663" t="s">
        <v>117</v>
      </c>
      <c r="AC663" t="s">
        <v>118</v>
      </c>
      <c r="AJ663">
        <v>0.33329999999999999</v>
      </c>
      <c r="AQ663">
        <v>0.25</v>
      </c>
      <c r="AR663">
        <v>0.75</v>
      </c>
      <c r="BI663">
        <v>0.16669999999999999</v>
      </c>
      <c r="BK663">
        <f>0</f>
        <v>0</v>
      </c>
      <c r="BL663">
        <f t="shared" si="150"/>
        <v>1.5</v>
      </c>
      <c r="BM663">
        <f t="shared" si="151"/>
        <v>0</v>
      </c>
      <c r="BN663">
        <f t="shared" si="152"/>
        <v>0</v>
      </c>
      <c r="BO663">
        <f t="shared" si="153"/>
        <v>1</v>
      </c>
      <c r="BP663" s="37">
        <f>IF($F663="","",IFERROR(INDEX(Familias!$C$5:$C$300,MATCH($F663,Familias!$A$5:$A$300,0)),""))</f>
        <v>2450</v>
      </c>
      <c r="BQ663" s="37">
        <f t="shared" si="154"/>
        <v>16235</v>
      </c>
      <c r="BR663" s="36">
        <f t="shared" si="155"/>
        <v>12</v>
      </c>
      <c r="BS663" s="36">
        <f t="shared" si="156"/>
        <v>1.5</v>
      </c>
      <c r="BT663" s="36">
        <f t="shared" si="157"/>
        <v>10.5</v>
      </c>
      <c r="BU663" s="36">
        <f t="shared" si="158"/>
        <v>6.6265000000000001</v>
      </c>
      <c r="BV663" s="39">
        <f t="shared" si="159"/>
        <v>0.63109523809523815</v>
      </c>
      <c r="BW663" s="39">
        <f t="shared" si="160"/>
        <v>0.99938404681244231</v>
      </c>
      <c r="BX663" s="40">
        <f t="shared" si="161"/>
        <v>3.4889516530985216E-3</v>
      </c>
      <c r="BY663" s="40">
        <f t="shared" si="162"/>
        <v>0</v>
      </c>
      <c r="BZ663" t="str">
        <f t="shared" si="163"/>
        <v>OK</v>
      </c>
      <c r="CA663">
        <f t="shared" si="164"/>
        <v>1</v>
      </c>
    </row>
    <row r="664" spans="1:80" x14ac:dyDescent="0.25">
      <c r="A664" s="35">
        <v>46225</v>
      </c>
      <c r="B664" s="36">
        <v>12</v>
      </c>
      <c r="C664" t="s">
        <v>119</v>
      </c>
      <c r="D664" t="s">
        <v>6</v>
      </c>
      <c r="E664" t="s">
        <v>126</v>
      </c>
      <c r="F664" t="s">
        <v>127</v>
      </c>
      <c r="G664">
        <v>4780</v>
      </c>
      <c r="H664">
        <v>2140110743</v>
      </c>
      <c r="I664" t="s">
        <v>251</v>
      </c>
      <c r="J664" s="37">
        <v>18225</v>
      </c>
      <c r="K664" s="37">
        <v>20</v>
      </c>
      <c r="M664">
        <v>6764</v>
      </c>
      <c r="P664">
        <v>43</v>
      </c>
      <c r="V664" t="s">
        <v>116</v>
      </c>
      <c r="Y664" s="38">
        <v>0.79166666666666663</v>
      </c>
      <c r="Z664" s="38">
        <v>0.29166666666666669</v>
      </c>
      <c r="AA664" t="s">
        <v>117</v>
      </c>
      <c r="AC664" t="s">
        <v>118</v>
      </c>
      <c r="AQ664">
        <v>0.25</v>
      </c>
      <c r="AR664">
        <v>0.75</v>
      </c>
      <c r="BI664">
        <v>0.5</v>
      </c>
      <c r="BK664">
        <f>0</f>
        <v>0</v>
      </c>
      <c r="BL664">
        <f t="shared" si="150"/>
        <v>1.5</v>
      </c>
      <c r="BM664">
        <f t="shared" si="151"/>
        <v>0</v>
      </c>
      <c r="BN664">
        <f t="shared" si="152"/>
        <v>0</v>
      </c>
      <c r="BO664">
        <f t="shared" si="153"/>
        <v>1</v>
      </c>
      <c r="BP664" s="37">
        <f>IF($F664="","",IFERROR(INDEX(Familias!$C$5:$C$300,MATCH($F664,Familias!$A$5:$A$300,0)),""))</f>
        <v>2450</v>
      </c>
      <c r="BQ664" s="37">
        <f t="shared" si="154"/>
        <v>18245</v>
      </c>
      <c r="BR664" s="36">
        <f t="shared" si="155"/>
        <v>12</v>
      </c>
      <c r="BS664" s="36">
        <f t="shared" si="156"/>
        <v>1.5</v>
      </c>
      <c r="BT664" s="36">
        <f t="shared" si="157"/>
        <v>10.5</v>
      </c>
      <c r="BU664" s="36">
        <f t="shared" si="158"/>
        <v>7.4469000000000003</v>
      </c>
      <c r="BV664" s="39">
        <f t="shared" si="159"/>
        <v>0.70922857142857143</v>
      </c>
      <c r="BW664" s="39">
        <f t="shared" si="160"/>
        <v>0.99890380926281175</v>
      </c>
      <c r="BX664" s="40">
        <f t="shared" si="161"/>
        <v>6.3571850975753996E-3</v>
      </c>
      <c r="BY664" s="40">
        <f t="shared" si="162"/>
        <v>0</v>
      </c>
      <c r="BZ664" t="str">
        <f t="shared" si="163"/>
        <v>OK</v>
      </c>
      <c r="CA664">
        <f t="shared" si="164"/>
        <v>1</v>
      </c>
    </row>
    <row r="665" spans="1:80" x14ac:dyDescent="0.25">
      <c r="A665" s="35">
        <v>46226</v>
      </c>
      <c r="B665" s="36">
        <v>7.8315999999999999</v>
      </c>
      <c r="C665" t="s">
        <v>113</v>
      </c>
      <c r="D665" t="s">
        <v>6</v>
      </c>
      <c r="E665" t="s">
        <v>126</v>
      </c>
      <c r="F665" t="s">
        <v>127</v>
      </c>
      <c r="G665">
        <v>4780</v>
      </c>
      <c r="H665">
        <v>2140110743</v>
      </c>
      <c r="I665" t="s">
        <v>251</v>
      </c>
      <c r="J665" s="37">
        <v>10150</v>
      </c>
      <c r="K665" s="37">
        <v>5</v>
      </c>
      <c r="M665">
        <v>4780</v>
      </c>
      <c r="P665">
        <v>12</v>
      </c>
      <c r="V665" t="s">
        <v>120</v>
      </c>
      <c r="Y665" s="38">
        <v>0.29166666666666669</v>
      </c>
      <c r="Z665" s="38">
        <v>0.61805555555555558</v>
      </c>
      <c r="AA665" t="s">
        <v>117</v>
      </c>
      <c r="AC665" t="s">
        <v>121</v>
      </c>
      <c r="AF665">
        <v>0.65259999999999996</v>
      </c>
      <c r="AG665">
        <v>0.2175</v>
      </c>
      <c r="AQ665">
        <v>0.16320000000000001</v>
      </c>
      <c r="AR665">
        <v>0.48949999999999999</v>
      </c>
      <c r="BE665">
        <v>1.6315999999999999</v>
      </c>
      <c r="BI665">
        <v>0.10879999999999999</v>
      </c>
      <c r="BK665">
        <f>0</f>
        <v>0</v>
      </c>
      <c r="BL665">
        <f t="shared" si="150"/>
        <v>3.2631999999999999</v>
      </c>
      <c r="BM665">
        <f t="shared" si="151"/>
        <v>0</v>
      </c>
      <c r="BN665">
        <f t="shared" si="152"/>
        <v>0</v>
      </c>
      <c r="BO665">
        <f t="shared" si="153"/>
        <v>1</v>
      </c>
      <c r="BP665" s="37">
        <f>IF($F665="","",IFERROR(INDEX(Familias!$C$5:$C$300,MATCH($F665,Familias!$A$5:$A$300,0)),""))</f>
        <v>2450</v>
      </c>
      <c r="BQ665" s="37">
        <f t="shared" si="154"/>
        <v>10155</v>
      </c>
      <c r="BR665" s="36">
        <f t="shared" si="155"/>
        <v>7.8315999999999999</v>
      </c>
      <c r="BS665" s="36">
        <f t="shared" si="156"/>
        <v>3.2631999999999999</v>
      </c>
      <c r="BT665" s="36">
        <f t="shared" si="157"/>
        <v>4.5683999999999996</v>
      </c>
      <c r="BU665" s="36">
        <f t="shared" si="158"/>
        <v>4.1448999999999998</v>
      </c>
      <c r="BV665" s="39">
        <f t="shared" si="159"/>
        <v>0.90729795989843276</v>
      </c>
      <c r="BW665" s="39">
        <f t="shared" si="160"/>
        <v>0.99950763170851797</v>
      </c>
      <c r="BX665" s="40">
        <f t="shared" si="161"/>
        <v>2.5104602510460251E-3</v>
      </c>
      <c r="BY665" s="40">
        <f t="shared" si="162"/>
        <v>0</v>
      </c>
      <c r="BZ665" t="str">
        <f t="shared" si="163"/>
        <v>OK</v>
      </c>
      <c r="CA665">
        <f t="shared" si="164"/>
        <v>1</v>
      </c>
    </row>
    <row r="666" spans="1:80" x14ac:dyDescent="0.25">
      <c r="A666" s="35">
        <v>46226</v>
      </c>
      <c r="B666" s="36">
        <v>4.1684000000000001</v>
      </c>
      <c r="C666" t="s">
        <v>113</v>
      </c>
      <c r="D666" t="s">
        <v>6</v>
      </c>
      <c r="E666" t="s">
        <v>126</v>
      </c>
      <c r="F666" t="s">
        <v>127</v>
      </c>
      <c r="G666">
        <v>5431</v>
      </c>
      <c r="H666">
        <v>2140110610</v>
      </c>
      <c r="I666" t="s">
        <v>128</v>
      </c>
      <c r="J666" s="37">
        <v>5400</v>
      </c>
      <c r="K666" s="37">
        <v>5</v>
      </c>
      <c r="M666">
        <v>2561</v>
      </c>
      <c r="O666">
        <v>8</v>
      </c>
      <c r="P666">
        <v>9</v>
      </c>
      <c r="R666">
        <v>20</v>
      </c>
      <c r="T666">
        <v>3</v>
      </c>
      <c r="V666" t="s">
        <v>120</v>
      </c>
      <c r="Y666" s="38">
        <v>0.61805555555555558</v>
      </c>
      <c r="Z666" s="38">
        <v>0.79166666666666663</v>
      </c>
      <c r="AA666" t="s">
        <v>117</v>
      </c>
      <c r="AC666" t="s">
        <v>121</v>
      </c>
      <c r="AF666">
        <v>0.34739999999999999</v>
      </c>
      <c r="AG666">
        <v>0.1158</v>
      </c>
      <c r="AQ666">
        <v>8.6800000000000002E-2</v>
      </c>
      <c r="AR666">
        <v>0.26050000000000001</v>
      </c>
      <c r="BE666">
        <v>0.86839999999999995</v>
      </c>
      <c r="BI666">
        <v>5.79E-2</v>
      </c>
      <c r="BK666">
        <f>0</f>
        <v>0</v>
      </c>
      <c r="BL666">
        <f t="shared" si="150"/>
        <v>1.7368000000000001</v>
      </c>
      <c r="BM666">
        <f t="shared" si="151"/>
        <v>0</v>
      </c>
      <c r="BN666">
        <f t="shared" si="152"/>
        <v>0</v>
      </c>
      <c r="BO666">
        <f t="shared" si="153"/>
        <v>1</v>
      </c>
      <c r="BP666" s="37">
        <f>IF($F666="","",IFERROR(INDEX(Familias!$C$5:$C$300,MATCH($F666,Familias!$A$5:$A$300,0)),""))</f>
        <v>2450</v>
      </c>
      <c r="BQ666" s="37">
        <f t="shared" si="154"/>
        <v>5405</v>
      </c>
      <c r="BR666" s="36">
        <f t="shared" si="155"/>
        <v>4.1684000000000001</v>
      </c>
      <c r="BS666" s="36">
        <f t="shared" si="156"/>
        <v>1.7367999999999999</v>
      </c>
      <c r="BT666" s="36">
        <f t="shared" si="157"/>
        <v>2.4316</v>
      </c>
      <c r="BU666" s="36">
        <f t="shared" si="158"/>
        <v>2.2061000000000002</v>
      </c>
      <c r="BV666" s="39">
        <f t="shared" si="159"/>
        <v>0.90726270768218464</v>
      </c>
      <c r="BW666" s="39">
        <f t="shared" si="160"/>
        <v>0.99907493061979646</v>
      </c>
      <c r="BX666" s="40">
        <f t="shared" si="161"/>
        <v>1.4447481452557595E-2</v>
      </c>
      <c r="BY666" s="40">
        <f t="shared" si="162"/>
        <v>0</v>
      </c>
      <c r="BZ666" t="str">
        <f t="shared" si="163"/>
        <v>OK</v>
      </c>
      <c r="CA666">
        <f t="shared" si="164"/>
        <v>1</v>
      </c>
    </row>
    <row r="667" spans="1:80" x14ac:dyDescent="0.25">
      <c r="A667" s="35">
        <v>46226</v>
      </c>
      <c r="B667" s="36">
        <v>12</v>
      </c>
      <c r="C667" t="s">
        <v>119</v>
      </c>
      <c r="D667" t="s">
        <v>6</v>
      </c>
      <c r="E667" t="s">
        <v>126</v>
      </c>
      <c r="F667" t="s">
        <v>127</v>
      </c>
      <c r="G667">
        <v>5431</v>
      </c>
      <c r="H667">
        <v>2140110610</v>
      </c>
      <c r="I667" t="s">
        <v>128</v>
      </c>
      <c r="J667" s="37">
        <v>18175</v>
      </c>
      <c r="K667" s="37">
        <v>8</v>
      </c>
      <c r="M667">
        <v>6673</v>
      </c>
      <c r="O667">
        <v>62</v>
      </c>
      <c r="P667">
        <v>37</v>
      </c>
      <c r="T667">
        <v>8</v>
      </c>
      <c r="V667" t="s">
        <v>116</v>
      </c>
      <c r="Y667" s="38">
        <v>0.79166666666666663</v>
      </c>
      <c r="Z667" s="38">
        <v>0.29166666666666669</v>
      </c>
      <c r="AA667" t="s">
        <v>117</v>
      </c>
      <c r="AC667" t="s">
        <v>118</v>
      </c>
      <c r="AJ667">
        <v>8.4167000000000005</v>
      </c>
      <c r="AQ667">
        <v>0.25</v>
      </c>
      <c r="AR667">
        <v>0.75</v>
      </c>
      <c r="BI667">
        <v>0.5</v>
      </c>
      <c r="BK667">
        <f>0</f>
        <v>0</v>
      </c>
      <c r="BL667">
        <f t="shared" si="150"/>
        <v>9.9167000000000005</v>
      </c>
      <c r="BM667">
        <f t="shared" si="151"/>
        <v>0</v>
      </c>
      <c r="BN667">
        <f t="shared" si="152"/>
        <v>0</v>
      </c>
      <c r="BO667">
        <f t="shared" si="153"/>
        <v>1</v>
      </c>
      <c r="BP667" s="37">
        <f>IF($F667="","",IFERROR(INDEX(Familias!$C$5:$C$300,MATCH($F667,Familias!$A$5:$A$300,0)),""))</f>
        <v>2450</v>
      </c>
      <c r="BQ667" s="37">
        <f t="shared" si="154"/>
        <v>18183</v>
      </c>
      <c r="BR667" s="36">
        <f t="shared" si="155"/>
        <v>12</v>
      </c>
      <c r="BS667" s="36">
        <f t="shared" si="156"/>
        <v>9.9167000000000005</v>
      </c>
      <c r="BT667" s="36">
        <f t="shared" si="157"/>
        <v>2.0832999999999999</v>
      </c>
      <c r="BU667" s="36">
        <f t="shared" si="158"/>
        <v>7.4215999999999998</v>
      </c>
      <c r="BV667" s="39">
        <f t="shared" si="159"/>
        <v>3.562424998799981</v>
      </c>
      <c r="BW667" s="39">
        <f t="shared" si="160"/>
        <v>0.99956002859814108</v>
      </c>
      <c r="BX667" s="40">
        <f t="shared" si="161"/>
        <v>1.4835905889405065E-2</v>
      </c>
      <c r="BY667" s="40">
        <f t="shared" si="162"/>
        <v>0</v>
      </c>
      <c r="BZ667" t="str">
        <f t="shared" si="163"/>
        <v>Revisar rendimiento</v>
      </c>
      <c r="CA667">
        <f t="shared" si="164"/>
        <v>1</v>
      </c>
    </row>
    <row r="668" spans="1:80" x14ac:dyDescent="0.25">
      <c r="A668" s="35">
        <v>46227</v>
      </c>
      <c r="B668" s="36">
        <v>12</v>
      </c>
      <c r="C668" t="s">
        <v>113</v>
      </c>
      <c r="D668" t="s">
        <v>6</v>
      </c>
      <c r="E668" t="s">
        <v>126</v>
      </c>
      <c r="F668" t="s">
        <v>127</v>
      </c>
      <c r="G668">
        <v>5431</v>
      </c>
      <c r="H668">
        <v>2140110610</v>
      </c>
      <c r="I668" t="s">
        <v>128</v>
      </c>
      <c r="J668" s="37">
        <v>16475</v>
      </c>
      <c r="K668" s="37">
        <v>15</v>
      </c>
      <c r="M668">
        <v>6102</v>
      </c>
      <c r="O668">
        <v>68</v>
      </c>
      <c r="P668">
        <v>21</v>
      </c>
      <c r="Q668">
        <v>74</v>
      </c>
      <c r="T668">
        <v>7</v>
      </c>
      <c r="V668" t="s">
        <v>120</v>
      </c>
      <c r="Y668" s="38">
        <v>0.29166666666666669</v>
      </c>
      <c r="Z668" s="38">
        <v>0.79166666666666663</v>
      </c>
      <c r="AA668" t="s">
        <v>117</v>
      </c>
      <c r="AC668" t="s">
        <v>118</v>
      </c>
      <c r="AQ668">
        <v>0.25</v>
      </c>
      <c r="AR668">
        <v>0.75</v>
      </c>
      <c r="BE668">
        <v>3.1667000000000001</v>
      </c>
      <c r="BI668">
        <v>0.16669999999999999</v>
      </c>
      <c r="BK668">
        <f>0</f>
        <v>0</v>
      </c>
      <c r="BL668">
        <f t="shared" si="150"/>
        <v>4.3334000000000001</v>
      </c>
      <c r="BM668">
        <f t="shared" si="151"/>
        <v>0</v>
      </c>
      <c r="BN668">
        <f t="shared" si="152"/>
        <v>0</v>
      </c>
      <c r="BO668">
        <f t="shared" si="153"/>
        <v>1</v>
      </c>
      <c r="BP668" s="37">
        <f>IF($F668="","",IFERROR(INDEX(Familias!$C$5:$C$300,MATCH($F668,Familias!$A$5:$A$300,0)),""))</f>
        <v>2450</v>
      </c>
      <c r="BQ668" s="37">
        <f t="shared" si="154"/>
        <v>16490</v>
      </c>
      <c r="BR668" s="36">
        <f t="shared" si="155"/>
        <v>12</v>
      </c>
      <c r="BS668" s="36">
        <f t="shared" si="156"/>
        <v>4.3334000000000001</v>
      </c>
      <c r="BT668" s="36">
        <f t="shared" si="157"/>
        <v>7.6665999999999999</v>
      </c>
      <c r="BU668" s="36">
        <f t="shared" si="158"/>
        <v>6.7305999999999999</v>
      </c>
      <c r="BV668" s="39">
        <f t="shared" si="159"/>
        <v>0.87791198184332042</v>
      </c>
      <c r="BW668" s="39">
        <f t="shared" si="160"/>
        <v>0.99909035779260158</v>
      </c>
      <c r="BX668" s="40">
        <f t="shared" si="161"/>
        <v>1.458538184201901E-2</v>
      </c>
      <c r="BY668" s="40">
        <f t="shared" si="162"/>
        <v>1.2127171419206818E-2</v>
      </c>
      <c r="BZ668" t="str">
        <f t="shared" si="163"/>
        <v>OK</v>
      </c>
      <c r="CA668">
        <f t="shared" si="164"/>
        <v>1</v>
      </c>
    </row>
    <row r="669" spans="1:80" x14ac:dyDescent="0.25">
      <c r="A669" s="35">
        <v>46227</v>
      </c>
      <c r="B669" s="36">
        <v>12</v>
      </c>
      <c r="C669" t="s">
        <v>119</v>
      </c>
      <c r="D669" t="s">
        <v>6</v>
      </c>
      <c r="E669" t="s">
        <v>126</v>
      </c>
      <c r="F669" t="s">
        <v>127</v>
      </c>
      <c r="G669">
        <v>5431</v>
      </c>
      <c r="H669">
        <v>2140110610</v>
      </c>
      <c r="I669" t="s">
        <v>128</v>
      </c>
      <c r="J669" s="37">
        <v>17200</v>
      </c>
      <c r="K669" s="37">
        <v>10</v>
      </c>
      <c r="M669">
        <v>6320</v>
      </c>
      <c r="O669">
        <v>45</v>
      </c>
      <c r="P669">
        <v>10</v>
      </c>
      <c r="Q669">
        <v>63</v>
      </c>
      <c r="T669">
        <v>8</v>
      </c>
      <c r="V669" t="s">
        <v>116</v>
      </c>
      <c r="Y669" s="38">
        <v>0.79166666666666663</v>
      </c>
      <c r="Z669" s="38">
        <v>0.29166666666666669</v>
      </c>
      <c r="AA669" t="s">
        <v>117</v>
      </c>
      <c r="AC669" t="s">
        <v>118</v>
      </c>
      <c r="AQ669">
        <v>0.25</v>
      </c>
      <c r="AR669">
        <v>0.75</v>
      </c>
      <c r="BE669">
        <v>9.6667000000000005</v>
      </c>
      <c r="BI669">
        <v>0.5</v>
      </c>
      <c r="BK669">
        <f>0</f>
        <v>0</v>
      </c>
      <c r="BL669">
        <f t="shared" si="150"/>
        <v>11.166700000000001</v>
      </c>
      <c r="BM669">
        <f t="shared" si="151"/>
        <v>0</v>
      </c>
      <c r="BN669">
        <f t="shared" si="152"/>
        <v>0</v>
      </c>
      <c r="BO669">
        <f t="shared" si="153"/>
        <v>1</v>
      </c>
      <c r="BP669" s="37">
        <f>IF($F669="","",IFERROR(INDEX(Familias!$C$5:$C$300,MATCH($F669,Familias!$A$5:$A$300,0)),""))</f>
        <v>2450</v>
      </c>
      <c r="BQ669" s="37">
        <f t="shared" si="154"/>
        <v>17210</v>
      </c>
      <c r="BR669" s="36">
        <f t="shared" si="155"/>
        <v>12</v>
      </c>
      <c r="BS669" s="36">
        <f t="shared" si="156"/>
        <v>11.166700000000001</v>
      </c>
      <c r="BT669" s="36">
        <f t="shared" si="157"/>
        <v>0.83330000000000004</v>
      </c>
      <c r="BU669" s="36">
        <f t="shared" si="158"/>
        <v>7.0244999999999997</v>
      </c>
      <c r="BV669" s="39">
        <f t="shared" si="159"/>
        <v>8.4297371894875788</v>
      </c>
      <c r="BW669" s="39">
        <f t="shared" si="160"/>
        <v>0.99941894247530505</v>
      </c>
      <c r="BX669" s="40">
        <f t="shared" si="161"/>
        <v>8.7025316455696198E-3</v>
      </c>
      <c r="BY669" s="40">
        <f t="shared" si="162"/>
        <v>9.9683544303797462E-3</v>
      </c>
      <c r="BZ669" t="str">
        <f t="shared" si="163"/>
        <v>Revisar rendimiento</v>
      </c>
      <c r="CA669">
        <f t="shared" si="164"/>
        <v>1</v>
      </c>
    </row>
    <row r="670" spans="1:80" x14ac:dyDescent="0.25">
      <c r="A670" s="35">
        <v>46234</v>
      </c>
      <c r="B670" s="36">
        <v>12</v>
      </c>
      <c r="C670" t="s">
        <v>113</v>
      </c>
      <c r="D670" t="s">
        <v>6</v>
      </c>
      <c r="E670" t="s">
        <v>126</v>
      </c>
      <c r="F670" t="s">
        <v>149</v>
      </c>
      <c r="G670">
        <v>5463</v>
      </c>
      <c r="H670">
        <v>2140110613</v>
      </c>
      <c r="I670" t="s">
        <v>150</v>
      </c>
      <c r="J670" s="37">
        <v>10395</v>
      </c>
      <c r="K670" s="37">
        <v>25</v>
      </c>
      <c r="M670">
        <v>4755</v>
      </c>
      <c r="O670">
        <v>170</v>
      </c>
      <c r="R670">
        <v>80</v>
      </c>
      <c r="T670">
        <v>6</v>
      </c>
      <c r="V670" t="s">
        <v>116</v>
      </c>
      <c r="Y670" s="38">
        <v>0.29166666666666669</v>
      </c>
      <c r="Z670" s="38">
        <v>0.79166666666666663</v>
      </c>
      <c r="AA670" t="s">
        <v>117</v>
      </c>
      <c r="AC670" t="s">
        <v>118</v>
      </c>
      <c r="AD670">
        <v>0.16669999999999999</v>
      </c>
      <c r="AQ670">
        <v>0.25</v>
      </c>
      <c r="AR670">
        <v>0.75</v>
      </c>
      <c r="BK670">
        <f>0</f>
        <v>0</v>
      </c>
      <c r="BL670">
        <f t="shared" si="150"/>
        <v>1.1667000000000001</v>
      </c>
      <c r="BM670">
        <f t="shared" si="151"/>
        <v>0</v>
      </c>
      <c r="BN670">
        <f t="shared" si="152"/>
        <v>0</v>
      </c>
      <c r="BO670">
        <f t="shared" si="153"/>
        <v>1</v>
      </c>
      <c r="BP670" s="37">
        <f>IF($F670="","",IFERROR(INDEX(Familias!$C$5:$C$300,MATCH($F670,Familias!$A$5:$A$300,0)),""))</f>
        <v>2740</v>
      </c>
      <c r="BQ670" s="37">
        <f t="shared" si="154"/>
        <v>10420</v>
      </c>
      <c r="BR670" s="36">
        <f t="shared" si="155"/>
        <v>12</v>
      </c>
      <c r="BS670" s="36">
        <f t="shared" si="156"/>
        <v>1.1667000000000001</v>
      </c>
      <c r="BT670" s="36">
        <f t="shared" si="157"/>
        <v>10.833299999999999</v>
      </c>
      <c r="BU670" s="36">
        <f t="shared" si="158"/>
        <v>3.8029000000000002</v>
      </c>
      <c r="BV670" s="39">
        <f t="shared" si="159"/>
        <v>0.35103800319385603</v>
      </c>
      <c r="BW670" s="39">
        <f t="shared" si="160"/>
        <v>0.99760076775431861</v>
      </c>
      <c r="BX670" s="40">
        <f t="shared" si="161"/>
        <v>5.2576235541535225E-2</v>
      </c>
      <c r="BY670" s="40">
        <f t="shared" si="162"/>
        <v>0</v>
      </c>
      <c r="BZ670" t="str">
        <f t="shared" si="163"/>
        <v>OK</v>
      </c>
      <c r="CA670">
        <f t="shared" si="164"/>
        <v>1</v>
      </c>
    </row>
    <row r="671" spans="1:80" x14ac:dyDescent="0.25">
      <c r="A671" s="35">
        <v>46234</v>
      </c>
      <c r="B671" s="36">
        <v>12</v>
      </c>
      <c r="C671" t="s">
        <v>119</v>
      </c>
      <c r="D671" t="s">
        <v>6</v>
      </c>
      <c r="E671" t="s">
        <v>126</v>
      </c>
      <c r="F671" t="s">
        <v>149</v>
      </c>
      <c r="G671">
        <v>5463</v>
      </c>
      <c r="H671">
        <v>2140110613</v>
      </c>
      <c r="I671" t="s">
        <v>150</v>
      </c>
      <c r="J671" s="37">
        <v>10400</v>
      </c>
      <c r="K671" s="37">
        <v>10</v>
      </c>
      <c r="M671">
        <v>3534</v>
      </c>
      <c r="O671">
        <v>60</v>
      </c>
      <c r="P671">
        <v>15</v>
      </c>
      <c r="Q671">
        <v>53</v>
      </c>
      <c r="V671" t="s">
        <v>120</v>
      </c>
      <c r="Y671" s="38">
        <v>0.79166666666666663</v>
      </c>
      <c r="Z671" s="38">
        <v>0.29166666666666669</v>
      </c>
      <c r="AA671" t="s">
        <v>117</v>
      </c>
      <c r="AC671" t="s">
        <v>118</v>
      </c>
      <c r="AD671">
        <v>0.5</v>
      </c>
      <c r="AQ671">
        <v>0.25</v>
      </c>
      <c r="AR671">
        <v>0.75</v>
      </c>
      <c r="BA671">
        <v>5.6666999999999996</v>
      </c>
      <c r="BK671">
        <f>0</f>
        <v>0</v>
      </c>
      <c r="BL671">
        <f t="shared" si="150"/>
        <v>1.5</v>
      </c>
      <c r="BM671">
        <f t="shared" si="151"/>
        <v>5.6666999999999996</v>
      </c>
      <c r="BN671">
        <f t="shared" si="152"/>
        <v>0</v>
      </c>
      <c r="BO671">
        <f t="shared" si="153"/>
        <v>1</v>
      </c>
      <c r="BP671" s="37">
        <f>IF($F671="","",IFERROR(INDEX(Familias!$C$5:$C$300,MATCH($F671,Familias!$A$5:$A$300,0)),""))</f>
        <v>2740</v>
      </c>
      <c r="BQ671" s="37">
        <f t="shared" si="154"/>
        <v>10410</v>
      </c>
      <c r="BR671" s="36">
        <f t="shared" si="155"/>
        <v>12</v>
      </c>
      <c r="BS671" s="36">
        <f t="shared" si="156"/>
        <v>7.1666999999999996</v>
      </c>
      <c r="BT671" s="36">
        <f t="shared" si="157"/>
        <v>4.8333000000000004</v>
      </c>
      <c r="BU671" s="36">
        <f t="shared" si="158"/>
        <v>3.7993000000000001</v>
      </c>
      <c r="BV671" s="39">
        <f t="shared" si="159"/>
        <v>0.78606749012062149</v>
      </c>
      <c r="BW671" s="39">
        <f t="shared" si="160"/>
        <v>0.99903938520653213</v>
      </c>
      <c r="BX671" s="40">
        <f t="shared" si="161"/>
        <v>2.1222410865874362E-2</v>
      </c>
      <c r="BY671" s="40">
        <f t="shared" si="162"/>
        <v>1.4997170345217883E-2</v>
      </c>
      <c r="BZ671" t="str">
        <f t="shared" si="163"/>
        <v>OK</v>
      </c>
      <c r="CA671">
        <f t="shared" si="164"/>
        <v>1</v>
      </c>
    </row>
    <row r="672" spans="1:80" x14ac:dyDescent="0.25">
      <c r="A672" s="35">
        <v>46235</v>
      </c>
      <c r="B672" s="36">
        <v>5.9488000000000003</v>
      </c>
      <c r="C672" t="s">
        <v>113</v>
      </c>
      <c r="D672" t="s">
        <v>6</v>
      </c>
      <c r="E672" t="s">
        <v>126</v>
      </c>
      <c r="F672" t="s">
        <v>149</v>
      </c>
      <c r="G672">
        <v>5463</v>
      </c>
      <c r="H672">
        <v>2140110613</v>
      </c>
      <c r="I672" t="s">
        <v>150</v>
      </c>
      <c r="J672" s="37">
        <v>7125</v>
      </c>
      <c r="K672" s="37">
        <v>25</v>
      </c>
      <c r="M672">
        <v>2635</v>
      </c>
      <c r="O672">
        <v>130</v>
      </c>
      <c r="V672" t="s">
        <v>116</v>
      </c>
      <c r="Y672" s="38">
        <v>0.29166666666666669</v>
      </c>
      <c r="Z672" s="38">
        <v>0.5395833333333333</v>
      </c>
      <c r="AA672" t="s">
        <v>117</v>
      </c>
      <c r="AC672" t="s">
        <v>121</v>
      </c>
      <c r="AJ672">
        <v>0.1239</v>
      </c>
      <c r="AQ672">
        <v>0.1239</v>
      </c>
      <c r="AR672">
        <v>0.37180000000000002</v>
      </c>
      <c r="BI672">
        <v>8.2600000000000007E-2</v>
      </c>
      <c r="BJ672">
        <v>3.4287999999999998</v>
      </c>
      <c r="BK672">
        <f>0</f>
        <v>0</v>
      </c>
      <c r="BL672">
        <f t="shared" si="150"/>
        <v>4.1310000000000002</v>
      </c>
      <c r="BM672">
        <f t="shared" si="151"/>
        <v>0</v>
      </c>
      <c r="BN672">
        <f t="shared" si="152"/>
        <v>0</v>
      </c>
      <c r="BO672">
        <f t="shared" si="153"/>
        <v>1</v>
      </c>
      <c r="BP672" s="37">
        <f>IF($F672="","",IFERROR(INDEX(Familias!$C$5:$C$300,MATCH($F672,Familias!$A$5:$A$300,0)),""))</f>
        <v>2740</v>
      </c>
      <c r="BQ672" s="37">
        <f t="shared" si="154"/>
        <v>7150</v>
      </c>
      <c r="BR672" s="36">
        <f t="shared" si="155"/>
        <v>5.9488000000000003</v>
      </c>
      <c r="BS672" s="36">
        <f t="shared" si="156"/>
        <v>4.1310000000000002</v>
      </c>
      <c r="BT672" s="36">
        <f t="shared" si="157"/>
        <v>1.8178000000000001</v>
      </c>
      <c r="BU672" s="36">
        <f t="shared" si="158"/>
        <v>2.6095000000000002</v>
      </c>
      <c r="BV672" s="39">
        <f t="shared" si="159"/>
        <v>1.4355264605567168</v>
      </c>
      <c r="BW672" s="39">
        <f t="shared" si="160"/>
        <v>0.99650349650349646</v>
      </c>
      <c r="BX672" s="40">
        <f t="shared" si="161"/>
        <v>4.9335863377609111E-2</v>
      </c>
      <c r="BY672" s="40">
        <f t="shared" si="162"/>
        <v>0</v>
      </c>
      <c r="BZ672" t="str">
        <f t="shared" si="163"/>
        <v>Revisar rendimiento</v>
      </c>
      <c r="CA672">
        <f t="shared" si="164"/>
        <v>1</v>
      </c>
    </row>
    <row r="673" spans="1:80" x14ac:dyDescent="0.25">
      <c r="A673" s="35">
        <v>46235</v>
      </c>
      <c r="B673" s="36">
        <v>6.0511999999999997</v>
      </c>
      <c r="C673" t="s">
        <v>113</v>
      </c>
      <c r="D673" t="s">
        <v>6</v>
      </c>
      <c r="E673" t="s">
        <v>126</v>
      </c>
      <c r="F673" t="s">
        <v>149</v>
      </c>
      <c r="G673">
        <v>5462</v>
      </c>
      <c r="H673">
        <v>2140110615</v>
      </c>
      <c r="I673" t="s">
        <v>151</v>
      </c>
      <c r="J673" s="37">
        <v>7243</v>
      </c>
      <c r="K673" s="37">
        <v>30</v>
      </c>
      <c r="M673">
        <v>1986</v>
      </c>
      <c r="O673">
        <v>80</v>
      </c>
      <c r="P673">
        <v>14</v>
      </c>
      <c r="T673">
        <v>3</v>
      </c>
      <c r="V673" t="s">
        <v>116</v>
      </c>
      <c r="Y673" s="38">
        <v>0.5395833333333333</v>
      </c>
      <c r="Z673" s="38">
        <v>0.79166666666666663</v>
      </c>
      <c r="AA673" t="s">
        <v>117</v>
      </c>
      <c r="AC673" t="s">
        <v>121</v>
      </c>
      <c r="AJ673">
        <v>0.12609999999999999</v>
      </c>
      <c r="AQ673">
        <v>0.12609999999999999</v>
      </c>
      <c r="AR673">
        <v>0.37819999999999998</v>
      </c>
      <c r="BI673">
        <v>8.4000000000000005E-2</v>
      </c>
      <c r="BJ673">
        <v>3.4878</v>
      </c>
      <c r="BK673">
        <f>0</f>
        <v>0</v>
      </c>
      <c r="BL673">
        <f t="shared" si="150"/>
        <v>4.2021999999999995</v>
      </c>
      <c r="BM673">
        <f t="shared" si="151"/>
        <v>0</v>
      </c>
      <c r="BN673">
        <f t="shared" si="152"/>
        <v>0</v>
      </c>
      <c r="BO673">
        <f t="shared" si="153"/>
        <v>1</v>
      </c>
      <c r="BP673" s="37">
        <f>IF($F673="","",IFERROR(INDEX(Familias!$C$5:$C$300,MATCH($F673,Familias!$A$5:$A$300,0)),""))</f>
        <v>2740</v>
      </c>
      <c r="BQ673" s="37">
        <f t="shared" si="154"/>
        <v>7273</v>
      </c>
      <c r="BR673" s="36">
        <f t="shared" si="155"/>
        <v>6.0511999999999997</v>
      </c>
      <c r="BS673" s="36">
        <f t="shared" si="156"/>
        <v>4.2022000000000004</v>
      </c>
      <c r="BT673" s="36">
        <f t="shared" si="157"/>
        <v>1.849</v>
      </c>
      <c r="BU673" s="36">
        <f t="shared" si="158"/>
        <v>2.6543999999999999</v>
      </c>
      <c r="BV673" s="39">
        <f t="shared" si="159"/>
        <v>1.4355868036776636</v>
      </c>
      <c r="BW673" s="39">
        <f t="shared" si="160"/>
        <v>0.9958751546816994</v>
      </c>
      <c r="BX673" s="40">
        <f t="shared" si="161"/>
        <v>4.7331319234642497E-2</v>
      </c>
      <c r="BY673" s="40">
        <f t="shared" si="162"/>
        <v>0</v>
      </c>
      <c r="BZ673" t="str">
        <f t="shared" si="163"/>
        <v>Revisar rendimiento</v>
      </c>
      <c r="CA673">
        <f t="shared" si="164"/>
        <v>1</v>
      </c>
    </row>
    <row r="674" spans="1:80" x14ac:dyDescent="0.25">
      <c r="A674" s="35">
        <v>46235</v>
      </c>
      <c r="B674" s="36">
        <v>12</v>
      </c>
      <c r="C674" t="s">
        <v>119</v>
      </c>
      <c r="D674" t="s">
        <v>6</v>
      </c>
      <c r="J674" s="37"/>
      <c r="K674" s="37"/>
      <c r="V674" t="s">
        <v>120</v>
      </c>
      <c r="Y674" s="38">
        <v>0.79166666666666663</v>
      </c>
      <c r="Z674" s="38">
        <v>0.29166666666666669</v>
      </c>
      <c r="AA674" t="s">
        <v>200</v>
      </c>
      <c r="AB674" t="s">
        <v>252</v>
      </c>
      <c r="AC674" t="s">
        <v>118</v>
      </c>
      <c r="AR674">
        <v>0.75</v>
      </c>
      <c r="BA674">
        <v>0.16669999999999999</v>
      </c>
      <c r="BI674">
        <v>0.5</v>
      </c>
      <c r="BK674">
        <f>0</f>
        <v>0</v>
      </c>
      <c r="BL674">
        <f t="shared" si="150"/>
        <v>1.25</v>
      </c>
      <c r="BM674">
        <f t="shared" si="151"/>
        <v>0.16669999999999999</v>
      </c>
      <c r="BN674">
        <f t="shared" si="152"/>
        <v>0</v>
      </c>
      <c r="BO674">
        <f t="shared" si="153"/>
        <v>1</v>
      </c>
      <c r="BP674" s="37" t="str">
        <f>IF($F674="","",IFERROR(INDEX(Familias!$C$5:$C$300,MATCH($F674,Familias!$A$5:$A$300,0)),""))</f>
        <v/>
      </c>
      <c r="BQ674" s="37" t="str">
        <f t="shared" si="154"/>
        <v/>
      </c>
      <c r="BR674" s="36">
        <f t="shared" si="155"/>
        <v>12</v>
      </c>
      <c r="BS674" s="36">
        <f t="shared" si="156"/>
        <v>1.4167000000000001</v>
      </c>
      <c r="BT674" s="36">
        <f t="shared" si="157"/>
        <v>10.583299999999999</v>
      </c>
      <c r="BU674" s="36" t="str">
        <f t="shared" si="158"/>
        <v/>
      </c>
      <c r="BV674" s="39" t="str">
        <f t="shared" si="159"/>
        <v/>
      </c>
      <c r="BW674" s="39" t="str">
        <f t="shared" si="160"/>
        <v/>
      </c>
      <c r="BX674" s="40" t="str">
        <f t="shared" si="161"/>
        <v/>
      </c>
      <c r="BY674" s="40" t="str">
        <f t="shared" si="162"/>
        <v/>
      </c>
      <c r="BZ674" t="str">
        <f t="shared" si="163"/>
        <v>Paradas no digitadas</v>
      </c>
      <c r="CA674">
        <f t="shared" si="164"/>
        <v>0</v>
      </c>
    </row>
    <row r="675" spans="1:80" x14ac:dyDescent="0.25">
      <c r="A675" s="35">
        <v>46237</v>
      </c>
      <c r="B675" s="36">
        <v>12</v>
      </c>
      <c r="C675" t="s">
        <v>113</v>
      </c>
      <c r="D675" t="s">
        <v>6</v>
      </c>
      <c r="E675" t="s">
        <v>126</v>
      </c>
      <c r="F675" t="s">
        <v>149</v>
      </c>
      <c r="G675">
        <v>5462</v>
      </c>
      <c r="H675">
        <v>2140110615</v>
      </c>
      <c r="I675" t="s">
        <v>151</v>
      </c>
      <c r="J675" s="37">
        <v>23350</v>
      </c>
      <c r="K675" s="37">
        <v>5</v>
      </c>
      <c r="M675">
        <v>6019</v>
      </c>
      <c r="O675">
        <v>164</v>
      </c>
      <c r="P675">
        <v>24</v>
      </c>
      <c r="Q675">
        <v>68</v>
      </c>
      <c r="T675">
        <v>8</v>
      </c>
      <c r="V675" t="s">
        <v>120</v>
      </c>
      <c r="Y675" s="38">
        <v>0.29166666666666669</v>
      </c>
      <c r="Z675" s="38">
        <v>0.79166666666666663</v>
      </c>
      <c r="AA675" t="s">
        <v>117</v>
      </c>
      <c r="AC675" t="s">
        <v>118</v>
      </c>
      <c r="AQ675">
        <v>0.25</v>
      </c>
      <c r="AR675">
        <v>0.75</v>
      </c>
      <c r="BI675">
        <v>0.16669999999999999</v>
      </c>
      <c r="BK675">
        <f>0</f>
        <v>0</v>
      </c>
      <c r="BL675">
        <f t="shared" si="150"/>
        <v>1.1667000000000001</v>
      </c>
      <c r="BM675">
        <f t="shared" si="151"/>
        <v>0</v>
      </c>
      <c r="BN675">
        <f t="shared" si="152"/>
        <v>0</v>
      </c>
      <c r="BO675">
        <f t="shared" si="153"/>
        <v>1</v>
      </c>
      <c r="BP675" s="37">
        <f>IF($F675="","",IFERROR(INDEX(Familias!$C$5:$C$300,MATCH($F675,Familias!$A$5:$A$300,0)),""))</f>
        <v>2740</v>
      </c>
      <c r="BQ675" s="37">
        <f t="shared" si="154"/>
        <v>23355</v>
      </c>
      <c r="BR675" s="36">
        <f t="shared" si="155"/>
        <v>12</v>
      </c>
      <c r="BS675" s="36">
        <f t="shared" si="156"/>
        <v>1.1667000000000001</v>
      </c>
      <c r="BT675" s="36">
        <f t="shared" si="157"/>
        <v>10.833299999999999</v>
      </c>
      <c r="BU675" s="36">
        <f t="shared" si="158"/>
        <v>8.5236999999999998</v>
      </c>
      <c r="BV675" s="39">
        <f t="shared" si="159"/>
        <v>0.78680549786307041</v>
      </c>
      <c r="BW675" s="39">
        <f t="shared" si="160"/>
        <v>0.99978591308071074</v>
      </c>
      <c r="BX675" s="40">
        <f t="shared" si="161"/>
        <v>3.1234424322977239E-2</v>
      </c>
      <c r="BY675" s="40">
        <f t="shared" si="162"/>
        <v>1.1297557733842832E-2</v>
      </c>
      <c r="BZ675" t="str">
        <f t="shared" si="163"/>
        <v>OK</v>
      </c>
      <c r="CA675">
        <f t="shared" si="164"/>
        <v>1</v>
      </c>
    </row>
    <row r="676" spans="1:80" x14ac:dyDescent="0.25">
      <c r="A676" s="35">
        <v>46237</v>
      </c>
      <c r="B676" s="36">
        <v>8.5960000000000001</v>
      </c>
      <c r="C676" t="s">
        <v>119</v>
      </c>
      <c r="D676" t="s">
        <v>6</v>
      </c>
      <c r="E676" t="s">
        <v>126</v>
      </c>
      <c r="F676" t="s">
        <v>149</v>
      </c>
      <c r="G676">
        <v>5462</v>
      </c>
      <c r="H676">
        <v>2140110615</v>
      </c>
      <c r="I676" t="s">
        <v>151</v>
      </c>
      <c r="J676" s="37">
        <v>19250</v>
      </c>
      <c r="K676" s="37">
        <v>30</v>
      </c>
      <c r="M676">
        <v>6305</v>
      </c>
      <c r="O676">
        <v>95</v>
      </c>
      <c r="P676">
        <v>43</v>
      </c>
      <c r="Q676">
        <v>35</v>
      </c>
      <c r="T676">
        <v>8</v>
      </c>
      <c r="V676" t="s">
        <v>116</v>
      </c>
      <c r="Y676" s="38">
        <v>0.79166666666666663</v>
      </c>
      <c r="Z676" s="38">
        <v>0.15</v>
      </c>
      <c r="AA676" t="s">
        <v>117</v>
      </c>
      <c r="AC676" t="s">
        <v>121</v>
      </c>
      <c r="AO676">
        <v>0.17910000000000001</v>
      </c>
      <c r="AQ676">
        <v>0.17910000000000001</v>
      </c>
      <c r="AR676">
        <v>0.53720000000000001</v>
      </c>
      <c r="BI676">
        <v>0.35820000000000002</v>
      </c>
      <c r="BJ676">
        <v>0.17910000000000001</v>
      </c>
      <c r="BK676">
        <f>0</f>
        <v>0</v>
      </c>
      <c r="BL676">
        <f t="shared" si="150"/>
        <v>1.4327000000000001</v>
      </c>
      <c r="BM676">
        <f t="shared" si="151"/>
        <v>0</v>
      </c>
      <c r="BN676">
        <f t="shared" si="152"/>
        <v>0</v>
      </c>
      <c r="BO676">
        <f t="shared" si="153"/>
        <v>1</v>
      </c>
      <c r="BP676" s="37">
        <f>IF($F676="","",IFERROR(INDEX(Familias!$C$5:$C$300,MATCH($F676,Familias!$A$5:$A$300,0)),""))</f>
        <v>2740</v>
      </c>
      <c r="BQ676" s="37">
        <f t="shared" si="154"/>
        <v>19280</v>
      </c>
      <c r="BR676" s="36">
        <f t="shared" si="155"/>
        <v>8.5960000000000001</v>
      </c>
      <c r="BS676" s="36">
        <f t="shared" si="156"/>
        <v>1.4327000000000001</v>
      </c>
      <c r="BT676" s="36">
        <f t="shared" si="157"/>
        <v>7.1632999999999996</v>
      </c>
      <c r="BU676" s="36">
        <f t="shared" si="158"/>
        <v>7.0365000000000002</v>
      </c>
      <c r="BV676" s="39">
        <f t="shared" si="159"/>
        <v>0.9822986612315554</v>
      </c>
      <c r="BW676" s="39">
        <f t="shared" si="160"/>
        <v>0.99844398340248963</v>
      </c>
      <c r="BX676" s="40">
        <f t="shared" si="161"/>
        <v>2.1887390959555907E-2</v>
      </c>
      <c r="BY676" s="40">
        <f t="shared" si="162"/>
        <v>5.5511498810467885E-3</v>
      </c>
      <c r="BZ676" t="str">
        <f t="shared" si="163"/>
        <v>OK</v>
      </c>
      <c r="CA676">
        <f t="shared" si="164"/>
        <v>1</v>
      </c>
    </row>
    <row r="677" spans="1:80" x14ac:dyDescent="0.25">
      <c r="A677" s="35">
        <v>46237</v>
      </c>
      <c r="B677" s="36">
        <v>3.4039999999999999</v>
      </c>
      <c r="C677" t="s">
        <v>119</v>
      </c>
      <c r="D677" t="s">
        <v>6</v>
      </c>
      <c r="E677" t="s">
        <v>126</v>
      </c>
      <c r="F677" t="s">
        <v>149</v>
      </c>
      <c r="G677">
        <v>5500</v>
      </c>
      <c r="H677">
        <v>2140110643</v>
      </c>
      <c r="I677" t="s">
        <v>170</v>
      </c>
      <c r="J677" s="37">
        <v>7600</v>
      </c>
      <c r="K677" s="37">
        <v>35</v>
      </c>
      <c r="M677">
        <v>2929</v>
      </c>
      <c r="O677">
        <v>55</v>
      </c>
      <c r="P677">
        <v>24</v>
      </c>
      <c r="Q677">
        <v>16</v>
      </c>
      <c r="T677">
        <v>4</v>
      </c>
      <c r="V677" t="s">
        <v>120</v>
      </c>
      <c r="Y677" s="38">
        <v>0.15</v>
      </c>
      <c r="Z677" s="38">
        <v>0.29166666666666669</v>
      </c>
      <c r="AA677" t="s">
        <v>117</v>
      </c>
      <c r="AC677" t="s">
        <v>121</v>
      </c>
      <c r="AO677">
        <v>7.0900000000000005E-2</v>
      </c>
      <c r="AQ677">
        <v>7.0900000000000005E-2</v>
      </c>
      <c r="AR677">
        <v>0.21279999999999999</v>
      </c>
      <c r="BI677">
        <v>0.14180000000000001</v>
      </c>
      <c r="BJ677">
        <v>7.0900000000000005E-2</v>
      </c>
      <c r="BK677">
        <f>0</f>
        <v>0</v>
      </c>
      <c r="BL677">
        <f t="shared" si="150"/>
        <v>0.56730000000000003</v>
      </c>
      <c r="BM677">
        <f t="shared" si="151"/>
        <v>0</v>
      </c>
      <c r="BN677">
        <f t="shared" si="152"/>
        <v>0</v>
      </c>
      <c r="BO677">
        <f t="shared" si="153"/>
        <v>1</v>
      </c>
      <c r="BP677" s="37">
        <f>IF($F677="","",IFERROR(INDEX(Familias!$C$5:$C$300,MATCH($F677,Familias!$A$5:$A$300,0)),""))</f>
        <v>2740</v>
      </c>
      <c r="BQ677" s="37">
        <f t="shared" si="154"/>
        <v>7635</v>
      </c>
      <c r="BR677" s="36">
        <f t="shared" si="155"/>
        <v>3.4039999999999999</v>
      </c>
      <c r="BS677" s="36">
        <f t="shared" si="156"/>
        <v>0.56730000000000003</v>
      </c>
      <c r="BT677" s="36">
        <f t="shared" si="157"/>
        <v>2.8367</v>
      </c>
      <c r="BU677" s="36">
        <f t="shared" si="158"/>
        <v>2.7865000000000002</v>
      </c>
      <c r="BV677" s="39">
        <f t="shared" si="159"/>
        <v>0.98230338068882861</v>
      </c>
      <c r="BW677" s="39">
        <f t="shared" si="160"/>
        <v>0.99541584806810735</v>
      </c>
      <c r="BX677" s="40">
        <f t="shared" si="161"/>
        <v>2.6971662683509732E-2</v>
      </c>
      <c r="BY677" s="40">
        <f t="shared" si="162"/>
        <v>5.4626152270399455E-3</v>
      </c>
      <c r="BZ677" t="str">
        <f t="shared" si="163"/>
        <v>OK</v>
      </c>
      <c r="CA677">
        <f t="shared" si="164"/>
        <v>1</v>
      </c>
    </row>
    <row r="678" spans="1:80" x14ac:dyDescent="0.25">
      <c r="A678" s="35">
        <v>46238</v>
      </c>
      <c r="B678" s="36">
        <v>12</v>
      </c>
      <c r="C678" t="s">
        <v>113</v>
      </c>
      <c r="D678" t="s">
        <v>6</v>
      </c>
      <c r="E678" t="s">
        <v>126</v>
      </c>
      <c r="F678" t="s">
        <v>149</v>
      </c>
      <c r="G678">
        <v>5500</v>
      </c>
      <c r="H678">
        <v>2140110643</v>
      </c>
      <c r="I678" t="s">
        <v>170</v>
      </c>
      <c r="J678" s="37">
        <v>22406</v>
      </c>
      <c r="K678" s="37">
        <v>10</v>
      </c>
      <c r="M678">
        <v>8313</v>
      </c>
      <c r="O678">
        <v>140</v>
      </c>
      <c r="P678">
        <v>30</v>
      </c>
      <c r="Q678">
        <v>93</v>
      </c>
      <c r="T678">
        <v>11</v>
      </c>
      <c r="V678" t="s">
        <v>120</v>
      </c>
      <c r="Y678" s="38">
        <v>0.29166666666666669</v>
      </c>
      <c r="Z678" s="38">
        <v>0.79166666666666663</v>
      </c>
      <c r="AA678" t="s">
        <v>117</v>
      </c>
      <c r="AC678" t="s">
        <v>118</v>
      </c>
      <c r="AJ678">
        <v>0.33329999999999999</v>
      </c>
      <c r="AQ678">
        <v>0.25</v>
      </c>
      <c r="AR678">
        <v>0.75</v>
      </c>
      <c r="BA678">
        <v>0.41670000000000001</v>
      </c>
      <c r="BB678">
        <v>1.1667000000000001</v>
      </c>
      <c r="BE678">
        <v>0.41670000000000001</v>
      </c>
      <c r="BI678">
        <v>0.16669999999999999</v>
      </c>
      <c r="BK678">
        <f>0</f>
        <v>0</v>
      </c>
      <c r="BL678">
        <f t="shared" si="150"/>
        <v>1.9167000000000001</v>
      </c>
      <c r="BM678">
        <f t="shared" si="151"/>
        <v>1.5834000000000001</v>
      </c>
      <c r="BN678">
        <f t="shared" si="152"/>
        <v>0</v>
      </c>
      <c r="BO678">
        <f t="shared" si="153"/>
        <v>1</v>
      </c>
      <c r="BP678" s="37">
        <f>IF($F678="","",IFERROR(INDEX(Familias!$C$5:$C$300,MATCH($F678,Familias!$A$5:$A$300,0)),""))</f>
        <v>2740</v>
      </c>
      <c r="BQ678" s="37">
        <f t="shared" si="154"/>
        <v>22416</v>
      </c>
      <c r="BR678" s="36">
        <f t="shared" si="155"/>
        <v>12</v>
      </c>
      <c r="BS678" s="36">
        <f t="shared" si="156"/>
        <v>3.5001000000000002</v>
      </c>
      <c r="BT678" s="36">
        <f t="shared" si="157"/>
        <v>8.4999000000000002</v>
      </c>
      <c r="BU678" s="36">
        <f t="shared" si="158"/>
        <v>8.1809999999999992</v>
      </c>
      <c r="BV678" s="39">
        <f t="shared" si="159"/>
        <v>0.96248191155190044</v>
      </c>
      <c r="BW678" s="39">
        <f t="shared" si="160"/>
        <v>0.99955389007851536</v>
      </c>
      <c r="BX678" s="40">
        <f t="shared" si="161"/>
        <v>2.0449897750511249E-2</v>
      </c>
      <c r="BY678" s="40">
        <f t="shared" si="162"/>
        <v>1.1187297004691447E-2</v>
      </c>
      <c r="BZ678" t="str">
        <f t="shared" si="163"/>
        <v>OK</v>
      </c>
      <c r="CA678">
        <f t="shared" si="164"/>
        <v>1</v>
      </c>
    </row>
    <row r="679" spans="1:80" x14ac:dyDescent="0.25">
      <c r="A679" s="35">
        <v>46238</v>
      </c>
      <c r="B679" s="36">
        <v>3.2374999999999998</v>
      </c>
      <c r="C679" t="s">
        <v>119</v>
      </c>
      <c r="D679" t="s">
        <v>6</v>
      </c>
      <c r="E679" t="s">
        <v>126</v>
      </c>
      <c r="F679" t="s">
        <v>149</v>
      </c>
      <c r="G679">
        <v>5500</v>
      </c>
      <c r="H679">
        <v>2140110643</v>
      </c>
      <c r="I679" t="s">
        <v>170</v>
      </c>
      <c r="J679" s="37">
        <v>7500</v>
      </c>
      <c r="K679" s="37">
        <v>15</v>
      </c>
      <c r="M679">
        <v>1557</v>
      </c>
      <c r="O679">
        <v>35</v>
      </c>
      <c r="Q679">
        <v>12</v>
      </c>
      <c r="T679">
        <v>2</v>
      </c>
      <c r="V679" t="s">
        <v>116</v>
      </c>
      <c r="Y679" s="38">
        <v>0.79166666666666663</v>
      </c>
      <c r="Z679" s="38">
        <v>0.92638888888888893</v>
      </c>
      <c r="AA679" t="s">
        <v>117</v>
      </c>
      <c r="AC679" t="s">
        <v>121</v>
      </c>
      <c r="AO679">
        <v>2.1808000000000001</v>
      </c>
      <c r="AQ679">
        <v>6.7400000000000002E-2</v>
      </c>
      <c r="AR679">
        <v>0.20230000000000001</v>
      </c>
      <c r="BI679">
        <v>0.13489999999999999</v>
      </c>
      <c r="BJ679">
        <v>0.15740000000000001</v>
      </c>
      <c r="BK679">
        <f>0</f>
        <v>0</v>
      </c>
      <c r="BL679">
        <f t="shared" si="150"/>
        <v>2.7428000000000003</v>
      </c>
      <c r="BM679">
        <f t="shared" si="151"/>
        <v>0</v>
      </c>
      <c r="BN679">
        <f t="shared" si="152"/>
        <v>0</v>
      </c>
      <c r="BO679">
        <f t="shared" si="153"/>
        <v>1</v>
      </c>
      <c r="BP679" s="37">
        <f>IF($F679="","",IFERROR(INDEX(Familias!$C$5:$C$300,MATCH($F679,Familias!$A$5:$A$300,0)),""))</f>
        <v>2740</v>
      </c>
      <c r="BQ679" s="37">
        <f t="shared" si="154"/>
        <v>7515</v>
      </c>
      <c r="BR679" s="36">
        <f t="shared" si="155"/>
        <v>3.2374999999999998</v>
      </c>
      <c r="BS679" s="36">
        <f t="shared" si="156"/>
        <v>2.7427999999999999</v>
      </c>
      <c r="BT679" s="36">
        <f t="shared" si="157"/>
        <v>0.49469999999999997</v>
      </c>
      <c r="BU679" s="36">
        <f t="shared" si="158"/>
        <v>2.7427000000000001</v>
      </c>
      <c r="BV679" s="39">
        <f t="shared" si="159"/>
        <v>5.5441681827370131</v>
      </c>
      <c r="BW679" s="39">
        <f t="shared" si="160"/>
        <v>0.99800399201596801</v>
      </c>
      <c r="BX679" s="40">
        <f t="shared" si="161"/>
        <v>2.2479126525369299E-2</v>
      </c>
      <c r="BY679" s="40">
        <f t="shared" si="162"/>
        <v>7.7071290944123313E-3</v>
      </c>
      <c r="BZ679" t="str">
        <f t="shared" si="163"/>
        <v>Revisar rendimiento</v>
      </c>
      <c r="CA679">
        <f t="shared" si="164"/>
        <v>1</v>
      </c>
    </row>
    <row r="680" spans="1:80" x14ac:dyDescent="0.25">
      <c r="A680" s="35">
        <v>46238</v>
      </c>
      <c r="B680" s="36">
        <v>8.7624999999999993</v>
      </c>
      <c r="C680" t="s">
        <v>119</v>
      </c>
      <c r="D680" t="s">
        <v>6</v>
      </c>
      <c r="E680" t="s">
        <v>126</v>
      </c>
      <c r="F680" t="s">
        <v>149</v>
      </c>
      <c r="G680">
        <v>5503</v>
      </c>
      <c r="H680">
        <v>2140110620</v>
      </c>
      <c r="I680" t="s">
        <v>152</v>
      </c>
      <c r="J680" s="37">
        <v>20325</v>
      </c>
      <c r="K680" s="37">
        <v>15</v>
      </c>
      <c r="M680">
        <v>6880</v>
      </c>
      <c r="O680">
        <v>75</v>
      </c>
      <c r="P680">
        <v>27</v>
      </c>
      <c r="Q680">
        <v>45</v>
      </c>
      <c r="T680">
        <v>8</v>
      </c>
      <c r="V680" t="s">
        <v>116</v>
      </c>
      <c r="Y680" s="38">
        <v>0.92638888888888893</v>
      </c>
      <c r="Z680" s="38">
        <v>0.29166666666666669</v>
      </c>
      <c r="AA680" t="s">
        <v>117</v>
      </c>
      <c r="AC680" t="s">
        <v>121</v>
      </c>
      <c r="AO680">
        <v>5.9024999999999999</v>
      </c>
      <c r="AQ680">
        <v>0.18260000000000001</v>
      </c>
      <c r="AR680">
        <v>0.54769999999999996</v>
      </c>
      <c r="BI680">
        <v>0.36509999999999998</v>
      </c>
      <c r="BJ680">
        <v>0.42599999999999999</v>
      </c>
      <c r="BK680">
        <f>0</f>
        <v>0</v>
      </c>
      <c r="BL680">
        <f t="shared" si="150"/>
        <v>7.4238999999999997</v>
      </c>
      <c r="BM680">
        <f t="shared" si="151"/>
        <v>0</v>
      </c>
      <c r="BN680">
        <f t="shared" si="152"/>
        <v>0</v>
      </c>
      <c r="BO680">
        <f t="shared" si="153"/>
        <v>1</v>
      </c>
      <c r="BP680" s="37">
        <f>IF($F680="","",IFERROR(INDEX(Familias!$C$5:$C$300,MATCH($F680,Familias!$A$5:$A$300,0)),""))</f>
        <v>2740</v>
      </c>
      <c r="BQ680" s="37">
        <f t="shared" si="154"/>
        <v>20340</v>
      </c>
      <c r="BR680" s="36">
        <f t="shared" si="155"/>
        <v>8.7624999999999993</v>
      </c>
      <c r="BS680" s="36">
        <f t="shared" si="156"/>
        <v>7.4238999999999997</v>
      </c>
      <c r="BT680" s="36">
        <f t="shared" si="157"/>
        <v>1.3386</v>
      </c>
      <c r="BU680" s="36">
        <f t="shared" si="158"/>
        <v>7.4234</v>
      </c>
      <c r="BV680" s="39">
        <f t="shared" si="159"/>
        <v>5.5456447034214849</v>
      </c>
      <c r="BW680" s="39">
        <f t="shared" si="160"/>
        <v>0.99926253687315636</v>
      </c>
      <c r="BX680" s="40">
        <f t="shared" si="161"/>
        <v>1.4825581395348838E-2</v>
      </c>
      <c r="BY680" s="40">
        <f t="shared" si="162"/>
        <v>6.540697674418605E-3</v>
      </c>
      <c r="BZ680" t="str">
        <f t="shared" si="163"/>
        <v>Revisar rendimiento</v>
      </c>
      <c r="CA680">
        <f t="shared" si="164"/>
        <v>1</v>
      </c>
    </row>
    <row r="681" spans="1:80" x14ac:dyDescent="0.25">
      <c r="A681" s="35">
        <v>46239</v>
      </c>
      <c r="B681" s="36">
        <v>12</v>
      </c>
      <c r="C681" t="s">
        <v>113</v>
      </c>
      <c r="D681" t="s">
        <v>6</v>
      </c>
      <c r="E681" t="s">
        <v>126</v>
      </c>
      <c r="F681" t="s">
        <v>149</v>
      </c>
      <c r="G681">
        <v>5503</v>
      </c>
      <c r="H681">
        <v>2140110620</v>
      </c>
      <c r="I681" t="s">
        <v>152</v>
      </c>
      <c r="J681" s="37">
        <v>26017</v>
      </c>
      <c r="K681" s="37">
        <v>5</v>
      </c>
      <c r="M681">
        <v>9503</v>
      </c>
      <c r="O681">
        <v>105</v>
      </c>
      <c r="P681">
        <v>36</v>
      </c>
      <c r="Q681">
        <v>13</v>
      </c>
      <c r="T681">
        <v>12</v>
      </c>
      <c r="V681" t="s">
        <v>120</v>
      </c>
      <c r="Y681" s="38">
        <v>0.29166666666666669</v>
      </c>
      <c r="Z681" s="38">
        <v>0.79166666666666663</v>
      </c>
      <c r="AA681" t="s">
        <v>117</v>
      </c>
      <c r="AC681" t="s">
        <v>118</v>
      </c>
      <c r="AK681">
        <v>0.5</v>
      </c>
      <c r="AQ681">
        <v>0.25</v>
      </c>
      <c r="AR681">
        <v>0.75</v>
      </c>
      <c r="BE681">
        <v>1</v>
      </c>
      <c r="BJ681">
        <v>3.3332999999999999</v>
      </c>
      <c r="BK681">
        <f>0</f>
        <v>0</v>
      </c>
      <c r="BL681">
        <f t="shared" si="150"/>
        <v>5.8332999999999995</v>
      </c>
      <c r="BM681">
        <f t="shared" si="151"/>
        <v>0</v>
      </c>
      <c r="BN681">
        <f t="shared" si="152"/>
        <v>0</v>
      </c>
      <c r="BO681">
        <f t="shared" si="153"/>
        <v>1</v>
      </c>
      <c r="BP681" s="37">
        <f>IF($F681="","",IFERROR(INDEX(Familias!$C$5:$C$300,MATCH($F681,Familias!$A$5:$A$300,0)),""))</f>
        <v>2740</v>
      </c>
      <c r="BQ681" s="37">
        <f t="shared" si="154"/>
        <v>26022</v>
      </c>
      <c r="BR681" s="36">
        <f t="shared" si="155"/>
        <v>12</v>
      </c>
      <c r="BS681" s="36">
        <f t="shared" si="156"/>
        <v>5.8333000000000004</v>
      </c>
      <c r="BT681" s="36">
        <f t="shared" si="157"/>
        <v>6.1666999999999996</v>
      </c>
      <c r="BU681" s="36">
        <f t="shared" si="158"/>
        <v>9.4970999999999997</v>
      </c>
      <c r="BV681" s="39">
        <f t="shared" si="159"/>
        <v>1.5400619456111049</v>
      </c>
      <c r="BW681" s="39">
        <f t="shared" si="160"/>
        <v>0.9998078548920144</v>
      </c>
      <c r="BX681" s="40">
        <f t="shared" si="161"/>
        <v>1.4837419762180365E-2</v>
      </c>
      <c r="BY681" s="40">
        <f t="shared" si="162"/>
        <v>1.3679890560875513E-3</v>
      </c>
      <c r="BZ681" t="str">
        <f t="shared" si="163"/>
        <v>Revisar rendimiento</v>
      </c>
      <c r="CA681">
        <f t="shared" si="164"/>
        <v>1</v>
      </c>
    </row>
    <row r="682" spans="1:80" x14ac:dyDescent="0.25">
      <c r="A682" s="35">
        <v>46239</v>
      </c>
      <c r="B682" s="36">
        <v>1.3648</v>
      </c>
      <c r="C682" t="s">
        <v>119</v>
      </c>
      <c r="D682" t="s">
        <v>6</v>
      </c>
      <c r="E682" t="s">
        <v>126</v>
      </c>
      <c r="F682" t="s">
        <v>149</v>
      </c>
      <c r="G682">
        <v>5503</v>
      </c>
      <c r="H682">
        <v>2140110620</v>
      </c>
      <c r="I682" t="s">
        <v>152</v>
      </c>
      <c r="J682" s="37">
        <v>3050</v>
      </c>
      <c r="K682" s="37"/>
      <c r="M682">
        <v>432</v>
      </c>
      <c r="O682">
        <v>75</v>
      </c>
      <c r="V682" t="s">
        <v>116</v>
      </c>
      <c r="Y682" s="38">
        <v>0.79166666666666663</v>
      </c>
      <c r="Z682" s="38">
        <v>0.84861111111111109</v>
      </c>
      <c r="AA682" t="s">
        <v>117</v>
      </c>
      <c r="AC682" t="s">
        <v>121</v>
      </c>
      <c r="AQ682">
        <v>0.1137</v>
      </c>
      <c r="BI682">
        <v>5.6899999999999999E-2</v>
      </c>
      <c r="BJ682">
        <v>4.7399999999999998E-2</v>
      </c>
      <c r="BK682">
        <f>0</f>
        <v>0</v>
      </c>
      <c r="BL682">
        <f t="shared" si="150"/>
        <v>0.218</v>
      </c>
      <c r="BM682">
        <f t="shared" si="151"/>
        <v>0</v>
      </c>
      <c r="BN682">
        <f t="shared" si="152"/>
        <v>0</v>
      </c>
      <c r="BO682">
        <f t="shared" si="153"/>
        <v>1</v>
      </c>
      <c r="BP682" s="37">
        <f>IF($F682="","",IFERROR(INDEX(Familias!$C$5:$C$300,MATCH($F682,Familias!$A$5:$A$300,0)),""))</f>
        <v>2740</v>
      </c>
      <c r="BQ682" s="37">
        <f t="shared" si="154"/>
        <v>3050</v>
      </c>
      <c r="BR682" s="36">
        <f t="shared" si="155"/>
        <v>1.3648</v>
      </c>
      <c r="BS682" s="36">
        <f t="shared" si="156"/>
        <v>0.218</v>
      </c>
      <c r="BT682" s="36">
        <f t="shared" si="157"/>
        <v>1.1468</v>
      </c>
      <c r="BU682" s="36">
        <f t="shared" si="158"/>
        <v>1.1131</v>
      </c>
      <c r="BV682" s="39">
        <f t="shared" si="159"/>
        <v>0.97061388210673172</v>
      </c>
      <c r="BW682" s="39">
        <f t="shared" si="160"/>
        <v>1</v>
      </c>
      <c r="BX682" s="40">
        <f t="shared" si="161"/>
        <v>0.1736111111111111</v>
      </c>
      <c r="BY682" s="40">
        <f t="shared" si="162"/>
        <v>0</v>
      </c>
      <c r="BZ682" t="str">
        <f t="shared" si="163"/>
        <v>OK</v>
      </c>
      <c r="CA682">
        <f t="shared" si="164"/>
        <v>1</v>
      </c>
    </row>
    <row r="683" spans="1:80" x14ac:dyDescent="0.25">
      <c r="A683" s="35">
        <v>46239</v>
      </c>
      <c r="B683" s="36">
        <v>10.635199999999999</v>
      </c>
      <c r="C683" t="s">
        <v>119</v>
      </c>
      <c r="D683" t="s">
        <v>6</v>
      </c>
      <c r="E683" t="s">
        <v>126</v>
      </c>
      <c r="F683" t="s">
        <v>149</v>
      </c>
      <c r="G683">
        <v>5498</v>
      </c>
      <c r="H683">
        <v>2140110622</v>
      </c>
      <c r="I683" t="s">
        <v>153</v>
      </c>
      <c r="J683" s="37">
        <v>23757</v>
      </c>
      <c r="K683" s="37">
        <v>10</v>
      </c>
      <c r="M683">
        <v>8231</v>
      </c>
      <c r="O683">
        <v>8</v>
      </c>
      <c r="Q683">
        <v>55</v>
      </c>
      <c r="T683">
        <v>13</v>
      </c>
      <c r="V683" t="s">
        <v>116</v>
      </c>
      <c r="Y683" s="38">
        <v>0.84861111111111109</v>
      </c>
      <c r="Z683" s="38">
        <v>0.29166666666666669</v>
      </c>
      <c r="AA683" t="s">
        <v>117</v>
      </c>
      <c r="AC683" t="s">
        <v>121</v>
      </c>
      <c r="AQ683">
        <v>0.88629999999999998</v>
      </c>
      <c r="BI683">
        <v>0.44309999999999999</v>
      </c>
      <c r="BJ683">
        <v>0.36930000000000002</v>
      </c>
      <c r="BK683">
        <f>0</f>
        <v>0</v>
      </c>
      <c r="BL683">
        <f t="shared" si="150"/>
        <v>1.6986999999999999</v>
      </c>
      <c r="BM683">
        <f t="shared" si="151"/>
        <v>0</v>
      </c>
      <c r="BN683">
        <f t="shared" si="152"/>
        <v>0</v>
      </c>
      <c r="BO683">
        <f t="shared" si="153"/>
        <v>1</v>
      </c>
      <c r="BP683" s="37">
        <f>IF($F683="","",IFERROR(INDEX(Familias!$C$5:$C$300,MATCH($F683,Familias!$A$5:$A$300,0)),""))</f>
        <v>2740</v>
      </c>
      <c r="BQ683" s="37">
        <f t="shared" si="154"/>
        <v>23767</v>
      </c>
      <c r="BR683" s="36">
        <f t="shared" si="155"/>
        <v>10.635199999999999</v>
      </c>
      <c r="BS683" s="36">
        <f t="shared" si="156"/>
        <v>1.6987000000000001</v>
      </c>
      <c r="BT683" s="36">
        <f t="shared" si="157"/>
        <v>8.9365000000000006</v>
      </c>
      <c r="BU683" s="36">
        <f t="shared" si="158"/>
        <v>8.6740999999999993</v>
      </c>
      <c r="BV683" s="39">
        <f t="shared" si="159"/>
        <v>0.97063727410059852</v>
      </c>
      <c r="BW683" s="39">
        <f t="shared" si="160"/>
        <v>0.99957924853788871</v>
      </c>
      <c r="BX683" s="40">
        <f t="shared" si="161"/>
        <v>9.7193536629814118E-4</v>
      </c>
      <c r="BY683" s="40">
        <f t="shared" si="162"/>
        <v>6.6820556432997209E-3</v>
      </c>
      <c r="BZ683" t="str">
        <f t="shared" si="163"/>
        <v>OK</v>
      </c>
      <c r="CA683">
        <f t="shared" si="164"/>
        <v>1</v>
      </c>
    </row>
    <row r="684" spans="1:80" x14ac:dyDescent="0.25">
      <c r="A684" s="35">
        <v>46241</v>
      </c>
      <c r="B684" s="36">
        <v>12</v>
      </c>
      <c r="C684" t="s">
        <v>113</v>
      </c>
      <c r="D684" t="s">
        <v>6</v>
      </c>
      <c r="J684" s="37">
        <v>0</v>
      </c>
      <c r="K684" s="37"/>
      <c r="V684" t="s">
        <v>120</v>
      </c>
      <c r="Y684" s="38">
        <v>0.29166666666666669</v>
      </c>
      <c r="Z684" s="38">
        <v>0.79166666666666663</v>
      </c>
      <c r="AA684" t="s">
        <v>117</v>
      </c>
      <c r="AC684" t="s">
        <v>118</v>
      </c>
      <c r="AD684">
        <v>0.75</v>
      </c>
      <c r="BK684">
        <f>0</f>
        <v>0</v>
      </c>
      <c r="BL684">
        <f t="shared" si="150"/>
        <v>0.75</v>
      </c>
      <c r="BM684">
        <f t="shared" si="151"/>
        <v>0</v>
      </c>
      <c r="BN684">
        <f t="shared" si="152"/>
        <v>0</v>
      </c>
      <c r="BO684">
        <f t="shared" si="153"/>
        <v>1</v>
      </c>
      <c r="BP684" s="37" t="str">
        <f>IF($F684="","",IFERROR(INDEX(Familias!$C$5:$C$300,MATCH($F684,Familias!$A$5:$A$300,0)),""))</f>
        <v/>
      </c>
      <c r="BQ684" s="37">
        <f t="shared" si="154"/>
        <v>0</v>
      </c>
      <c r="BR684" s="36">
        <f t="shared" si="155"/>
        <v>12</v>
      </c>
      <c r="BS684" s="36">
        <f t="shared" si="156"/>
        <v>0.75</v>
      </c>
      <c r="BT684" s="36">
        <f t="shared" si="157"/>
        <v>11.25</v>
      </c>
      <c r="BU684" s="36" t="str">
        <f t="shared" si="158"/>
        <v/>
      </c>
      <c r="BV684" s="39" t="str">
        <f t="shared" si="159"/>
        <v/>
      </c>
      <c r="BW684" s="39" t="str">
        <f t="shared" si="160"/>
        <v/>
      </c>
      <c r="BX684" s="40" t="str">
        <f t="shared" si="161"/>
        <v/>
      </c>
      <c r="BY684" s="40" t="str">
        <f t="shared" si="162"/>
        <v/>
      </c>
      <c r="BZ684" t="str">
        <f t="shared" si="163"/>
        <v>Sin familia</v>
      </c>
      <c r="CA684">
        <f t="shared" si="164"/>
        <v>0</v>
      </c>
    </row>
    <row r="685" spans="1:80" x14ac:dyDescent="0.25">
      <c r="A685" s="35">
        <v>46241</v>
      </c>
      <c r="B685" s="36">
        <v>0.1988</v>
      </c>
      <c r="C685" t="s">
        <v>119</v>
      </c>
      <c r="D685" t="s">
        <v>6</v>
      </c>
      <c r="E685" t="s">
        <v>126</v>
      </c>
      <c r="F685" t="s">
        <v>149</v>
      </c>
      <c r="G685">
        <v>5498</v>
      </c>
      <c r="H685">
        <v>2140110622</v>
      </c>
      <c r="I685" t="s">
        <v>153</v>
      </c>
      <c r="J685" s="37">
        <v>400</v>
      </c>
      <c r="K685" s="37"/>
      <c r="M685">
        <v>163</v>
      </c>
      <c r="O685">
        <v>68</v>
      </c>
      <c r="R685">
        <v>29</v>
      </c>
      <c r="T685">
        <v>0</v>
      </c>
      <c r="V685" t="s">
        <v>116</v>
      </c>
      <c r="Y685" s="38">
        <v>0.79166666666666663</v>
      </c>
      <c r="Z685" s="38">
        <v>0.8</v>
      </c>
      <c r="AA685" t="s">
        <v>117</v>
      </c>
      <c r="AC685" t="s">
        <v>136</v>
      </c>
      <c r="AE685">
        <v>3.04E-2</v>
      </c>
      <c r="AF685">
        <v>6.8999999999999999E-3</v>
      </c>
      <c r="AJ685">
        <v>4.1000000000000003E-3</v>
      </c>
      <c r="AQ685">
        <v>4.1000000000000003E-3</v>
      </c>
      <c r="BK685">
        <f>0</f>
        <v>0</v>
      </c>
      <c r="BL685">
        <f t="shared" si="150"/>
        <v>4.5499999999999999E-2</v>
      </c>
      <c r="BM685">
        <f t="shared" si="151"/>
        <v>0</v>
      </c>
      <c r="BN685">
        <f t="shared" si="152"/>
        <v>0</v>
      </c>
      <c r="BO685">
        <f t="shared" si="153"/>
        <v>1</v>
      </c>
      <c r="BP685" s="37">
        <f>IF($F685="","",IFERROR(INDEX(Familias!$C$5:$C$300,MATCH($F685,Familias!$A$5:$A$300,0)),""))</f>
        <v>2740</v>
      </c>
      <c r="BQ685" s="37">
        <f t="shared" si="154"/>
        <v>400</v>
      </c>
      <c r="BR685" s="36">
        <f t="shared" si="155"/>
        <v>0.1988</v>
      </c>
      <c r="BS685" s="36">
        <f t="shared" si="156"/>
        <v>4.5499999999999999E-2</v>
      </c>
      <c r="BT685" s="36">
        <f t="shared" si="157"/>
        <v>0.15329999999999999</v>
      </c>
      <c r="BU685" s="36">
        <f t="shared" si="158"/>
        <v>0.14599999999999999</v>
      </c>
      <c r="BV685" s="39">
        <f t="shared" si="159"/>
        <v>0.95238095238095233</v>
      </c>
      <c r="BW685" s="39">
        <f t="shared" si="160"/>
        <v>1</v>
      </c>
      <c r="BX685" s="40">
        <f t="shared" si="161"/>
        <v>0.59509202453987731</v>
      </c>
      <c r="BY685" s="40">
        <f t="shared" si="162"/>
        <v>0</v>
      </c>
      <c r="BZ685" t="str">
        <f t="shared" si="163"/>
        <v>OK</v>
      </c>
      <c r="CA685">
        <f t="shared" si="164"/>
        <v>1</v>
      </c>
    </row>
    <row r="686" spans="1:80" x14ac:dyDescent="0.25">
      <c r="A686" s="35">
        <v>46241</v>
      </c>
      <c r="B686" s="36">
        <v>3.6198999999999999</v>
      </c>
      <c r="C686" t="s">
        <v>119</v>
      </c>
      <c r="D686" t="s">
        <v>6</v>
      </c>
      <c r="E686" t="s">
        <v>126</v>
      </c>
      <c r="F686" t="s">
        <v>149</v>
      </c>
      <c r="G686">
        <v>5650</v>
      </c>
      <c r="H686">
        <v>2140110652</v>
      </c>
      <c r="I686" t="s">
        <v>174</v>
      </c>
      <c r="J686" s="37">
        <v>7275</v>
      </c>
      <c r="K686" s="37">
        <v>8</v>
      </c>
      <c r="M686">
        <v>2568</v>
      </c>
      <c r="O686">
        <v>45</v>
      </c>
      <c r="P686">
        <v>6</v>
      </c>
      <c r="Q686">
        <v>82</v>
      </c>
      <c r="R686">
        <v>25</v>
      </c>
      <c r="T686">
        <v>3</v>
      </c>
      <c r="V686" t="s">
        <v>116</v>
      </c>
      <c r="Y686" s="38">
        <v>0.8</v>
      </c>
      <c r="Z686" s="38">
        <v>0.9506944444444444</v>
      </c>
      <c r="AA686" t="s">
        <v>117</v>
      </c>
      <c r="AC686" t="s">
        <v>136</v>
      </c>
      <c r="AE686">
        <v>0.55300000000000005</v>
      </c>
      <c r="AF686">
        <v>0.12570000000000001</v>
      </c>
      <c r="AJ686">
        <v>7.5399999999999995E-2</v>
      </c>
      <c r="AQ686">
        <v>7.5399999999999995E-2</v>
      </c>
      <c r="BK686">
        <f>0</f>
        <v>0</v>
      </c>
      <c r="BL686">
        <f t="shared" si="150"/>
        <v>0.82950000000000013</v>
      </c>
      <c r="BM686">
        <f t="shared" si="151"/>
        <v>0</v>
      </c>
      <c r="BN686">
        <f t="shared" si="152"/>
        <v>0</v>
      </c>
      <c r="BO686">
        <f t="shared" si="153"/>
        <v>1</v>
      </c>
      <c r="BP686" s="37">
        <f>IF($F686="","",IFERROR(INDEX(Familias!$C$5:$C$300,MATCH($F686,Familias!$A$5:$A$300,0)),""))</f>
        <v>2740</v>
      </c>
      <c r="BQ686" s="37">
        <f t="shared" si="154"/>
        <v>7283</v>
      </c>
      <c r="BR686" s="36">
        <f t="shared" si="155"/>
        <v>3.6198999999999999</v>
      </c>
      <c r="BS686" s="36">
        <f t="shared" si="156"/>
        <v>0.82950000000000002</v>
      </c>
      <c r="BT686" s="36">
        <f t="shared" si="157"/>
        <v>2.7904</v>
      </c>
      <c r="BU686" s="36">
        <f t="shared" si="158"/>
        <v>2.6579999999999999</v>
      </c>
      <c r="BV686" s="39">
        <f t="shared" si="159"/>
        <v>0.95255160550458717</v>
      </c>
      <c r="BW686" s="39">
        <f t="shared" si="160"/>
        <v>0.99890155155842375</v>
      </c>
      <c r="BX686" s="40">
        <f t="shared" si="161"/>
        <v>2.9595015576323987E-2</v>
      </c>
      <c r="BY686" s="40">
        <f t="shared" si="162"/>
        <v>3.1931464174454825E-2</v>
      </c>
      <c r="BZ686" t="str">
        <f t="shared" si="163"/>
        <v>OK</v>
      </c>
      <c r="CA686">
        <f t="shared" si="164"/>
        <v>1</v>
      </c>
    </row>
    <row r="687" spans="1:80" x14ac:dyDescent="0.25">
      <c r="A687" s="35">
        <v>46241</v>
      </c>
      <c r="B687" s="36">
        <v>8.1813000000000002</v>
      </c>
      <c r="C687" t="s">
        <v>119</v>
      </c>
      <c r="D687" t="s">
        <v>6</v>
      </c>
      <c r="E687" t="s">
        <v>126</v>
      </c>
      <c r="F687" t="s">
        <v>149</v>
      </c>
      <c r="G687">
        <v>5499</v>
      </c>
      <c r="H687">
        <v>2140110617</v>
      </c>
      <c r="I687" t="s">
        <v>169</v>
      </c>
      <c r="J687" s="37">
        <v>16450</v>
      </c>
      <c r="K687" s="37">
        <v>10</v>
      </c>
      <c r="M687">
        <v>5886</v>
      </c>
      <c r="O687">
        <v>3</v>
      </c>
      <c r="P687">
        <v>30</v>
      </c>
      <c r="Q687">
        <v>85</v>
      </c>
      <c r="T687">
        <v>7</v>
      </c>
      <c r="V687" t="s">
        <v>116</v>
      </c>
      <c r="Y687" s="38">
        <v>0.9506944444444444</v>
      </c>
      <c r="Z687" s="38">
        <v>0.29166666666666669</v>
      </c>
      <c r="AA687" t="s">
        <v>117</v>
      </c>
      <c r="AC687" t="s">
        <v>136</v>
      </c>
      <c r="AE687">
        <v>1.2499</v>
      </c>
      <c r="AF687">
        <v>0.28410000000000002</v>
      </c>
      <c r="AJ687">
        <v>0.1704</v>
      </c>
      <c r="AQ687">
        <v>0.1704</v>
      </c>
      <c r="BK687">
        <f>0</f>
        <v>0</v>
      </c>
      <c r="BL687">
        <f t="shared" si="150"/>
        <v>1.8748</v>
      </c>
      <c r="BM687">
        <f t="shared" si="151"/>
        <v>0</v>
      </c>
      <c r="BN687">
        <f t="shared" si="152"/>
        <v>0</v>
      </c>
      <c r="BO687">
        <f t="shared" si="153"/>
        <v>1</v>
      </c>
      <c r="BP687" s="37">
        <f>IF($F687="","",IFERROR(INDEX(Familias!$C$5:$C$300,MATCH($F687,Familias!$A$5:$A$300,0)),""))</f>
        <v>2740</v>
      </c>
      <c r="BQ687" s="37">
        <f t="shared" si="154"/>
        <v>16460</v>
      </c>
      <c r="BR687" s="36">
        <f t="shared" si="155"/>
        <v>8.1813000000000002</v>
      </c>
      <c r="BS687" s="36">
        <f t="shared" si="156"/>
        <v>1.8748</v>
      </c>
      <c r="BT687" s="36">
        <f t="shared" si="157"/>
        <v>6.3064999999999998</v>
      </c>
      <c r="BU687" s="36">
        <f t="shared" si="158"/>
        <v>6.0072999999999999</v>
      </c>
      <c r="BV687" s="39">
        <f t="shared" si="159"/>
        <v>0.95255688575279474</v>
      </c>
      <c r="BW687" s="39">
        <f t="shared" si="160"/>
        <v>0.99939246658566216</v>
      </c>
      <c r="BX687" s="40">
        <f t="shared" si="161"/>
        <v>5.6065239551478085E-3</v>
      </c>
      <c r="BY687" s="40">
        <f t="shared" si="162"/>
        <v>1.4441046551138294E-2</v>
      </c>
      <c r="BZ687" t="str">
        <f t="shared" si="163"/>
        <v>OK</v>
      </c>
      <c r="CA687">
        <f t="shared" si="164"/>
        <v>1</v>
      </c>
    </row>
    <row r="688" spans="1:80" x14ac:dyDescent="0.25">
      <c r="A688" s="35">
        <v>46242</v>
      </c>
      <c r="B688" s="36">
        <v>12</v>
      </c>
      <c r="C688" t="s">
        <v>113</v>
      </c>
      <c r="D688" t="s">
        <v>6</v>
      </c>
      <c r="E688" t="s">
        <v>126</v>
      </c>
      <c r="F688" t="s">
        <v>149</v>
      </c>
      <c r="G688">
        <v>5499</v>
      </c>
      <c r="H688">
        <v>2140110617</v>
      </c>
      <c r="I688" t="s">
        <v>169</v>
      </c>
      <c r="J688" s="37">
        <v>26125</v>
      </c>
      <c r="K688" s="37">
        <v>10</v>
      </c>
      <c r="M688">
        <v>8857</v>
      </c>
      <c r="O688">
        <v>85</v>
      </c>
      <c r="P688">
        <v>36</v>
      </c>
      <c r="T688">
        <v>12</v>
      </c>
      <c r="V688" t="s">
        <v>120</v>
      </c>
      <c r="Y688" s="38">
        <v>0.29166666666666669</v>
      </c>
      <c r="Z688" s="38">
        <v>0.79166666666666663</v>
      </c>
      <c r="AA688" t="s">
        <v>117</v>
      </c>
      <c r="AC688" t="s">
        <v>118</v>
      </c>
      <c r="AW688">
        <v>1</v>
      </c>
      <c r="BI688">
        <v>0.5</v>
      </c>
      <c r="BK688">
        <f>0</f>
        <v>0</v>
      </c>
      <c r="BL688">
        <f t="shared" si="150"/>
        <v>1.5</v>
      </c>
      <c r="BM688">
        <f t="shared" si="151"/>
        <v>0</v>
      </c>
      <c r="BN688">
        <f t="shared" si="152"/>
        <v>0</v>
      </c>
      <c r="BO688">
        <f t="shared" si="153"/>
        <v>1</v>
      </c>
      <c r="BP688" s="37">
        <f>IF($F688="","",IFERROR(INDEX(Familias!$C$5:$C$300,MATCH($F688,Familias!$A$5:$A$300,0)),""))</f>
        <v>2740</v>
      </c>
      <c r="BQ688" s="37">
        <f t="shared" si="154"/>
        <v>26135</v>
      </c>
      <c r="BR688" s="36">
        <f t="shared" si="155"/>
        <v>12</v>
      </c>
      <c r="BS688" s="36">
        <f t="shared" si="156"/>
        <v>1.5</v>
      </c>
      <c r="BT688" s="36">
        <f t="shared" si="157"/>
        <v>10.5</v>
      </c>
      <c r="BU688" s="36">
        <f t="shared" si="158"/>
        <v>9.5382999999999996</v>
      </c>
      <c r="BV688" s="39">
        <f t="shared" si="159"/>
        <v>0.90840952380952378</v>
      </c>
      <c r="BW688" s="39">
        <f t="shared" si="160"/>
        <v>0.9996173713411135</v>
      </c>
      <c r="BX688" s="40">
        <f t="shared" si="161"/>
        <v>1.3661510669526929E-2</v>
      </c>
      <c r="BY688" s="40">
        <f t="shared" si="162"/>
        <v>0</v>
      </c>
      <c r="BZ688" t="str">
        <f t="shared" si="163"/>
        <v>OK</v>
      </c>
      <c r="CA688">
        <f t="shared" si="164"/>
        <v>1</v>
      </c>
    </row>
    <row r="689" spans="1:80" x14ac:dyDescent="0.25">
      <c r="A689" s="35">
        <v>46242</v>
      </c>
      <c r="B689" s="36">
        <v>12</v>
      </c>
      <c r="C689" t="s">
        <v>119</v>
      </c>
      <c r="D689" t="s">
        <v>6</v>
      </c>
      <c r="E689" t="s">
        <v>126</v>
      </c>
      <c r="F689" t="s">
        <v>149</v>
      </c>
      <c r="G689">
        <v>5501</v>
      </c>
      <c r="H689">
        <v>2140110644</v>
      </c>
      <c r="I689" t="s">
        <v>154</v>
      </c>
      <c r="J689" s="37">
        <v>22850</v>
      </c>
      <c r="K689" s="37">
        <v>5</v>
      </c>
      <c r="M689">
        <v>7804</v>
      </c>
      <c r="O689">
        <v>65</v>
      </c>
      <c r="P689">
        <v>39</v>
      </c>
      <c r="Q689">
        <v>36</v>
      </c>
      <c r="T689">
        <v>10</v>
      </c>
      <c r="V689" t="s">
        <v>116</v>
      </c>
      <c r="Y689" s="38">
        <v>0.79166666666666663</v>
      </c>
      <c r="Z689" s="38">
        <v>0.29166666666666669</v>
      </c>
      <c r="AA689" t="s">
        <v>117</v>
      </c>
      <c r="AC689" t="s">
        <v>118</v>
      </c>
      <c r="BC689">
        <v>2</v>
      </c>
      <c r="BI689">
        <v>0.5</v>
      </c>
      <c r="BK689">
        <f>0</f>
        <v>0</v>
      </c>
      <c r="BL689">
        <f t="shared" si="150"/>
        <v>2.5</v>
      </c>
      <c r="BM689">
        <f t="shared" si="151"/>
        <v>0</v>
      </c>
      <c r="BN689">
        <f t="shared" si="152"/>
        <v>0</v>
      </c>
      <c r="BO689">
        <f t="shared" si="153"/>
        <v>1</v>
      </c>
      <c r="BP689" s="37">
        <f>IF($F689="","",IFERROR(INDEX(Familias!$C$5:$C$300,MATCH($F689,Familias!$A$5:$A$300,0)),""))</f>
        <v>2740</v>
      </c>
      <c r="BQ689" s="37">
        <f t="shared" si="154"/>
        <v>22855</v>
      </c>
      <c r="BR689" s="36">
        <f t="shared" si="155"/>
        <v>12</v>
      </c>
      <c r="BS689" s="36">
        <f t="shared" si="156"/>
        <v>2.5</v>
      </c>
      <c r="BT689" s="36">
        <f t="shared" si="157"/>
        <v>9.5</v>
      </c>
      <c r="BU689" s="36">
        <f t="shared" si="158"/>
        <v>8.3412000000000006</v>
      </c>
      <c r="BV689" s="39">
        <f t="shared" si="159"/>
        <v>0.87802105263157904</v>
      </c>
      <c r="BW689" s="39">
        <f t="shared" si="160"/>
        <v>0.99978122949026471</v>
      </c>
      <c r="BX689" s="40">
        <f t="shared" si="161"/>
        <v>1.3326499231163505E-2</v>
      </c>
      <c r="BY689" s="40">
        <f t="shared" si="162"/>
        <v>4.6130189646335215E-3</v>
      </c>
      <c r="BZ689" t="str">
        <f t="shared" si="163"/>
        <v>OK</v>
      </c>
      <c r="CA689">
        <f t="shared" si="164"/>
        <v>1</v>
      </c>
    </row>
    <row r="690" spans="1:80" x14ac:dyDescent="0.25">
      <c r="A690" s="35">
        <v>46244</v>
      </c>
      <c r="B690" s="36">
        <v>12</v>
      </c>
      <c r="C690" t="s">
        <v>113</v>
      </c>
      <c r="D690" t="s">
        <v>6</v>
      </c>
      <c r="E690" t="s">
        <v>126</v>
      </c>
      <c r="F690" t="s">
        <v>149</v>
      </c>
      <c r="G690">
        <v>5501</v>
      </c>
      <c r="H690">
        <v>2140110644</v>
      </c>
      <c r="I690" t="s">
        <v>154</v>
      </c>
      <c r="J690" s="37">
        <v>23825</v>
      </c>
      <c r="K690" s="37">
        <v>10</v>
      </c>
      <c r="M690">
        <v>8160</v>
      </c>
      <c r="O690">
        <v>80</v>
      </c>
      <c r="P690">
        <v>47</v>
      </c>
      <c r="Q690">
        <v>30</v>
      </c>
      <c r="T690">
        <v>10</v>
      </c>
      <c r="V690" t="s">
        <v>116</v>
      </c>
      <c r="Y690" s="38">
        <v>0.29166666666666669</v>
      </c>
      <c r="Z690" s="38">
        <v>0.79166666666666663</v>
      </c>
      <c r="AA690" t="s">
        <v>117</v>
      </c>
      <c r="AC690" t="s">
        <v>118</v>
      </c>
      <c r="AD690">
        <v>1.8332999999999999</v>
      </c>
      <c r="AJ690">
        <v>0.33329999999999999</v>
      </c>
      <c r="BJ690">
        <v>1</v>
      </c>
      <c r="BK690">
        <f>0</f>
        <v>0</v>
      </c>
      <c r="BL690">
        <f t="shared" si="150"/>
        <v>3.1665999999999999</v>
      </c>
      <c r="BM690">
        <f t="shared" si="151"/>
        <v>0</v>
      </c>
      <c r="BN690">
        <f t="shared" si="152"/>
        <v>0</v>
      </c>
      <c r="BO690">
        <f t="shared" si="153"/>
        <v>1</v>
      </c>
      <c r="BP690" s="37">
        <f>IF($F690="","",IFERROR(INDEX(Familias!$C$5:$C$300,MATCH($F690,Familias!$A$5:$A$300,0)),""))</f>
        <v>2740</v>
      </c>
      <c r="BQ690" s="37">
        <f t="shared" si="154"/>
        <v>23835</v>
      </c>
      <c r="BR690" s="36">
        <f t="shared" si="155"/>
        <v>12</v>
      </c>
      <c r="BS690" s="36">
        <f t="shared" si="156"/>
        <v>3.1665999999999999</v>
      </c>
      <c r="BT690" s="36">
        <f t="shared" si="157"/>
        <v>8.8333999999999993</v>
      </c>
      <c r="BU690" s="36">
        <f t="shared" si="158"/>
        <v>8.6989000000000001</v>
      </c>
      <c r="BV690" s="39">
        <f t="shared" si="159"/>
        <v>0.9847736998211335</v>
      </c>
      <c r="BW690" s="39">
        <f t="shared" si="160"/>
        <v>0.99958044891965592</v>
      </c>
      <c r="BX690" s="40">
        <f t="shared" si="161"/>
        <v>1.5563725490196079E-2</v>
      </c>
      <c r="BY690" s="40">
        <f t="shared" si="162"/>
        <v>3.6764705882352941E-3</v>
      </c>
      <c r="BZ690" t="str">
        <f t="shared" si="163"/>
        <v>OK</v>
      </c>
      <c r="CA690">
        <f t="shared" si="164"/>
        <v>1</v>
      </c>
    </row>
    <row r="691" spans="1:80" x14ac:dyDescent="0.25">
      <c r="A691" s="35">
        <v>46244</v>
      </c>
      <c r="B691" s="36">
        <v>12</v>
      </c>
      <c r="C691" t="s">
        <v>119</v>
      </c>
      <c r="D691" t="s">
        <v>6</v>
      </c>
      <c r="E691" t="s">
        <v>126</v>
      </c>
      <c r="F691" t="s">
        <v>149</v>
      </c>
      <c r="G691">
        <v>5686</v>
      </c>
      <c r="H691">
        <v>2140110740</v>
      </c>
      <c r="I691" t="s">
        <v>253</v>
      </c>
      <c r="J691" s="37">
        <v>27937</v>
      </c>
      <c r="K691" s="37">
        <v>5</v>
      </c>
      <c r="M691">
        <v>9619</v>
      </c>
      <c r="P691">
        <v>36</v>
      </c>
      <c r="Q691">
        <v>35</v>
      </c>
      <c r="V691" t="s">
        <v>120</v>
      </c>
      <c r="Y691" s="38">
        <v>0.79166666666666663</v>
      </c>
      <c r="Z691" s="38">
        <v>0.29166666666666669</v>
      </c>
      <c r="AA691" t="s">
        <v>117</v>
      </c>
      <c r="AC691" t="s">
        <v>118</v>
      </c>
      <c r="AQ691">
        <v>0.25</v>
      </c>
      <c r="AR691">
        <v>0.75</v>
      </c>
      <c r="BC691">
        <v>0.41670000000000001</v>
      </c>
      <c r="BK691">
        <f>0</f>
        <v>0</v>
      </c>
      <c r="BL691">
        <f t="shared" si="150"/>
        <v>1.4167000000000001</v>
      </c>
      <c r="BM691">
        <f t="shared" si="151"/>
        <v>0</v>
      </c>
      <c r="BN691">
        <f t="shared" si="152"/>
        <v>0</v>
      </c>
      <c r="BO691">
        <f t="shared" si="153"/>
        <v>1</v>
      </c>
      <c r="BP691" s="37">
        <f>IF($F691="","",IFERROR(INDEX(Familias!$C$5:$C$300,MATCH($F691,Familias!$A$5:$A$300,0)),""))</f>
        <v>2740</v>
      </c>
      <c r="BQ691" s="37">
        <f t="shared" si="154"/>
        <v>27942</v>
      </c>
      <c r="BR691" s="36">
        <f t="shared" si="155"/>
        <v>12</v>
      </c>
      <c r="BS691" s="36">
        <f t="shared" si="156"/>
        <v>1.4167000000000001</v>
      </c>
      <c r="BT691" s="36">
        <f t="shared" si="157"/>
        <v>10.583299999999999</v>
      </c>
      <c r="BU691" s="36">
        <f t="shared" si="158"/>
        <v>10.197800000000001</v>
      </c>
      <c r="BV691" s="39">
        <f t="shared" si="159"/>
        <v>0.96357468842421568</v>
      </c>
      <c r="BW691" s="39">
        <f t="shared" si="160"/>
        <v>0.99982105790566178</v>
      </c>
      <c r="BX691" s="40">
        <f t="shared" si="161"/>
        <v>3.7425927851127976E-3</v>
      </c>
      <c r="BY691" s="40">
        <f t="shared" si="162"/>
        <v>3.6386318744152197E-3</v>
      </c>
      <c r="BZ691" t="str">
        <f t="shared" si="163"/>
        <v>OK</v>
      </c>
      <c r="CA691">
        <f t="shared" si="164"/>
        <v>1</v>
      </c>
    </row>
    <row r="692" spans="1:80" x14ac:dyDescent="0.25">
      <c r="A692" s="35">
        <v>46245</v>
      </c>
      <c r="B692" s="36">
        <v>1.3365</v>
      </c>
      <c r="C692" t="s">
        <v>113</v>
      </c>
      <c r="D692" t="s">
        <v>6</v>
      </c>
      <c r="E692" t="s">
        <v>126</v>
      </c>
      <c r="F692" t="s">
        <v>149</v>
      </c>
      <c r="G692">
        <v>5686</v>
      </c>
      <c r="H692">
        <v>2140110740</v>
      </c>
      <c r="I692" t="s">
        <v>253</v>
      </c>
      <c r="J692" s="37">
        <v>3475</v>
      </c>
      <c r="K692" s="37">
        <v>5</v>
      </c>
      <c r="M692">
        <v>1046</v>
      </c>
      <c r="P692">
        <v>6</v>
      </c>
      <c r="V692" t="s">
        <v>116</v>
      </c>
      <c r="Y692" s="38">
        <v>0.29166666666666669</v>
      </c>
      <c r="Z692" s="38">
        <v>0.34722222222222221</v>
      </c>
      <c r="AA692" t="s">
        <v>117</v>
      </c>
      <c r="AC692" t="s">
        <v>121</v>
      </c>
      <c r="AJ692">
        <v>2.1499999999999998E-2</v>
      </c>
      <c r="AQ692">
        <v>3.2300000000000002E-2</v>
      </c>
      <c r="AR692">
        <v>9.6799999999999997E-2</v>
      </c>
      <c r="BI692">
        <v>4.2999999999999997E-2</v>
      </c>
      <c r="BJ692">
        <v>0.12909999999999999</v>
      </c>
      <c r="BK692">
        <f>0</f>
        <v>0</v>
      </c>
      <c r="BL692">
        <f t="shared" si="150"/>
        <v>0.32269999999999999</v>
      </c>
      <c r="BM692">
        <f t="shared" si="151"/>
        <v>0</v>
      </c>
      <c r="BN692">
        <f t="shared" si="152"/>
        <v>0</v>
      </c>
      <c r="BO692">
        <f t="shared" si="153"/>
        <v>1</v>
      </c>
      <c r="BP692" s="37">
        <f>IF($F692="","",IFERROR(INDEX(Familias!$C$5:$C$300,MATCH($F692,Familias!$A$5:$A$300,0)),""))</f>
        <v>2740</v>
      </c>
      <c r="BQ692" s="37">
        <f t="shared" si="154"/>
        <v>3480</v>
      </c>
      <c r="BR692" s="36">
        <f t="shared" si="155"/>
        <v>1.3365</v>
      </c>
      <c r="BS692" s="36">
        <f t="shared" si="156"/>
        <v>0.32269999999999999</v>
      </c>
      <c r="BT692" s="36">
        <f t="shared" si="157"/>
        <v>1.0138</v>
      </c>
      <c r="BU692" s="36">
        <f t="shared" si="158"/>
        <v>1.2701</v>
      </c>
      <c r="BV692" s="39">
        <f t="shared" si="159"/>
        <v>1.2528112053659499</v>
      </c>
      <c r="BW692" s="39">
        <f t="shared" si="160"/>
        <v>0.99856321839080464</v>
      </c>
      <c r="BX692" s="40">
        <f t="shared" si="161"/>
        <v>5.7361376673040155E-3</v>
      </c>
      <c r="BY692" s="40">
        <f t="shared" si="162"/>
        <v>0</v>
      </c>
      <c r="BZ692" t="str">
        <f t="shared" si="163"/>
        <v>Revisar rendimiento</v>
      </c>
      <c r="CA692">
        <f t="shared" si="164"/>
        <v>1</v>
      </c>
    </row>
    <row r="693" spans="1:80" x14ac:dyDescent="0.25">
      <c r="A693" s="35">
        <v>46245</v>
      </c>
      <c r="B693" s="36">
        <v>9.0135000000000005</v>
      </c>
      <c r="C693" t="s">
        <v>113</v>
      </c>
      <c r="D693" t="s">
        <v>6</v>
      </c>
      <c r="E693" t="s">
        <v>126</v>
      </c>
      <c r="F693" t="s">
        <v>149</v>
      </c>
      <c r="G693">
        <v>5502</v>
      </c>
      <c r="H693">
        <v>2140110618</v>
      </c>
      <c r="I693" t="s">
        <v>171</v>
      </c>
      <c r="J693" s="37">
        <v>23450</v>
      </c>
      <c r="K693" s="37">
        <v>20</v>
      </c>
      <c r="M693">
        <v>8125</v>
      </c>
      <c r="O693">
        <v>80</v>
      </c>
      <c r="P693">
        <v>42</v>
      </c>
      <c r="Q693">
        <v>12</v>
      </c>
      <c r="T693">
        <v>10</v>
      </c>
      <c r="V693" t="s">
        <v>116</v>
      </c>
      <c r="Y693" s="38">
        <v>0.34722222222222221</v>
      </c>
      <c r="Z693" s="38">
        <v>0.72291666666666665</v>
      </c>
      <c r="AA693" t="s">
        <v>117</v>
      </c>
      <c r="AC693" t="s">
        <v>121</v>
      </c>
      <c r="AJ693">
        <v>0.14510000000000001</v>
      </c>
      <c r="AQ693">
        <v>0.2177</v>
      </c>
      <c r="AR693">
        <v>0.6532</v>
      </c>
      <c r="BI693">
        <v>0.2903</v>
      </c>
      <c r="BJ693">
        <v>0.87090000000000001</v>
      </c>
      <c r="BK693">
        <f>0</f>
        <v>0</v>
      </c>
      <c r="BL693">
        <f t="shared" si="150"/>
        <v>2.1772</v>
      </c>
      <c r="BM693">
        <f t="shared" si="151"/>
        <v>0</v>
      </c>
      <c r="BN693">
        <f t="shared" si="152"/>
        <v>0</v>
      </c>
      <c r="BO693">
        <f t="shared" si="153"/>
        <v>1</v>
      </c>
      <c r="BP693" s="37">
        <f>IF($F693="","",IFERROR(INDEX(Familias!$C$5:$C$300,MATCH($F693,Familias!$A$5:$A$300,0)),""))</f>
        <v>2740</v>
      </c>
      <c r="BQ693" s="37">
        <f t="shared" si="154"/>
        <v>23470</v>
      </c>
      <c r="BR693" s="36">
        <f t="shared" si="155"/>
        <v>9.0135000000000005</v>
      </c>
      <c r="BS693" s="36">
        <f t="shared" si="156"/>
        <v>2.1772</v>
      </c>
      <c r="BT693" s="36">
        <f t="shared" si="157"/>
        <v>6.8362999999999996</v>
      </c>
      <c r="BU693" s="36">
        <f t="shared" si="158"/>
        <v>8.5656999999999996</v>
      </c>
      <c r="BV693" s="39">
        <f t="shared" si="159"/>
        <v>1.2529730994836388</v>
      </c>
      <c r="BW693" s="39">
        <f t="shared" si="160"/>
        <v>0.99914784831700043</v>
      </c>
      <c r="BX693" s="40">
        <f t="shared" si="161"/>
        <v>1.5015384615384616E-2</v>
      </c>
      <c r="BY693" s="40">
        <f t="shared" si="162"/>
        <v>1.4769230769230768E-3</v>
      </c>
      <c r="BZ693" t="str">
        <f t="shared" si="163"/>
        <v>Revisar rendimiento</v>
      </c>
      <c r="CA693">
        <f t="shared" si="164"/>
        <v>1</v>
      </c>
    </row>
    <row r="694" spans="1:80" x14ac:dyDescent="0.25">
      <c r="A694" s="35">
        <v>46245</v>
      </c>
      <c r="B694" s="36">
        <v>7.2084000000000001</v>
      </c>
      <c r="C694" t="s">
        <v>119</v>
      </c>
      <c r="D694" t="s">
        <v>6</v>
      </c>
      <c r="E694" t="s">
        <v>126</v>
      </c>
      <c r="F694" t="s">
        <v>149</v>
      </c>
      <c r="G694">
        <v>5502</v>
      </c>
      <c r="H694">
        <v>2140110618</v>
      </c>
      <c r="I694" t="s">
        <v>171</v>
      </c>
      <c r="J694" s="37">
        <v>14575</v>
      </c>
      <c r="K694" s="37">
        <v>10</v>
      </c>
      <c r="M694">
        <v>6377</v>
      </c>
      <c r="O694">
        <v>50</v>
      </c>
      <c r="P694">
        <v>24</v>
      </c>
      <c r="T694">
        <v>8</v>
      </c>
      <c r="V694" t="s">
        <v>120</v>
      </c>
      <c r="Y694" s="38">
        <v>0.79166666666666663</v>
      </c>
      <c r="Z694" s="38">
        <v>9.2361111111111116E-2</v>
      </c>
      <c r="AA694" t="s">
        <v>117</v>
      </c>
      <c r="AC694" t="s">
        <v>121</v>
      </c>
      <c r="AR694">
        <v>0.45050000000000001</v>
      </c>
      <c r="AW694">
        <v>1.0012000000000001</v>
      </c>
      <c r="BC694">
        <v>0.20019999999999999</v>
      </c>
      <c r="BJ694">
        <v>0.3004</v>
      </c>
      <c r="BK694">
        <f>0</f>
        <v>0</v>
      </c>
      <c r="BL694">
        <f t="shared" si="150"/>
        <v>1.9523000000000001</v>
      </c>
      <c r="BM694">
        <f t="shared" si="151"/>
        <v>0</v>
      </c>
      <c r="BN694">
        <f t="shared" si="152"/>
        <v>0</v>
      </c>
      <c r="BO694">
        <f t="shared" si="153"/>
        <v>1</v>
      </c>
      <c r="BP694" s="37">
        <f>IF($F694="","",IFERROR(INDEX(Familias!$C$5:$C$300,MATCH($F694,Familias!$A$5:$A$300,0)),""))</f>
        <v>2740</v>
      </c>
      <c r="BQ694" s="37">
        <f t="shared" si="154"/>
        <v>14585</v>
      </c>
      <c r="BR694" s="36">
        <f t="shared" si="155"/>
        <v>7.2084000000000001</v>
      </c>
      <c r="BS694" s="36">
        <f t="shared" si="156"/>
        <v>1.9522999999999999</v>
      </c>
      <c r="BT694" s="36">
        <f t="shared" si="157"/>
        <v>5.2561</v>
      </c>
      <c r="BU694" s="36">
        <f t="shared" si="158"/>
        <v>5.3230000000000004</v>
      </c>
      <c r="BV694" s="39">
        <f t="shared" si="159"/>
        <v>1.0127280683396436</v>
      </c>
      <c r="BW694" s="39">
        <f t="shared" si="160"/>
        <v>0.99931436407267737</v>
      </c>
      <c r="BX694" s="40">
        <f t="shared" si="161"/>
        <v>1.1604202603104909E-2</v>
      </c>
      <c r="BY694" s="40">
        <f t="shared" si="162"/>
        <v>0</v>
      </c>
      <c r="BZ694" t="str">
        <f t="shared" si="163"/>
        <v>OK</v>
      </c>
      <c r="CA694">
        <f t="shared" si="164"/>
        <v>1</v>
      </c>
    </row>
    <row r="695" spans="1:80" x14ac:dyDescent="0.25">
      <c r="A695" s="35">
        <v>46245</v>
      </c>
      <c r="B695" s="36">
        <v>4.7915999999999999</v>
      </c>
      <c r="C695" t="s">
        <v>119</v>
      </c>
      <c r="D695" t="s">
        <v>6</v>
      </c>
      <c r="E695" t="s">
        <v>126</v>
      </c>
      <c r="F695" t="s">
        <v>149</v>
      </c>
      <c r="G695">
        <v>5657</v>
      </c>
      <c r="H695">
        <v>2140110734</v>
      </c>
      <c r="I695" t="s">
        <v>254</v>
      </c>
      <c r="J695" s="37">
        <v>9690</v>
      </c>
      <c r="K695" s="37">
        <v>5</v>
      </c>
      <c r="M695">
        <v>1902</v>
      </c>
      <c r="P695">
        <v>6</v>
      </c>
      <c r="V695" t="s">
        <v>120</v>
      </c>
      <c r="Y695" s="38">
        <v>9.2361111111111116E-2</v>
      </c>
      <c r="Z695" s="38">
        <v>0.29166666666666669</v>
      </c>
      <c r="AA695" t="s">
        <v>117</v>
      </c>
      <c r="AC695" t="s">
        <v>121</v>
      </c>
      <c r="AR695">
        <v>0.29949999999999999</v>
      </c>
      <c r="AW695">
        <v>0.66549999999999998</v>
      </c>
      <c r="BC695">
        <v>0.1331</v>
      </c>
      <c r="BJ695">
        <v>0.1996</v>
      </c>
      <c r="BK695">
        <f>0</f>
        <v>0</v>
      </c>
      <c r="BL695">
        <f t="shared" si="150"/>
        <v>1.2977000000000001</v>
      </c>
      <c r="BM695">
        <f t="shared" si="151"/>
        <v>0</v>
      </c>
      <c r="BN695">
        <f t="shared" si="152"/>
        <v>0</v>
      </c>
      <c r="BO695">
        <f t="shared" si="153"/>
        <v>1</v>
      </c>
      <c r="BP695" s="37">
        <f>IF($F695="","",IFERROR(INDEX(Familias!$C$5:$C$300,MATCH($F695,Familias!$A$5:$A$300,0)),""))</f>
        <v>2740</v>
      </c>
      <c r="BQ695" s="37">
        <f t="shared" si="154"/>
        <v>9695</v>
      </c>
      <c r="BR695" s="36">
        <f t="shared" si="155"/>
        <v>4.7915999999999999</v>
      </c>
      <c r="BS695" s="36">
        <f t="shared" si="156"/>
        <v>1.2977000000000001</v>
      </c>
      <c r="BT695" s="36">
        <f t="shared" si="157"/>
        <v>3.4939</v>
      </c>
      <c r="BU695" s="36">
        <f t="shared" si="158"/>
        <v>3.5383</v>
      </c>
      <c r="BV695" s="39">
        <f t="shared" si="159"/>
        <v>1.0127078622742494</v>
      </c>
      <c r="BW695" s="39">
        <f t="shared" si="160"/>
        <v>0.99948427024239295</v>
      </c>
      <c r="BX695" s="40">
        <f t="shared" si="161"/>
        <v>3.1545741324921135E-3</v>
      </c>
      <c r="BY695" s="40">
        <f t="shared" si="162"/>
        <v>0</v>
      </c>
      <c r="BZ695" t="str">
        <f t="shared" si="163"/>
        <v>OK</v>
      </c>
      <c r="CA695">
        <f t="shared" si="164"/>
        <v>1</v>
      </c>
    </row>
    <row r="696" spans="1:80" x14ac:dyDescent="0.25">
      <c r="A696" s="35">
        <v>46246</v>
      </c>
      <c r="B696" s="36">
        <v>11.250999999999999</v>
      </c>
      <c r="C696" t="s">
        <v>113</v>
      </c>
      <c r="D696" t="s">
        <v>6</v>
      </c>
      <c r="E696" t="s">
        <v>126</v>
      </c>
      <c r="F696" t="s">
        <v>149</v>
      </c>
      <c r="G696">
        <v>5657</v>
      </c>
      <c r="H696">
        <v>2140110734</v>
      </c>
      <c r="I696" t="s">
        <v>254</v>
      </c>
      <c r="J696" s="37">
        <v>17650</v>
      </c>
      <c r="K696" s="37">
        <v>0</v>
      </c>
      <c r="M696">
        <v>5349</v>
      </c>
      <c r="P696">
        <v>36</v>
      </c>
      <c r="Q696">
        <v>56</v>
      </c>
      <c r="V696" t="s">
        <v>116</v>
      </c>
      <c r="Y696" s="38">
        <v>0.29166666666666669</v>
      </c>
      <c r="Z696" s="38">
        <v>0.76041666666666663</v>
      </c>
      <c r="AA696" t="s">
        <v>117</v>
      </c>
      <c r="AC696" t="s">
        <v>121</v>
      </c>
      <c r="AI696">
        <v>0.46879999999999999</v>
      </c>
      <c r="AO696">
        <v>1.4064000000000001</v>
      </c>
      <c r="AR696">
        <v>0.70320000000000005</v>
      </c>
      <c r="BI696">
        <v>0.3125</v>
      </c>
      <c r="BJ696">
        <v>0.93759999999999999</v>
      </c>
      <c r="BK696">
        <f>0</f>
        <v>0</v>
      </c>
      <c r="BL696">
        <f t="shared" si="150"/>
        <v>3.8285</v>
      </c>
      <c r="BM696">
        <f t="shared" si="151"/>
        <v>0</v>
      </c>
      <c r="BN696">
        <f t="shared" si="152"/>
        <v>0</v>
      </c>
      <c r="BO696">
        <f t="shared" si="153"/>
        <v>1</v>
      </c>
      <c r="BP696" s="37">
        <f>IF($F696="","",IFERROR(INDEX(Familias!$C$5:$C$300,MATCH($F696,Familias!$A$5:$A$300,0)),""))</f>
        <v>2740</v>
      </c>
      <c r="BQ696" s="37">
        <f t="shared" si="154"/>
        <v>17650</v>
      </c>
      <c r="BR696" s="36">
        <f t="shared" si="155"/>
        <v>11.250999999999999</v>
      </c>
      <c r="BS696" s="36">
        <f t="shared" si="156"/>
        <v>3.8285</v>
      </c>
      <c r="BT696" s="36">
        <f t="shared" si="157"/>
        <v>7.4225000000000003</v>
      </c>
      <c r="BU696" s="36">
        <f t="shared" si="158"/>
        <v>6.4416000000000002</v>
      </c>
      <c r="BV696" s="39">
        <f t="shared" si="159"/>
        <v>0.86784776018861565</v>
      </c>
      <c r="BW696" s="39">
        <f t="shared" si="160"/>
        <v>1</v>
      </c>
      <c r="BX696" s="40">
        <f t="shared" si="161"/>
        <v>6.730229949523275E-3</v>
      </c>
      <c r="BY696" s="40">
        <f t="shared" si="162"/>
        <v>1.0469246588147317E-2</v>
      </c>
      <c r="BZ696" t="str">
        <f t="shared" si="163"/>
        <v>OK</v>
      </c>
      <c r="CA696">
        <f t="shared" si="164"/>
        <v>1</v>
      </c>
    </row>
    <row r="697" spans="1:80" x14ac:dyDescent="0.25">
      <c r="A697" s="35">
        <v>46246</v>
      </c>
      <c r="B697" s="36">
        <v>0.749</v>
      </c>
      <c r="C697" t="s">
        <v>113</v>
      </c>
      <c r="D697" t="s">
        <v>6</v>
      </c>
      <c r="E697" t="s">
        <v>126</v>
      </c>
      <c r="F697" t="s">
        <v>149</v>
      </c>
      <c r="G697">
        <v>5462</v>
      </c>
      <c r="H697">
        <v>2140110615</v>
      </c>
      <c r="I697" t="s">
        <v>151</v>
      </c>
      <c r="J697" s="37">
        <v>1175</v>
      </c>
      <c r="K697" s="37">
        <v>0</v>
      </c>
      <c r="M697">
        <v>180</v>
      </c>
      <c r="O697">
        <v>10</v>
      </c>
      <c r="T697">
        <v>0</v>
      </c>
      <c r="V697" t="s">
        <v>116</v>
      </c>
      <c r="Y697" s="38">
        <v>0.76041666666666663</v>
      </c>
      <c r="Z697" s="38">
        <v>0.79166666666666663</v>
      </c>
      <c r="AA697" t="s">
        <v>117</v>
      </c>
      <c r="AC697" t="s">
        <v>121</v>
      </c>
      <c r="AI697">
        <v>3.1199999999999999E-2</v>
      </c>
      <c r="AO697">
        <v>9.3600000000000003E-2</v>
      </c>
      <c r="AR697">
        <v>4.6800000000000001E-2</v>
      </c>
      <c r="BI697">
        <v>2.0799999999999999E-2</v>
      </c>
      <c r="BJ697">
        <v>6.2399999999999997E-2</v>
      </c>
      <c r="BK697">
        <f>0</f>
        <v>0</v>
      </c>
      <c r="BL697">
        <f t="shared" si="150"/>
        <v>0.25480000000000003</v>
      </c>
      <c r="BM697">
        <f t="shared" si="151"/>
        <v>0</v>
      </c>
      <c r="BN697">
        <f t="shared" si="152"/>
        <v>0</v>
      </c>
      <c r="BO697">
        <f t="shared" si="153"/>
        <v>1</v>
      </c>
      <c r="BP697" s="37">
        <f>IF($F697="","",IFERROR(INDEX(Familias!$C$5:$C$300,MATCH($F697,Familias!$A$5:$A$300,0)),""))</f>
        <v>2740</v>
      </c>
      <c r="BQ697" s="37">
        <f t="shared" si="154"/>
        <v>1175</v>
      </c>
      <c r="BR697" s="36">
        <f t="shared" si="155"/>
        <v>0.749</v>
      </c>
      <c r="BS697" s="36">
        <f t="shared" si="156"/>
        <v>0.25480000000000003</v>
      </c>
      <c r="BT697" s="36">
        <f t="shared" si="157"/>
        <v>0.49419999999999997</v>
      </c>
      <c r="BU697" s="36">
        <f t="shared" si="158"/>
        <v>0.42880000000000001</v>
      </c>
      <c r="BV697" s="39">
        <f t="shared" si="159"/>
        <v>0.86766491299069215</v>
      </c>
      <c r="BW697" s="39">
        <f t="shared" si="160"/>
        <v>1</v>
      </c>
      <c r="BX697" s="40">
        <f t="shared" si="161"/>
        <v>5.5555555555555552E-2</v>
      </c>
      <c r="BY697" s="40">
        <f t="shared" si="162"/>
        <v>0</v>
      </c>
      <c r="BZ697" t="str">
        <f t="shared" si="163"/>
        <v>OK</v>
      </c>
      <c r="CA697">
        <f t="shared" si="164"/>
        <v>1</v>
      </c>
    </row>
    <row r="698" spans="1:80" x14ac:dyDescent="0.25">
      <c r="A698" s="35">
        <v>46246</v>
      </c>
      <c r="B698" s="36">
        <v>3.5941999999999998</v>
      </c>
      <c r="C698" t="s">
        <v>119</v>
      </c>
      <c r="D698" t="s">
        <v>6</v>
      </c>
      <c r="E698" t="s">
        <v>126</v>
      </c>
      <c r="F698" t="s">
        <v>149</v>
      </c>
      <c r="G698">
        <v>5756</v>
      </c>
      <c r="H698">
        <v>2140110735</v>
      </c>
      <c r="I698" t="s">
        <v>255</v>
      </c>
      <c r="J698" s="37">
        <v>3700</v>
      </c>
      <c r="K698" s="37">
        <v>5</v>
      </c>
      <c r="M698">
        <v>5756</v>
      </c>
      <c r="Q698">
        <v>44</v>
      </c>
      <c r="V698" t="s">
        <v>120</v>
      </c>
      <c r="Y698" s="38">
        <v>0.79166666666666663</v>
      </c>
      <c r="Z698" s="38">
        <v>0.94166666666666665</v>
      </c>
      <c r="AA698" t="s">
        <v>200</v>
      </c>
      <c r="AB698" t="s">
        <v>256</v>
      </c>
      <c r="AC698" t="s">
        <v>121</v>
      </c>
      <c r="AF698">
        <v>6.9900000000000004E-2</v>
      </c>
      <c r="AG698">
        <v>0.14979999999999999</v>
      </c>
      <c r="AO698">
        <v>0.19969999999999999</v>
      </c>
      <c r="AR698">
        <v>0.22459999999999999</v>
      </c>
      <c r="BJ698">
        <v>9.98E-2</v>
      </c>
      <c r="BK698">
        <f>0</f>
        <v>0</v>
      </c>
      <c r="BL698">
        <f t="shared" si="150"/>
        <v>0.74380000000000002</v>
      </c>
      <c r="BM698">
        <f t="shared" si="151"/>
        <v>0</v>
      </c>
      <c r="BN698">
        <f t="shared" si="152"/>
        <v>0</v>
      </c>
      <c r="BO698">
        <f t="shared" si="153"/>
        <v>1</v>
      </c>
      <c r="BP698" s="37">
        <f>IF($F698="","",IFERROR(INDEX(Familias!$C$5:$C$300,MATCH($F698,Familias!$A$5:$A$300,0)),""))</f>
        <v>2740</v>
      </c>
      <c r="BQ698" s="37">
        <f t="shared" si="154"/>
        <v>3705</v>
      </c>
      <c r="BR698" s="36">
        <f t="shared" si="155"/>
        <v>3.5941999999999998</v>
      </c>
      <c r="BS698" s="36">
        <f t="shared" si="156"/>
        <v>0.74380000000000002</v>
      </c>
      <c r="BT698" s="36">
        <f t="shared" si="157"/>
        <v>2.8504</v>
      </c>
      <c r="BU698" s="36">
        <f t="shared" si="158"/>
        <v>1.3522000000000001</v>
      </c>
      <c r="BV698" s="39">
        <f t="shared" si="159"/>
        <v>0.47438955936008981</v>
      </c>
      <c r="BW698" s="39">
        <f t="shared" si="160"/>
        <v>0.99865047233468285</v>
      </c>
      <c r="BX698" s="40">
        <f t="shared" si="161"/>
        <v>0</v>
      </c>
      <c r="BY698" s="40">
        <f t="shared" si="162"/>
        <v>7.6441973592772756E-3</v>
      </c>
      <c r="BZ698" t="str">
        <f t="shared" si="163"/>
        <v>Paradas no digitadas</v>
      </c>
      <c r="CA698">
        <f t="shared" si="164"/>
        <v>0</v>
      </c>
    </row>
    <row r="699" spans="1:80" x14ac:dyDescent="0.25">
      <c r="A699" s="35">
        <v>46246</v>
      </c>
      <c r="B699" s="36">
        <v>8.4057999999999993</v>
      </c>
      <c r="C699" t="s">
        <v>119</v>
      </c>
      <c r="D699" t="s">
        <v>6</v>
      </c>
      <c r="E699" t="s">
        <v>126</v>
      </c>
      <c r="F699" t="s">
        <v>149</v>
      </c>
      <c r="G699">
        <v>5715</v>
      </c>
      <c r="H699">
        <v>2140110659</v>
      </c>
      <c r="I699" t="s">
        <v>163</v>
      </c>
      <c r="J699" s="37">
        <v>8655</v>
      </c>
      <c r="K699" s="37">
        <v>10</v>
      </c>
      <c r="M699">
        <v>2950</v>
      </c>
      <c r="O699">
        <v>30</v>
      </c>
      <c r="P699">
        <v>29</v>
      </c>
      <c r="T699">
        <v>4</v>
      </c>
      <c r="V699" t="s">
        <v>120</v>
      </c>
      <c r="Y699" s="38">
        <v>0.94166666666666665</v>
      </c>
      <c r="Z699" s="38">
        <v>0.29166666666666669</v>
      </c>
      <c r="AA699" t="s">
        <v>200</v>
      </c>
      <c r="AC699" t="s">
        <v>121</v>
      </c>
      <c r="AF699">
        <v>0.16339999999999999</v>
      </c>
      <c r="AG699">
        <v>0.35020000000000001</v>
      </c>
      <c r="AO699">
        <v>0.46700000000000003</v>
      </c>
      <c r="AR699">
        <v>0.52539999999999998</v>
      </c>
      <c r="BJ699">
        <v>0.23350000000000001</v>
      </c>
      <c r="BK699">
        <f>0</f>
        <v>0</v>
      </c>
      <c r="BL699">
        <f t="shared" si="150"/>
        <v>1.7395000000000003</v>
      </c>
      <c r="BM699">
        <f t="shared" si="151"/>
        <v>0</v>
      </c>
      <c r="BN699">
        <f t="shared" si="152"/>
        <v>0</v>
      </c>
      <c r="BO699">
        <f t="shared" si="153"/>
        <v>1</v>
      </c>
      <c r="BP699" s="37">
        <f>IF($F699="","",IFERROR(INDEX(Familias!$C$5:$C$300,MATCH($F699,Familias!$A$5:$A$300,0)),""))</f>
        <v>2740</v>
      </c>
      <c r="BQ699" s="37">
        <f t="shared" si="154"/>
        <v>8665</v>
      </c>
      <c r="BR699" s="36">
        <f t="shared" si="155"/>
        <v>8.4057999999999993</v>
      </c>
      <c r="BS699" s="36">
        <f t="shared" si="156"/>
        <v>1.7395</v>
      </c>
      <c r="BT699" s="36">
        <f t="shared" si="157"/>
        <v>6.6662999999999997</v>
      </c>
      <c r="BU699" s="36">
        <f t="shared" si="158"/>
        <v>3.1623999999999999</v>
      </c>
      <c r="BV699" s="39">
        <f t="shared" si="159"/>
        <v>0.4743860912350179</v>
      </c>
      <c r="BW699" s="39">
        <f t="shared" si="160"/>
        <v>0.99884593190998272</v>
      </c>
      <c r="BX699" s="40">
        <f t="shared" si="161"/>
        <v>0.02</v>
      </c>
      <c r="BY699" s="40">
        <f t="shared" si="162"/>
        <v>0</v>
      </c>
      <c r="BZ699" t="str">
        <f t="shared" si="163"/>
        <v>Paradas no digitadas</v>
      </c>
      <c r="CA699">
        <f t="shared" si="164"/>
        <v>0</v>
      </c>
    </row>
    <row r="700" spans="1:80" x14ac:dyDescent="0.25">
      <c r="A700" s="35">
        <v>46247</v>
      </c>
      <c r="B700" s="36">
        <v>1.8317000000000001</v>
      </c>
      <c r="C700" t="s">
        <v>113</v>
      </c>
      <c r="D700" t="s">
        <v>6</v>
      </c>
      <c r="E700" t="s">
        <v>126</v>
      </c>
      <c r="F700" t="s">
        <v>149</v>
      </c>
      <c r="G700">
        <v>5715</v>
      </c>
      <c r="H700">
        <v>2140110659</v>
      </c>
      <c r="I700" t="s">
        <v>163</v>
      </c>
      <c r="J700" s="37">
        <v>2900</v>
      </c>
      <c r="K700" s="37">
        <v>5</v>
      </c>
      <c r="M700">
        <v>1008</v>
      </c>
      <c r="O700">
        <v>6</v>
      </c>
      <c r="P700">
        <v>4</v>
      </c>
      <c r="T700">
        <v>1</v>
      </c>
      <c r="V700" t="s">
        <v>116</v>
      </c>
      <c r="Y700" s="38">
        <v>0.29166666666666669</v>
      </c>
      <c r="Z700" s="38">
        <v>0.36805555555555558</v>
      </c>
      <c r="AA700" t="s">
        <v>117</v>
      </c>
      <c r="AC700" t="s">
        <v>136</v>
      </c>
      <c r="AQ700">
        <v>3.8199999999999998E-2</v>
      </c>
      <c r="BI700">
        <v>3.8199999999999998E-2</v>
      </c>
      <c r="BJ700">
        <v>0.35620000000000002</v>
      </c>
      <c r="BK700">
        <f>0</f>
        <v>0</v>
      </c>
      <c r="BL700">
        <f t="shared" si="150"/>
        <v>0.43259999999999998</v>
      </c>
      <c r="BM700">
        <f t="shared" si="151"/>
        <v>0</v>
      </c>
      <c r="BN700">
        <f t="shared" si="152"/>
        <v>0</v>
      </c>
      <c r="BO700">
        <f t="shared" si="153"/>
        <v>1</v>
      </c>
      <c r="BP700" s="37">
        <f>IF($F700="","",IFERROR(INDEX(Familias!$C$5:$C$300,MATCH($F700,Familias!$A$5:$A$300,0)),""))</f>
        <v>2740</v>
      </c>
      <c r="BQ700" s="37">
        <f t="shared" si="154"/>
        <v>2905</v>
      </c>
      <c r="BR700" s="36">
        <f t="shared" si="155"/>
        <v>1.8317000000000001</v>
      </c>
      <c r="BS700" s="36">
        <f t="shared" si="156"/>
        <v>0.43259999999999998</v>
      </c>
      <c r="BT700" s="36">
        <f t="shared" si="157"/>
        <v>1.3991</v>
      </c>
      <c r="BU700" s="36">
        <f t="shared" si="158"/>
        <v>1.0602</v>
      </c>
      <c r="BV700" s="39">
        <f t="shared" si="159"/>
        <v>0.757772853977557</v>
      </c>
      <c r="BW700" s="39">
        <f t="shared" si="160"/>
        <v>0.99827882960413084</v>
      </c>
      <c r="BX700" s="40">
        <f t="shared" si="161"/>
        <v>9.9206349206349201E-3</v>
      </c>
      <c r="BY700" s="40">
        <f t="shared" si="162"/>
        <v>0</v>
      </c>
      <c r="BZ700" t="str">
        <f t="shared" si="163"/>
        <v>OK</v>
      </c>
      <c r="CA700">
        <f t="shared" si="164"/>
        <v>1</v>
      </c>
    </row>
    <row r="701" spans="1:80" x14ac:dyDescent="0.25">
      <c r="A701" s="35">
        <v>46247</v>
      </c>
      <c r="B701" s="36">
        <v>7.2667000000000002</v>
      </c>
      <c r="C701" t="s">
        <v>113</v>
      </c>
      <c r="D701" t="s">
        <v>6</v>
      </c>
      <c r="E701" t="s">
        <v>126</v>
      </c>
      <c r="F701" t="s">
        <v>149</v>
      </c>
      <c r="G701">
        <v>5728</v>
      </c>
      <c r="H701">
        <v>2140110657</v>
      </c>
      <c r="I701" t="s">
        <v>173</v>
      </c>
      <c r="J701" s="37">
        <v>11525</v>
      </c>
      <c r="K701" s="37">
        <v>0</v>
      </c>
      <c r="M701">
        <v>3981</v>
      </c>
      <c r="O701">
        <v>36</v>
      </c>
      <c r="P701">
        <v>15</v>
      </c>
      <c r="T701">
        <v>5</v>
      </c>
      <c r="V701" t="s">
        <v>116</v>
      </c>
      <c r="Y701" s="38">
        <v>0.36805555555555558</v>
      </c>
      <c r="Z701" s="38">
        <v>0.67083333333333328</v>
      </c>
      <c r="AA701" t="s">
        <v>117</v>
      </c>
      <c r="AC701" t="s">
        <v>136</v>
      </c>
      <c r="AQ701">
        <v>0.15140000000000001</v>
      </c>
      <c r="BI701">
        <v>0.15140000000000001</v>
      </c>
      <c r="BJ701">
        <v>1.413</v>
      </c>
      <c r="BK701">
        <f>0</f>
        <v>0</v>
      </c>
      <c r="BL701">
        <f t="shared" si="150"/>
        <v>1.7158</v>
      </c>
      <c r="BM701">
        <f t="shared" si="151"/>
        <v>0</v>
      </c>
      <c r="BN701">
        <f t="shared" si="152"/>
        <v>0</v>
      </c>
      <c r="BO701">
        <f t="shared" si="153"/>
        <v>1</v>
      </c>
      <c r="BP701" s="37">
        <f>IF($F701="","",IFERROR(INDEX(Familias!$C$5:$C$300,MATCH($F701,Familias!$A$5:$A$300,0)),""))</f>
        <v>2740</v>
      </c>
      <c r="BQ701" s="37">
        <f t="shared" si="154"/>
        <v>11525</v>
      </c>
      <c r="BR701" s="36">
        <f t="shared" si="155"/>
        <v>7.2667000000000002</v>
      </c>
      <c r="BS701" s="36">
        <f t="shared" si="156"/>
        <v>1.7158</v>
      </c>
      <c r="BT701" s="36">
        <f t="shared" si="157"/>
        <v>5.5509000000000004</v>
      </c>
      <c r="BU701" s="36">
        <f t="shared" si="158"/>
        <v>4.2061999999999999</v>
      </c>
      <c r="BV701" s="39">
        <f t="shared" si="159"/>
        <v>0.75775099533408985</v>
      </c>
      <c r="BW701" s="39">
        <f t="shared" si="160"/>
        <v>1</v>
      </c>
      <c r="BX701" s="40">
        <f t="shared" si="161"/>
        <v>1.281085154483798E-2</v>
      </c>
      <c r="BY701" s="40">
        <f t="shared" si="162"/>
        <v>0</v>
      </c>
      <c r="BZ701" t="str">
        <f t="shared" si="163"/>
        <v>OK</v>
      </c>
      <c r="CA701">
        <f t="shared" si="164"/>
        <v>1</v>
      </c>
    </row>
    <row r="702" spans="1:80" x14ac:dyDescent="0.25">
      <c r="A702" s="35">
        <v>46247</v>
      </c>
      <c r="B702" s="36">
        <v>2.9016000000000002</v>
      </c>
      <c r="C702" t="s">
        <v>113</v>
      </c>
      <c r="D702" t="s">
        <v>6</v>
      </c>
      <c r="E702" t="s">
        <v>126</v>
      </c>
      <c r="F702" t="s">
        <v>149</v>
      </c>
      <c r="G702">
        <v>5652</v>
      </c>
      <c r="H702">
        <v>2140110653</v>
      </c>
      <c r="I702" t="s">
        <v>158</v>
      </c>
      <c r="J702" s="37">
        <v>4597</v>
      </c>
      <c r="K702" s="37">
        <v>5</v>
      </c>
      <c r="M702">
        <v>1609</v>
      </c>
      <c r="O702">
        <v>8</v>
      </c>
      <c r="P702">
        <v>7</v>
      </c>
      <c r="T702">
        <v>2</v>
      </c>
      <c r="V702" t="s">
        <v>116</v>
      </c>
      <c r="Y702" s="38">
        <v>0.67083333333333328</v>
      </c>
      <c r="Z702" s="38">
        <v>0.79166666666666663</v>
      </c>
      <c r="AA702" t="s">
        <v>117</v>
      </c>
      <c r="AC702" t="s">
        <v>136</v>
      </c>
      <c r="AQ702">
        <v>6.0499999999999998E-2</v>
      </c>
      <c r="BI702">
        <v>6.0499999999999998E-2</v>
      </c>
      <c r="BJ702">
        <v>0.56420000000000003</v>
      </c>
      <c r="BK702">
        <f>0</f>
        <v>0</v>
      </c>
      <c r="BL702">
        <f t="shared" si="150"/>
        <v>0.68520000000000003</v>
      </c>
      <c r="BM702">
        <f t="shared" si="151"/>
        <v>0</v>
      </c>
      <c r="BN702">
        <f t="shared" si="152"/>
        <v>0</v>
      </c>
      <c r="BO702">
        <f t="shared" si="153"/>
        <v>1</v>
      </c>
      <c r="BP702" s="37">
        <f>IF($F702="","",IFERROR(INDEX(Familias!$C$5:$C$300,MATCH($F702,Familias!$A$5:$A$300,0)),""))</f>
        <v>2740</v>
      </c>
      <c r="BQ702" s="37">
        <f t="shared" si="154"/>
        <v>4602</v>
      </c>
      <c r="BR702" s="36">
        <f t="shared" si="155"/>
        <v>2.9016000000000002</v>
      </c>
      <c r="BS702" s="36">
        <f t="shared" si="156"/>
        <v>0.68520000000000003</v>
      </c>
      <c r="BT702" s="36">
        <f t="shared" si="157"/>
        <v>2.2164000000000001</v>
      </c>
      <c r="BU702" s="36">
        <f t="shared" si="158"/>
        <v>1.6796</v>
      </c>
      <c r="BV702" s="39">
        <f t="shared" si="159"/>
        <v>0.7578054502797329</v>
      </c>
      <c r="BW702" s="39">
        <f t="shared" si="160"/>
        <v>0.99891351586266841</v>
      </c>
      <c r="BX702" s="40">
        <f t="shared" si="161"/>
        <v>9.322560596643879E-3</v>
      </c>
      <c r="BY702" s="40">
        <f t="shared" si="162"/>
        <v>0</v>
      </c>
      <c r="BZ702" t="str">
        <f t="shared" si="163"/>
        <v>OK</v>
      </c>
      <c r="CA702">
        <f t="shared" si="164"/>
        <v>1</v>
      </c>
    </row>
    <row r="703" spans="1:80" x14ac:dyDescent="0.25">
      <c r="A703" s="35">
        <v>46247</v>
      </c>
      <c r="B703" s="36">
        <v>10.1191</v>
      </c>
      <c r="C703" t="s">
        <v>119</v>
      </c>
      <c r="D703" t="s">
        <v>6</v>
      </c>
      <c r="E703" t="s">
        <v>126</v>
      </c>
      <c r="F703" t="s">
        <v>149</v>
      </c>
      <c r="G703">
        <v>5649</v>
      </c>
      <c r="H703">
        <v>2140110654</v>
      </c>
      <c r="I703" t="s">
        <v>159</v>
      </c>
      <c r="J703" s="37">
        <v>10050</v>
      </c>
      <c r="K703" s="37">
        <v>0</v>
      </c>
      <c r="M703">
        <v>2697</v>
      </c>
      <c r="O703">
        <v>20</v>
      </c>
      <c r="P703">
        <v>9</v>
      </c>
      <c r="T703">
        <v>3</v>
      </c>
      <c r="V703" t="s">
        <v>120</v>
      </c>
      <c r="Y703" s="38">
        <v>0.79166666666666663</v>
      </c>
      <c r="Z703" s="38">
        <v>0.21319444444444441</v>
      </c>
      <c r="AA703" t="s">
        <v>117</v>
      </c>
      <c r="AC703" t="s">
        <v>121</v>
      </c>
      <c r="AQ703">
        <v>0.21079999999999999</v>
      </c>
      <c r="AR703">
        <v>0.63239999999999996</v>
      </c>
      <c r="BC703">
        <v>0.28110000000000002</v>
      </c>
      <c r="BJ703">
        <v>0.56220000000000003</v>
      </c>
      <c r="BK703">
        <f>0</f>
        <v>0</v>
      </c>
      <c r="BL703">
        <f t="shared" si="150"/>
        <v>1.6864999999999999</v>
      </c>
      <c r="BM703">
        <f t="shared" si="151"/>
        <v>0</v>
      </c>
      <c r="BN703">
        <f t="shared" si="152"/>
        <v>0</v>
      </c>
      <c r="BO703">
        <f t="shared" si="153"/>
        <v>1</v>
      </c>
      <c r="BP703" s="37">
        <f>IF($F703="","",IFERROR(INDEX(Familias!$C$5:$C$300,MATCH($F703,Familias!$A$5:$A$300,0)),""))</f>
        <v>2740</v>
      </c>
      <c r="BQ703" s="37">
        <f t="shared" si="154"/>
        <v>10050</v>
      </c>
      <c r="BR703" s="36">
        <f t="shared" si="155"/>
        <v>10.1191</v>
      </c>
      <c r="BS703" s="36">
        <f t="shared" si="156"/>
        <v>1.6865000000000001</v>
      </c>
      <c r="BT703" s="36">
        <f t="shared" si="157"/>
        <v>8.4326000000000008</v>
      </c>
      <c r="BU703" s="36">
        <f t="shared" si="158"/>
        <v>3.6678999999999999</v>
      </c>
      <c r="BV703" s="39">
        <f t="shared" si="159"/>
        <v>0.43496667694424018</v>
      </c>
      <c r="BW703" s="39">
        <f t="shared" si="160"/>
        <v>1</v>
      </c>
      <c r="BX703" s="40">
        <f t="shared" si="161"/>
        <v>1.0752688172043012E-2</v>
      </c>
      <c r="BY703" s="40">
        <f t="shared" si="162"/>
        <v>0</v>
      </c>
      <c r="BZ703" t="str">
        <f t="shared" si="163"/>
        <v>OK</v>
      </c>
      <c r="CA703">
        <f t="shared" si="164"/>
        <v>1</v>
      </c>
    </row>
    <row r="704" spans="1:80" x14ac:dyDescent="0.25">
      <c r="A704" s="35">
        <v>46247</v>
      </c>
      <c r="B704" s="36">
        <v>1.8809</v>
      </c>
      <c r="C704" t="s">
        <v>119</v>
      </c>
      <c r="D704" t="s">
        <v>6</v>
      </c>
      <c r="E704" t="s">
        <v>126</v>
      </c>
      <c r="F704" t="s">
        <v>149</v>
      </c>
      <c r="G704">
        <v>5770</v>
      </c>
      <c r="H704">
        <v>2140110741</v>
      </c>
      <c r="I704" t="s">
        <v>257</v>
      </c>
      <c r="J704" s="37">
        <v>1868</v>
      </c>
      <c r="K704" s="37">
        <v>0</v>
      </c>
      <c r="M704">
        <v>662</v>
      </c>
      <c r="P704">
        <v>3</v>
      </c>
      <c r="V704" t="s">
        <v>120</v>
      </c>
      <c r="Y704" s="38">
        <v>0.21319444444444441</v>
      </c>
      <c r="Z704" s="38">
        <v>0.29166666666666669</v>
      </c>
      <c r="AA704" t="s">
        <v>117</v>
      </c>
      <c r="AC704" t="s">
        <v>121</v>
      </c>
      <c r="AQ704">
        <v>3.9199999999999999E-2</v>
      </c>
      <c r="AR704">
        <v>0.1176</v>
      </c>
      <c r="BC704">
        <v>5.2200000000000003E-2</v>
      </c>
      <c r="BJ704">
        <v>0.1045</v>
      </c>
      <c r="BK704">
        <f>0</f>
        <v>0</v>
      </c>
      <c r="BL704">
        <f t="shared" si="150"/>
        <v>0.3135</v>
      </c>
      <c r="BM704">
        <f t="shared" si="151"/>
        <v>0</v>
      </c>
      <c r="BN704">
        <f t="shared" si="152"/>
        <v>0</v>
      </c>
      <c r="BO704">
        <f t="shared" si="153"/>
        <v>1</v>
      </c>
      <c r="BP704" s="37">
        <f>IF($F704="","",IFERROR(INDEX(Familias!$C$5:$C$300,MATCH($F704,Familias!$A$5:$A$300,0)),""))</f>
        <v>2740</v>
      </c>
      <c r="BQ704" s="37">
        <f t="shared" si="154"/>
        <v>1868</v>
      </c>
      <c r="BR704" s="36">
        <f t="shared" si="155"/>
        <v>1.8809</v>
      </c>
      <c r="BS704" s="36">
        <f t="shared" si="156"/>
        <v>0.3135</v>
      </c>
      <c r="BT704" s="36">
        <f t="shared" si="157"/>
        <v>1.5673999999999999</v>
      </c>
      <c r="BU704" s="36">
        <f t="shared" si="158"/>
        <v>0.68179999999999996</v>
      </c>
      <c r="BV704" s="39">
        <f t="shared" si="159"/>
        <v>0.43498787801454636</v>
      </c>
      <c r="BW704" s="39">
        <f t="shared" si="160"/>
        <v>1</v>
      </c>
      <c r="BX704" s="40">
        <f t="shared" si="161"/>
        <v>4.5317220543806651E-3</v>
      </c>
      <c r="BY704" s="40">
        <f t="shared" si="162"/>
        <v>0</v>
      </c>
      <c r="BZ704" t="str">
        <f t="shared" si="163"/>
        <v>OK</v>
      </c>
      <c r="CA704">
        <f t="shared" si="164"/>
        <v>1</v>
      </c>
    </row>
    <row r="705" spans="1:80" x14ac:dyDescent="0.25">
      <c r="A705" s="35">
        <v>46248</v>
      </c>
      <c r="B705" s="36">
        <v>7.2450000000000001</v>
      </c>
      <c r="C705" t="s">
        <v>113</v>
      </c>
      <c r="D705" t="s">
        <v>6</v>
      </c>
      <c r="E705" t="s">
        <v>126</v>
      </c>
      <c r="F705" t="s">
        <v>149</v>
      </c>
      <c r="G705">
        <v>5763</v>
      </c>
      <c r="H705">
        <v>2140110661</v>
      </c>
      <c r="I705" t="s">
        <v>165</v>
      </c>
      <c r="J705" s="37">
        <v>13250</v>
      </c>
      <c r="K705" s="37">
        <v>6</v>
      </c>
      <c r="M705">
        <v>4565</v>
      </c>
      <c r="O705">
        <v>35</v>
      </c>
      <c r="P705">
        <v>31</v>
      </c>
      <c r="T705">
        <v>6</v>
      </c>
      <c r="V705" t="s">
        <v>116</v>
      </c>
      <c r="Y705" s="38">
        <v>0.29166666666666669</v>
      </c>
      <c r="Z705" s="38">
        <v>0.59375</v>
      </c>
      <c r="AA705" t="s">
        <v>161</v>
      </c>
      <c r="AB705" t="s">
        <v>162</v>
      </c>
      <c r="AC705" t="s">
        <v>121</v>
      </c>
      <c r="BK705">
        <f>0</f>
        <v>0</v>
      </c>
      <c r="BL705">
        <f t="shared" si="150"/>
        <v>0</v>
      </c>
      <c r="BM705">
        <f t="shared" si="151"/>
        <v>0</v>
      </c>
      <c r="BN705">
        <f t="shared" si="152"/>
        <v>0</v>
      </c>
      <c r="BO705">
        <f t="shared" si="153"/>
        <v>1</v>
      </c>
      <c r="BP705" s="37">
        <f>IF($F705="","",IFERROR(INDEX(Familias!$C$5:$C$300,MATCH($F705,Familias!$A$5:$A$300,0)),""))</f>
        <v>2740</v>
      </c>
      <c r="BQ705" s="37">
        <f t="shared" si="154"/>
        <v>13256</v>
      </c>
      <c r="BR705" s="36">
        <f t="shared" si="155"/>
        <v>7.2450000000000001</v>
      </c>
      <c r="BS705" s="36">
        <f t="shared" si="156"/>
        <v>0</v>
      </c>
      <c r="BT705" s="36">
        <f t="shared" si="157"/>
        <v>7.2450000000000001</v>
      </c>
      <c r="BU705" s="36">
        <f t="shared" si="158"/>
        <v>4.8380000000000001</v>
      </c>
      <c r="BV705" s="39">
        <f t="shared" si="159"/>
        <v>0.66777087646652866</v>
      </c>
      <c r="BW705" s="39">
        <f t="shared" si="160"/>
        <v>0.99954737477368738</v>
      </c>
      <c r="BX705" s="40">
        <f t="shared" si="161"/>
        <v>1.4457831325301205E-2</v>
      </c>
      <c r="BY705" s="40">
        <f t="shared" si="162"/>
        <v>0</v>
      </c>
      <c r="BZ705" t="str">
        <f t="shared" si="163"/>
        <v>Paradas no digitadas</v>
      </c>
      <c r="CA705">
        <f t="shared" si="164"/>
        <v>0</v>
      </c>
    </row>
    <row r="706" spans="1:80" x14ac:dyDescent="0.25">
      <c r="A706" s="35">
        <v>46248</v>
      </c>
      <c r="B706" s="36">
        <v>4.7549999999999999</v>
      </c>
      <c r="C706" t="s">
        <v>113</v>
      </c>
      <c r="D706" t="s">
        <v>6</v>
      </c>
      <c r="E706" t="s">
        <v>126</v>
      </c>
      <c r="F706" t="s">
        <v>149</v>
      </c>
      <c r="G706">
        <v>5570</v>
      </c>
      <c r="H706">
        <v>2140110741</v>
      </c>
      <c r="I706" t="s">
        <v>257</v>
      </c>
      <c r="J706" s="37">
        <v>8700</v>
      </c>
      <c r="K706" s="37">
        <v>0</v>
      </c>
      <c r="M706">
        <v>2825</v>
      </c>
      <c r="P706">
        <v>10</v>
      </c>
      <c r="V706" t="s">
        <v>116</v>
      </c>
      <c r="Y706" s="38">
        <v>0.59375</v>
      </c>
      <c r="Z706" s="38">
        <v>0.79166666666666663</v>
      </c>
      <c r="AA706" t="s">
        <v>161</v>
      </c>
      <c r="AC706" t="s">
        <v>121</v>
      </c>
      <c r="BK706">
        <f>0</f>
        <v>0</v>
      </c>
      <c r="BL706">
        <f t="shared" ref="BL706:BL769" si="165">N(AD706)+N(AE706)+N(AF706)+N(AG706)+N(AH706)+N(AI706)+N(AJ706)+N(AK706)+N(AL706)+N(AM706)+N(AN706)+N(AO706)+N(AP706)+N(AQ706)+N(AR706)+N(AS706)+N(AT706)+N(AU706)+N(AW706)+N(AX706)+N(AY706)+N(BC706)+N(BE706)+N(BF706)+N(BH706)+N(BI706)+N(BJ706)</f>
        <v>0</v>
      </c>
      <c r="BM706">
        <f t="shared" ref="BM706:BM769" si="166">N(AZ706)+N(BA706)+N(BB706)+N(BD706)</f>
        <v>0</v>
      </c>
      <c r="BN706">
        <f t="shared" ref="BN706:BN769" si="167">N(AV706)+N(BG706)</f>
        <v>0</v>
      </c>
      <c r="BO706">
        <f t="shared" ref="BO706:BO769" si="168">IF($A706="","",IF(WEEKDAY($A706,2)=7,0,1))</f>
        <v>1</v>
      </c>
      <c r="BP706" s="37">
        <f>IF($F706="","",IFERROR(INDEX(Familias!$C$5:$C$300,MATCH($F706,Familias!$A$5:$A$300,0)),""))</f>
        <v>2740</v>
      </c>
      <c r="BQ706" s="37">
        <f t="shared" ref="BQ706:BQ769" si="169">IF(AND($J706="",$K706=""),"",N($J706)+N($K706))</f>
        <v>8700</v>
      </c>
      <c r="BR706" s="36">
        <f t="shared" ref="BR706:BR769" si="170">IF($A706="","",ROUND(N($B706),4))</f>
        <v>4.7549999999999999</v>
      </c>
      <c r="BS706" s="36">
        <f t="shared" ref="BS706:BS769" si="171">IF($A706="","",ROUND(SUM($AD706:$BJ706),4))</f>
        <v>0</v>
      </c>
      <c r="BT706" s="36">
        <f t="shared" ref="BT706:BT769" si="172">IF($A706="","",ROUND(MAX(0,$BR706-$BS706),4))</f>
        <v>4.7549999999999999</v>
      </c>
      <c r="BU706" s="36">
        <f t="shared" ref="BU706:BU769" si="173">IF(OR($BQ706="",$BP706="",N($BP706)=0),"",ROUND($BQ706/$BP706,4))</f>
        <v>3.1751999999999998</v>
      </c>
      <c r="BV706" s="39">
        <f t="shared" ref="BV706:BV769" si="174">IF(OR($BU706="",N($BT706)=0),"",$BU706/$BT706)</f>
        <v>0.66776025236593062</v>
      </c>
      <c r="BW706" s="39">
        <f t="shared" ref="BW706:BW769" si="175">IF(N($BQ706)&gt;0,N($J706)/$BQ706,"")</f>
        <v>1</v>
      </c>
      <c r="BX706" s="40">
        <f t="shared" ref="BX706:BX769" si="176">IF(N($M706)&gt;0,(N($P706)+N($O706)+N($R706))/$M706,"")</f>
        <v>3.5398230088495575E-3</v>
      </c>
      <c r="BY706" s="40">
        <f t="shared" ref="BY706:BY769" si="177">IF(N($M706)&gt;0,N($Q706)/$M706,"")</f>
        <v>0</v>
      </c>
      <c r="BZ706" t="str">
        <f t="shared" ref="BZ706:BZ769" si="178">IF($A706="","",IF($BO706=0,"Domingo",IF($AA706&lt;&gt;"Sí","Paradas no digitadas",IF($BQ706="",IF(N($BT706)&gt;0,"Sin producción","Parada total"),IF($F706="","Sin familia",IF($BP706="","Familia sin estándar",IF(AND($BV706&lt;&gt;"",N($BV706)&gt;1.1),"Revisar rendimiento","OK")))))))</f>
        <v>Paradas no digitadas</v>
      </c>
      <c r="CA706">
        <f t="shared" ref="CA706:CA769" si="179">IF(OR($BU706="",$BO706&lt;&gt;1,$AA706&lt;&gt;"Sí"),0,1)</f>
        <v>0</v>
      </c>
    </row>
    <row r="707" spans="1:80" x14ac:dyDescent="0.25">
      <c r="A707" s="35">
        <v>46248</v>
      </c>
      <c r="B707" s="36">
        <v>4.9032</v>
      </c>
      <c r="C707" t="s">
        <v>119</v>
      </c>
      <c r="D707" t="s">
        <v>6</v>
      </c>
      <c r="E707" t="s">
        <v>126</v>
      </c>
      <c r="F707" t="s">
        <v>149</v>
      </c>
      <c r="G707">
        <v>5648</v>
      </c>
      <c r="H707">
        <v>2140110656</v>
      </c>
      <c r="I707" t="s">
        <v>166</v>
      </c>
      <c r="J707" s="37">
        <v>7900</v>
      </c>
      <c r="K707" s="37">
        <v>8</v>
      </c>
      <c r="M707">
        <v>2882</v>
      </c>
      <c r="O707">
        <v>14</v>
      </c>
      <c r="P707">
        <v>9</v>
      </c>
      <c r="Q707">
        <v>20</v>
      </c>
      <c r="T707">
        <v>3</v>
      </c>
      <c r="V707" t="s">
        <v>120</v>
      </c>
      <c r="Y707" s="38">
        <v>0.79166666666666663</v>
      </c>
      <c r="Z707" s="38">
        <v>0.99583333333333335</v>
      </c>
      <c r="AA707" t="s">
        <v>117</v>
      </c>
      <c r="AC707" t="s">
        <v>121</v>
      </c>
      <c r="AQ707">
        <v>0.1021</v>
      </c>
      <c r="AR707">
        <v>0.30640000000000001</v>
      </c>
      <c r="BI707">
        <v>0.27239999999999998</v>
      </c>
      <c r="BJ707">
        <v>0.51070000000000004</v>
      </c>
      <c r="BK707">
        <f>0</f>
        <v>0</v>
      </c>
      <c r="BL707">
        <f t="shared" si="165"/>
        <v>1.1916</v>
      </c>
      <c r="BM707">
        <f t="shared" si="166"/>
        <v>0</v>
      </c>
      <c r="BN707">
        <f t="shared" si="167"/>
        <v>0</v>
      </c>
      <c r="BO707">
        <f t="shared" si="168"/>
        <v>1</v>
      </c>
      <c r="BP707" s="37">
        <f>IF($F707="","",IFERROR(INDEX(Familias!$C$5:$C$300,MATCH($F707,Familias!$A$5:$A$300,0)),""))</f>
        <v>2740</v>
      </c>
      <c r="BQ707" s="37">
        <f t="shared" si="169"/>
        <v>7908</v>
      </c>
      <c r="BR707" s="36">
        <f t="shared" si="170"/>
        <v>4.9032</v>
      </c>
      <c r="BS707" s="36">
        <f t="shared" si="171"/>
        <v>1.1916</v>
      </c>
      <c r="BT707" s="36">
        <f t="shared" si="172"/>
        <v>3.7115999999999998</v>
      </c>
      <c r="BU707" s="36">
        <f t="shared" si="173"/>
        <v>2.8860999999999999</v>
      </c>
      <c r="BV707" s="39">
        <f t="shared" si="174"/>
        <v>0.77758917986852027</v>
      </c>
      <c r="BW707" s="39">
        <f t="shared" si="175"/>
        <v>0.9989883662114315</v>
      </c>
      <c r="BX707" s="40">
        <f t="shared" si="176"/>
        <v>7.9805690492713386E-3</v>
      </c>
      <c r="BY707" s="40">
        <f t="shared" si="177"/>
        <v>6.939625260235947E-3</v>
      </c>
      <c r="BZ707" t="str">
        <f t="shared" si="178"/>
        <v>OK</v>
      </c>
      <c r="CA707">
        <f t="shared" si="179"/>
        <v>1</v>
      </c>
    </row>
    <row r="708" spans="1:80" x14ac:dyDescent="0.25">
      <c r="A708" s="35">
        <v>46248</v>
      </c>
      <c r="B708" s="36">
        <v>7.0968</v>
      </c>
      <c r="C708" t="s">
        <v>119</v>
      </c>
      <c r="D708" t="s">
        <v>6</v>
      </c>
      <c r="E708" t="s">
        <v>126</v>
      </c>
      <c r="F708" t="s">
        <v>149</v>
      </c>
      <c r="G708">
        <v>5777</v>
      </c>
      <c r="H708">
        <v>2140110642</v>
      </c>
      <c r="I708" t="s">
        <v>157</v>
      </c>
      <c r="J708" s="37">
        <v>11436</v>
      </c>
      <c r="K708" s="37">
        <v>10</v>
      </c>
      <c r="M708">
        <v>3954</v>
      </c>
      <c r="O708">
        <v>14</v>
      </c>
      <c r="P708">
        <v>17</v>
      </c>
      <c r="Q708">
        <v>2</v>
      </c>
      <c r="R708">
        <v>20</v>
      </c>
      <c r="T708">
        <v>5</v>
      </c>
      <c r="V708" t="s">
        <v>120</v>
      </c>
      <c r="Y708" s="38">
        <v>0.99583333333333335</v>
      </c>
      <c r="Z708" s="38">
        <v>0.29166666666666669</v>
      </c>
      <c r="AA708" t="s">
        <v>117</v>
      </c>
      <c r="AC708" t="s">
        <v>121</v>
      </c>
      <c r="AQ708">
        <v>0.1479</v>
      </c>
      <c r="AR708">
        <v>0.44359999999999999</v>
      </c>
      <c r="BI708">
        <v>0.39429999999999998</v>
      </c>
      <c r="BJ708">
        <v>0.73929999999999996</v>
      </c>
      <c r="BK708">
        <f>0</f>
        <v>0</v>
      </c>
      <c r="BL708">
        <f t="shared" si="165"/>
        <v>1.7250999999999999</v>
      </c>
      <c r="BM708">
        <f t="shared" si="166"/>
        <v>0</v>
      </c>
      <c r="BN708">
        <f t="shared" si="167"/>
        <v>0</v>
      </c>
      <c r="BO708">
        <f t="shared" si="168"/>
        <v>1</v>
      </c>
      <c r="BP708" s="37">
        <f>IF($F708="","",IFERROR(INDEX(Familias!$C$5:$C$300,MATCH($F708,Familias!$A$5:$A$300,0)),""))</f>
        <v>2740</v>
      </c>
      <c r="BQ708" s="37">
        <f t="shared" si="169"/>
        <v>11446</v>
      </c>
      <c r="BR708" s="36">
        <f t="shared" si="170"/>
        <v>7.0968</v>
      </c>
      <c r="BS708" s="36">
        <f t="shared" si="171"/>
        <v>1.7251000000000001</v>
      </c>
      <c r="BT708" s="36">
        <f t="shared" si="172"/>
        <v>5.3716999999999997</v>
      </c>
      <c r="BU708" s="36">
        <f t="shared" si="173"/>
        <v>4.1773999999999996</v>
      </c>
      <c r="BV708" s="39">
        <f t="shared" si="174"/>
        <v>0.77766814974775211</v>
      </c>
      <c r="BW708" s="39">
        <f t="shared" si="175"/>
        <v>0.9991263323431766</v>
      </c>
      <c r="BX708" s="40">
        <f t="shared" si="176"/>
        <v>1.2898330804248861E-2</v>
      </c>
      <c r="BY708" s="40">
        <f t="shared" si="177"/>
        <v>5.0581689428426911E-4</v>
      </c>
      <c r="BZ708" t="str">
        <f t="shared" si="178"/>
        <v>OK</v>
      </c>
      <c r="CA708">
        <f t="shared" si="179"/>
        <v>1</v>
      </c>
    </row>
    <row r="709" spans="1:80" x14ac:dyDescent="0.25">
      <c r="A709" s="35">
        <v>46249</v>
      </c>
      <c r="B709" s="36">
        <v>3.6086</v>
      </c>
      <c r="C709" t="s">
        <v>113</v>
      </c>
      <c r="D709" t="s">
        <v>6</v>
      </c>
      <c r="E709" t="s">
        <v>126</v>
      </c>
      <c r="F709" t="s">
        <v>149</v>
      </c>
      <c r="G709">
        <v>5777</v>
      </c>
      <c r="H709">
        <v>2140110642</v>
      </c>
      <c r="I709" t="s">
        <v>157</v>
      </c>
      <c r="J709" s="37">
        <v>6014</v>
      </c>
      <c r="K709" s="37">
        <v>0</v>
      </c>
      <c r="M709">
        <v>2058</v>
      </c>
      <c r="O709">
        <v>15</v>
      </c>
      <c r="P709">
        <v>9</v>
      </c>
      <c r="Q709">
        <v>31</v>
      </c>
      <c r="T709">
        <v>3</v>
      </c>
      <c r="V709" t="s">
        <v>116</v>
      </c>
      <c r="Y709" s="38">
        <v>0.29166666666666669</v>
      </c>
      <c r="Z709" s="38">
        <v>0.44236111111111109</v>
      </c>
      <c r="AA709" t="s">
        <v>117</v>
      </c>
      <c r="AC709" t="s">
        <v>136</v>
      </c>
      <c r="AQ709">
        <v>7.5200000000000003E-2</v>
      </c>
      <c r="AR709">
        <v>0.22550000000000001</v>
      </c>
      <c r="BI709">
        <v>0.1002</v>
      </c>
      <c r="BJ709">
        <v>0.15040000000000001</v>
      </c>
      <c r="BK709">
        <f>0</f>
        <v>0</v>
      </c>
      <c r="BL709">
        <f t="shared" si="165"/>
        <v>0.55130000000000001</v>
      </c>
      <c r="BM709">
        <f t="shared" si="166"/>
        <v>0</v>
      </c>
      <c r="BN709">
        <f t="shared" si="167"/>
        <v>0</v>
      </c>
      <c r="BO709">
        <f t="shared" si="168"/>
        <v>1</v>
      </c>
      <c r="BP709" s="37">
        <f>IF($F709="","",IFERROR(INDEX(Familias!$C$5:$C$300,MATCH($F709,Familias!$A$5:$A$300,0)),""))</f>
        <v>2740</v>
      </c>
      <c r="BQ709" s="37">
        <f t="shared" si="169"/>
        <v>6014</v>
      </c>
      <c r="BR709" s="36">
        <f t="shared" si="170"/>
        <v>3.6086</v>
      </c>
      <c r="BS709" s="36">
        <f t="shared" si="171"/>
        <v>0.55130000000000001</v>
      </c>
      <c r="BT709" s="36">
        <f t="shared" si="172"/>
        <v>3.0573000000000001</v>
      </c>
      <c r="BU709" s="36">
        <f t="shared" si="173"/>
        <v>2.1949000000000001</v>
      </c>
      <c r="BV709" s="39">
        <f t="shared" si="174"/>
        <v>0.71792104144179503</v>
      </c>
      <c r="BW709" s="39">
        <f t="shared" si="175"/>
        <v>1</v>
      </c>
      <c r="BX709" s="40">
        <f t="shared" si="176"/>
        <v>1.1661807580174927E-2</v>
      </c>
      <c r="BY709" s="40">
        <f t="shared" si="177"/>
        <v>1.5063168124392614E-2</v>
      </c>
      <c r="BZ709" t="str">
        <f t="shared" si="178"/>
        <v>OK</v>
      </c>
      <c r="CA709">
        <f t="shared" si="179"/>
        <v>1</v>
      </c>
    </row>
    <row r="710" spans="1:80" x14ac:dyDescent="0.25">
      <c r="A710" s="35">
        <v>46249</v>
      </c>
      <c r="B710" s="36">
        <v>5.2563000000000004</v>
      </c>
      <c r="C710" t="s">
        <v>113</v>
      </c>
      <c r="D710" t="s">
        <v>6</v>
      </c>
      <c r="E710" t="s">
        <v>126</v>
      </c>
      <c r="F710" t="s">
        <v>149</v>
      </c>
      <c r="G710">
        <v>5798</v>
      </c>
      <c r="H710">
        <v>2140110614</v>
      </c>
      <c r="I710" t="s">
        <v>156</v>
      </c>
      <c r="J710" s="37">
        <v>8750</v>
      </c>
      <c r="K710" s="37">
        <v>10</v>
      </c>
      <c r="M710">
        <v>2998</v>
      </c>
      <c r="O710">
        <v>35</v>
      </c>
      <c r="P710">
        <v>8</v>
      </c>
      <c r="Q710">
        <v>12</v>
      </c>
      <c r="T710">
        <v>3</v>
      </c>
      <c r="V710" t="s">
        <v>116</v>
      </c>
      <c r="Y710" s="38">
        <v>0.44236111111111109</v>
      </c>
      <c r="Z710" s="38">
        <v>0.66111111111111109</v>
      </c>
      <c r="AA710" t="s">
        <v>117</v>
      </c>
      <c r="AC710" t="s">
        <v>136</v>
      </c>
      <c r="AQ710">
        <v>0.1095</v>
      </c>
      <c r="AR710">
        <v>0.32850000000000001</v>
      </c>
      <c r="BI710">
        <v>0.14599999999999999</v>
      </c>
      <c r="BJ710">
        <v>0.219</v>
      </c>
      <c r="BK710">
        <f>0</f>
        <v>0</v>
      </c>
      <c r="BL710">
        <f t="shared" si="165"/>
        <v>0.80299999999999994</v>
      </c>
      <c r="BM710">
        <f t="shared" si="166"/>
        <v>0</v>
      </c>
      <c r="BN710">
        <f t="shared" si="167"/>
        <v>0</v>
      </c>
      <c r="BO710">
        <f t="shared" si="168"/>
        <v>1</v>
      </c>
      <c r="BP710" s="37">
        <f>IF($F710="","",IFERROR(INDEX(Familias!$C$5:$C$300,MATCH($F710,Familias!$A$5:$A$300,0)),""))</f>
        <v>2740</v>
      </c>
      <c r="BQ710" s="37">
        <f t="shared" si="169"/>
        <v>8760</v>
      </c>
      <c r="BR710" s="36">
        <f t="shared" si="170"/>
        <v>5.2563000000000004</v>
      </c>
      <c r="BS710" s="36">
        <f t="shared" si="171"/>
        <v>0.80300000000000005</v>
      </c>
      <c r="BT710" s="36">
        <f t="shared" si="172"/>
        <v>4.4532999999999996</v>
      </c>
      <c r="BU710" s="36">
        <f t="shared" si="173"/>
        <v>3.1970999999999998</v>
      </c>
      <c r="BV710" s="39">
        <f t="shared" si="174"/>
        <v>0.71791705027732244</v>
      </c>
      <c r="BW710" s="39">
        <f t="shared" si="175"/>
        <v>0.99885844748858443</v>
      </c>
      <c r="BX710" s="40">
        <f t="shared" si="176"/>
        <v>1.4342895263509006E-2</v>
      </c>
      <c r="BY710" s="40">
        <f t="shared" si="177"/>
        <v>4.0026684456304206E-3</v>
      </c>
      <c r="BZ710" t="str">
        <f t="shared" si="178"/>
        <v>OK</v>
      </c>
      <c r="CA710">
        <f t="shared" si="179"/>
        <v>1</v>
      </c>
    </row>
    <row r="711" spans="1:80" x14ac:dyDescent="0.25">
      <c r="A711" s="35">
        <v>46249</v>
      </c>
      <c r="B711" s="36">
        <v>3.1352000000000002</v>
      </c>
      <c r="C711" t="s">
        <v>113</v>
      </c>
      <c r="D711" t="s">
        <v>6</v>
      </c>
      <c r="E711" t="s">
        <v>126</v>
      </c>
      <c r="F711" t="s">
        <v>149</v>
      </c>
      <c r="G711">
        <v>5799</v>
      </c>
      <c r="H711">
        <v>2140110742</v>
      </c>
      <c r="I711" t="s">
        <v>258</v>
      </c>
      <c r="J711" s="37">
        <v>5225</v>
      </c>
      <c r="K711" s="37">
        <v>0</v>
      </c>
      <c r="M711">
        <v>1903</v>
      </c>
      <c r="P711">
        <v>11</v>
      </c>
      <c r="V711" t="s">
        <v>116</v>
      </c>
      <c r="Y711" s="38">
        <v>0.66111111111111109</v>
      </c>
      <c r="Z711" s="38">
        <v>0.79166666666666663</v>
      </c>
      <c r="AA711" t="s">
        <v>117</v>
      </c>
      <c r="AC711" t="s">
        <v>136</v>
      </c>
      <c r="AQ711">
        <v>6.5299999999999997E-2</v>
      </c>
      <c r="AR711">
        <v>0.19589999999999999</v>
      </c>
      <c r="BI711">
        <v>8.7099999999999997E-2</v>
      </c>
      <c r="BJ711">
        <v>0.13059999999999999</v>
      </c>
      <c r="BK711">
        <f>0</f>
        <v>0</v>
      </c>
      <c r="BL711">
        <f t="shared" si="165"/>
        <v>0.47889999999999999</v>
      </c>
      <c r="BM711">
        <f t="shared" si="166"/>
        <v>0</v>
      </c>
      <c r="BN711">
        <f t="shared" si="167"/>
        <v>0</v>
      </c>
      <c r="BO711">
        <f t="shared" si="168"/>
        <v>1</v>
      </c>
      <c r="BP711" s="37">
        <f>IF($F711="","",IFERROR(INDEX(Familias!$C$5:$C$300,MATCH($F711,Familias!$A$5:$A$300,0)),""))</f>
        <v>2740</v>
      </c>
      <c r="BQ711" s="37">
        <f t="shared" si="169"/>
        <v>5225</v>
      </c>
      <c r="BR711" s="36">
        <f t="shared" si="170"/>
        <v>3.1352000000000002</v>
      </c>
      <c r="BS711" s="36">
        <f t="shared" si="171"/>
        <v>0.47889999999999999</v>
      </c>
      <c r="BT711" s="36">
        <f t="shared" si="172"/>
        <v>2.6562999999999999</v>
      </c>
      <c r="BU711" s="36">
        <f t="shared" si="173"/>
        <v>1.9069</v>
      </c>
      <c r="BV711" s="39">
        <f t="shared" si="174"/>
        <v>0.71787825170349739</v>
      </c>
      <c r="BW711" s="39">
        <f t="shared" si="175"/>
        <v>1</v>
      </c>
      <c r="BX711" s="40">
        <f t="shared" si="176"/>
        <v>5.7803468208092483E-3</v>
      </c>
      <c r="BY711" s="40">
        <f t="shared" si="177"/>
        <v>0</v>
      </c>
      <c r="BZ711" t="str">
        <f t="shared" si="178"/>
        <v>OK</v>
      </c>
      <c r="CA711">
        <f t="shared" si="179"/>
        <v>1</v>
      </c>
    </row>
    <row r="712" spans="1:80" x14ac:dyDescent="0.25">
      <c r="A712" s="35">
        <v>46249</v>
      </c>
      <c r="B712" s="36">
        <v>4.2824999999999998</v>
      </c>
      <c r="C712" t="s">
        <v>119</v>
      </c>
      <c r="D712" t="s">
        <v>6</v>
      </c>
      <c r="E712" t="s">
        <v>126</v>
      </c>
      <c r="F712" t="s">
        <v>149</v>
      </c>
      <c r="G712">
        <v>5799</v>
      </c>
      <c r="H712">
        <v>2140110742</v>
      </c>
      <c r="I712" t="s">
        <v>258</v>
      </c>
      <c r="J712" s="37">
        <v>6225</v>
      </c>
      <c r="K712" s="37">
        <v>10</v>
      </c>
      <c r="M712">
        <v>2682</v>
      </c>
      <c r="Q712">
        <v>9</v>
      </c>
      <c r="V712" t="s">
        <v>120</v>
      </c>
      <c r="Y712" s="38">
        <v>0.79166666666666663</v>
      </c>
      <c r="Z712" s="38">
        <v>0.97013888888888888</v>
      </c>
      <c r="AA712" t="s">
        <v>117</v>
      </c>
      <c r="AC712" t="s">
        <v>136</v>
      </c>
      <c r="AQ712">
        <v>8.9200000000000002E-2</v>
      </c>
      <c r="AR712">
        <v>0.26769999999999999</v>
      </c>
      <c r="BC712">
        <v>0.50560000000000005</v>
      </c>
      <c r="BI712">
        <v>0.11899999999999999</v>
      </c>
      <c r="BJ712">
        <v>0.2379</v>
      </c>
      <c r="BK712">
        <f>0</f>
        <v>0</v>
      </c>
      <c r="BL712">
        <f t="shared" si="165"/>
        <v>1.2194</v>
      </c>
      <c r="BM712">
        <f t="shared" si="166"/>
        <v>0</v>
      </c>
      <c r="BN712">
        <f t="shared" si="167"/>
        <v>0</v>
      </c>
      <c r="BO712">
        <f t="shared" si="168"/>
        <v>1</v>
      </c>
      <c r="BP712" s="37">
        <f>IF($F712="","",IFERROR(INDEX(Familias!$C$5:$C$300,MATCH($F712,Familias!$A$5:$A$300,0)),""))</f>
        <v>2740</v>
      </c>
      <c r="BQ712" s="37">
        <f t="shared" si="169"/>
        <v>6235</v>
      </c>
      <c r="BR712" s="36">
        <f t="shared" si="170"/>
        <v>4.2824999999999998</v>
      </c>
      <c r="BS712" s="36">
        <f t="shared" si="171"/>
        <v>1.2194</v>
      </c>
      <c r="BT712" s="36">
        <f t="shared" si="172"/>
        <v>3.0630999999999999</v>
      </c>
      <c r="BU712" s="36">
        <f t="shared" si="173"/>
        <v>2.2755000000000001</v>
      </c>
      <c r="BV712" s="39">
        <f t="shared" si="174"/>
        <v>0.74287486533250635</v>
      </c>
      <c r="BW712" s="39">
        <f t="shared" si="175"/>
        <v>0.99839615076182842</v>
      </c>
      <c r="BX712" s="40">
        <f t="shared" si="176"/>
        <v>0</v>
      </c>
      <c r="BY712" s="40">
        <f t="shared" si="177"/>
        <v>3.3557046979865771E-3</v>
      </c>
      <c r="BZ712" t="str">
        <f t="shared" si="178"/>
        <v>OK</v>
      </c>
      <c r="CA712">
        <f t="shared" si="179"/>
        <v>1</v>
      </c>
    </row>
    <row r="713" spans="1:80" x14ac:dyDescent="0.25">
      <c r="A713" s="35">
        <v>46249</v>
      </c>
      <c r="B713" s="36">
        <v>3.8464</v>
      </c>
      <c r="C713" t="s">
        <v>119</v>
      </c>
      <c r="D713" t="s">
        <v>6</v>
      </c>
      <c r="E713" t="s">
        <v>126</v>
      </c>
      <c r="F713" t="s">
        <v>149</v>
      </c>
      <c r="G713">
        <v>5800</v>
      </c>
      <c r="H713">
        <v>2140110660</v>
      </c>
      <c r="I713" t="s">
        <v>155</v>
      </c>
      <c r="J713" s="37">
        <v>5600</v>
      </c>
      <c r="K713" s="37">
        <v>0</v>
      </c>
      <c r="M713">
        <v>2443</v>
      </c>
      <c r="O713">
        <v>40</v>
      </c>
      <c r="Q713">
        <v>9</v>
      </c>
      <c r="T713">
        <v>3</v>
      </c>
      <c r="V713" t="s">
        <v>120</v>
      </c>
      <c r="Y713" s="38">
        <v>0.97013888888888888</v>
      </c>
      <c r="Z713" s="38">
        <v>0.13055555555555559</v>
      </c>
      <c r="AA713" t="s">
        <v>117</v>
      </c>
      <c r="AC713" t="s">
        <v>136</v>
      </c>
      <c r="AQ713">
        <v>8.0100000000000005E-2</v>
      </c>
      <c r="AR713">
        <v>0.2404</v>
      </c>
      <c r="BC713">
        <v>0.4541</v>
      </c>
      <c r="BI713">
        <v>0.10680000000000001</v>
      </c>
      <c r="BJ713">
        <v>0.2137</v>
      </c>
      <c r="BK713">
        <f>0</f>
        <v>0</v>
      </c>
      <c r="BL713">
        <f t="shared" si="165"/>
        <v>1.0951</v>
      </c>
      <c r="BM713">
        <f t="shared" si="166"/>
        <v>0</v>
      </c>
      <c r="BN713">
        <f t="shared" si="167"/>
        <v>0</v>
      </c>
      <c r="BO713">
        <f t="shared" si="168"/>
        <v>1</v>
      </c>
      <c r="BP713" s="37">
        <f>IF($F713="","",IFERROR(INDEX(Familias!$C$5:$C$300,MATCH($F713,Familias!$A$5:$A$300,0)),""))</f>
        <v>2740</v>
      </c>
      <c r="BQ713" s="37">
        <f t="shared" si="169"/>
        <v>5600</v>
      </c>
      <c r="BR713" s="36">
        <f t="shared" si="170"/>
        <v>3.8464</v>
      </c>
      <c r="BS713" s="36">
        <f t="shared" si="171"/>
        <v>1.0951</v>
      </c>
      <c r="BT713" s="36">
        <f t="shared" si="172"/>
        <v>2.7513000000000001</v>
      </c>
      <c r="BU713" s="36">
        <f t="shared" si="173"/>
        <v>2.0438000000000001</v>
      </c>
      <c r="BV713" s="39">
        <f t="shared" si="174"/>
        <v>0.74284883509613642</v>
      </c>
      <c r="BW713" s="39">
        <f t="shared" si="175"/>
        <v>1</v>
      </c>
      <c r="BX713" s="40">
        <f t="shared" si="176"/>
        <v>1.6373311502251329E-2</v>
      </c>
      <c r="BY713" s="40">
        <f t="shared" si="177"/>
        <v>3.6839950880065493E-3</v>
      </c>
      <c r="BZ713" t="str">
        <f t="shared" si="178"/>
        <v>OK</v>
      </c>
      <c r="CA713">
        <f t="shared" si="179"/>
        <v>1</v>
      </c>
    </row>
    <row r="714" spans="1:80" x14ac:dyDescent="0.25">
      <c r="A714" s="35">
        <v>46249</v>
      </c>
      <c r="B714" s="36">
        <v>3.8711000000000002</v>
      </c>
      <c r="C714" t="s">
        <v>119</v>
      </c>
      <c r="D714" t="s">
        <v>6</v>
      </c>
      <c r="E714" t="s">
        <v>126</v>
      </c>
      <c r="F714" t="s">
        <v>149</v>
      </c>
      <c r="G714">
        <v>5801</v>
      </c>
      <c r="H714">
        <v>2140110655</v>
      </c>
      <c r="I714" t="s">
        <v>183</v>
      </c>
      <c r="J714" s="37">
        <v>5631</v>
      </c>
      <c r="K714" s="37">
        <v>5</v>
      </c>
      <c r="M714">
        <v>1868</v>
      </c>
      <c r="O714">
        <v>27</v>
      </c>
      <c r="Q714">
        <v>6</v>
      </c>
      <c r="T714">
        <v>2</v>
      </c>
      <c r="V714" t="s">
        <v>120</v>
      </c>
      <c r="Y714" s="38">
        <v>0.13055555555555559</v>
      </c>
      <c r="Z714" s="38">
        <v>0.29166666666666669</v>
      </c>
      <c r="AA714" t="s">
        <v>117</v>
      </c>
      <c r="AC714" t="s">
        <v>136</v>
      </c>
      <c r="AQ714">
        <v>8.0600000000000005E-2</v>
      </c>
      <c r="AR714">
        <v>0.2419</v>
      </c>
      <c r="BC714">
        <v>0.45700000000000002</v>
      </c>
      <c r="BI714">
        <v>0.1075</v>
      </c>
      <c r="BJ714">
        <v>0.21510000000000001</v>
      </c>
      <c r="BK714">
        <f>0</f>
        <v>0</v>
      </c>
      <c r="BL714">
        <f t="shared" si="165"/>
        <v>1.1021000000000001</v>
      </c>
      <c r="BM714">
        <f t="shared" si="166"/>
        <v>0</v>
      </c>
      <c r="BN714">
        <f t="shared" si="167"/>
        <v>0</v>
      </c>
      <c r="BO714">
        <f t="shared" si="168"/>
        <v>1</v>
      </c>
      <c r="BP714" s="37">
        <f>IF($F714="","",IFERROR(INDEX(Familias!$C$5:$C$300,MATCH($F714,Familias!$A$5:$A$300,0)),""))</f>
        <v>2740</v>
      </c>
      <c r="BQ714" s="37">
        <f t="shared" si="169"/>
        <v>5636</v>
      </c>
      <c r="BR714" s="36">
        <f t="shared" si="170"/>
        <v>3.8711000000000002</v>
      </c>
      <c r="BS714" s="36">
        <f t="shared" si="171"/>
        <v>1.1021000000000001</v>
      </c>
      <c r="BT714" s="36">
        <f t="shared" si="172"/>
        <v>2.7690000000000001</v>
      </c>
      <c r="BU714" s="36">
        <f t="shared" si="173"/>
        <v>2.0569000000000002</v>
      </c>
      <c r="BV714" s="39">
        <f t="shared" si="174"/>
        <v>0.74283134705669918</v>
      </c>
      <c r="BW714" s="39">
        <f t="shared" si="175"/>
        <v>0.99911284599006389</v>
      </c>
      <c r="BX714" s="40">
        <f t="shared" si="176"/>
        <v>1.4453961456102784E-2</v>
      </c>
      <c r="BY714" s="40">
        <f t="shared" si="177"/>
        <v>3.2119914346895075E-3</v>
      </c>
      <c r="BZ714" t="str">
        <f t="shared" si="178"/>
        <v>OK</v>
      </c>
      <c r="CA714">
        <f t="shared" si="179"/>
        <v>1</v>
      </c>
    </row>
    <row r="715" spans="1:80" x14ac:dyDescent="0.25">
      <c r="A715" s="35">
        <v>46251</v>
      </c>
      <c r="B715" s="36">
        <v>2.0607000000000002</v>
      </c>
      <c r="C715" t="s">
        <v>113</v>
      </c>
      <c r="D715" t="s">
        <v>6</v>
      </c>
      <c r="E715" t="s">
        <v>126</v>
      </c>
      <c r="F715" t="s">
        <v>149</v>
      </c>
      <c r="G715">
        <v>5801</v>
      </c>
      <c r="H715">
        <v>2140110655</v>
      </c>
      <c r="I715" t="s">
        <v>183</v>
      </c>
      <c r="J715" s="37">
        <v>3450</v>
      </c>
      <c r="K715" s="37"/>
      <c r="M715">
        <v>677</v>
      </c>
      <c r="O715">
        <v>24</v>
      </c>
      <c r="P715">
        <v>3</v>
      </c>
      <c r="T715">
        <v>1</v>
      </c>
      <c r="V715" t="s">
        <v>120</v>
      </c>
      <c r="Y715" s="38">
        <v>0.29166666666666669</v>
      </c>
      <c r="Z715" s="38">
        <v>0.37777777777777782</v>
      </c>
      <c r="AA715" t="s">
        <v>117</v>
      </c>
      <c r="AC715" t="s">
        <v>136</v>
      </c>
      <c r="AD715">
        <v>0.1145</v>
      </c>
      <c r="AQ715">
        <v>4.2900000000000001E-2</v>
      </c>
      <c r="AR715">
        <v>0.1288</v>
      </c>
      <c r="BJ715">
        <v>0.1145</v>
      </c>
      <c r="BK715">
        <f>0</f>
        <v>0</v>
      </c>
      <c r="BL715">
        <f t="shared" si="165"/>
        <v>0.4007</v>
      </c>
      <c r="BM715">
        <f t="shared" si="166"/>
        <v>0</v>
      </c>
      <c r="BN715">
        <f t="shared" si="167"/>
        <v>0</v>
      </c>
      <c r="BO715">
        <f t="shared" si="168"/>
        <v>1</v>
      </c>
      <c r="BP715" s="37">
        <f>IF($F715="","",IFERROR(INDEX(Familias!$C$5:$C$300,MATCH($F715,Familias!$A$5:$A$300,0)),""))</f>
        <v>2740</v>
      </c>
      <c r="BQ715" s="37">
        <f t="shared" si="169"/>
        <v>3450</v>
      </c>
      <c r="BR715" s="36">
        <f t="shared" si="170"/>
        <v>2.0607000000000002</v>
      </c>
      <c r="BS715" s="36">
        <f t="shared" si="171"/>
        <v>0.4007</v>
      </c>
      <c r="BT715" s="36">
        <f t="shared" si="172"/>
        <v>1.66</v>
      </c>
      <c r="BU715" s="36">
        <f t="shared" si="173"/>
        <v>1.2591000000000001</v>
      </c>
      <c r="BV715" s="39">
        <f t="shared" si="174"/>
        <v>0.75849397590361456</v>
      </c>
      <c r="BW715" s="39">
        <f t="shared" si="175"/>
        <v>1</v>
      </c>
      <c r="BX715" s="40">
        <f t="shared" si="176"/>
        <v>3.9881831610044313E-2</v>
      </c>
      <c r="BY715" s="40">
        <f t="shared" si="177"/>
        <v>0</v>
      </c>
      <c r="BZ715" t="str">
        <f t="shared" si="178"/>
        <v>OK</v>
      </c>
      <c r="CA715">
        <f t="shared" si="179"/>
        <v>1</v>
      </c>
    </row>
    <row r="716" spans="1:80" x14ac:dyDescent="0.25">
      <c r="A716" s="35">
        <v>46251</v>
      </c>
      <c r="B716" s="36">
        <v>7.1677</v>
      </c>
      <c r="C716" t="s">
        <v>113</v>
      </c>
      <c r="D716" t="s">
        <v>6</v>
      </c>
      <c r="E716" t="s">
        <v>126</v>
      </c>
      <c r="F716" t="s">
        <v>149</v>
      </c>
      <c r="G716">
        <v>5778</v>
      </c>
      <c r="H716">
        <v>2140110651</v>
      </c>
      <c r="I716" t="s">
        <v>189</v>
      </c>
      <c r="J716" s="37">
        <v>12000</v>
      </c>
      <c r="K716" s="37"/>
      <c r="M716">
        <v>4169</v>
      </c>
      <c r="O716">
        <v>39</v>
      </c>
      <c r="Q716">
        <v>15</v>
      </c>
      <c r="T716">
        <v>5</v>
      </c>
      <c r="V716" t="s">
        <v>120</v>
      </c>
      <c r="Y716" s="38">
        <v>0.37777777777777782</v>
      </c>
      <c r="Z716" s="38">
        <v>0.67638888888888893</v>
      </c>
      <c r="AA716" t="s">
        <v>117</v>
      </c>
      <c r="AC716" t="s">
        <v>136</v>
      </c>
      <c r="AD716">
        <v>0.3982</v>
      </c>
      <c r="AQ716">
        <v>0.14929999999999999</v>
      </c>
      <c r="AR716">
        <v>0.44800000000000001</v>
      </c>
      <c r="BJ716">
        <v>0.3982</v>
      </c>
      <c r="BK716">
        <f>0</f>
        <v>0</v>
      </c>
      <c r="BL716">
        <f t="shared" si="165"/>
        <v>1.3936999999999999</v>
      </c>
      <c r="BM716">
        <f t="shared" si="166"/>
        <v>0</v>
      </c>
      <c r="BN716">
        <f t="shared" si="167"/>
        <v>0</v>
      </c>
      <c r="BO716">
        <f t="shared" si="168"/>
        <v>1</v>
      </c>
      <c r="BP716" s="37">
        <f>IF($F716="","",IFERROR(INDEX(Familias!$C$5:$C$300,MATCH($F716,Familias!$A$5:$A$300,0)),""))</f>
        <v>2740</v>
      </c>
      <c r="BQ716" s="37">
        <f t="shared" si="169"/>
        <v>12000</v>
      </c>
      <c r="BR716" s="36">
        <f t="shared" si="170"/>
        <v>7.1677</v>
      </c>
      <c r="BS716" s="36">
        <f t="shared" si="171"/>
        <v>1.3936999999999999</v>
      </c>
      <c r="BT716" s="36">
        <f t="shared" si="172"/>
        <v>5.774</v>
      </c>
      <c r="BU716" s="36">
        <f t="shared" si="173"/>
        <v>4.3795999999999999</v>
      </c>
      <c r="BV716" s="39">
        <f t="shared" si="174"/>
        <v>0.75850363699341872</v>
      </c>
      <c r="BW716" s="39">
        <f t="shared" si="175"/>
        <v>1</v>
      </c>
      <c r="BX716" s="40">
        <f t="shared" si="176"/>
        <v>9.3547613336531551E-3</v>
      </c>
      <c r="BY716" s="40">
        <f t="shared" si="177"/>
        <v>3.597985128328136E-3</v>
      </c>
      <c r="BZ716" t="str">
        <f t="shared" si="178"/>
        <v>OK</v>
      </c>
      <c r="CA716">
        <f t="shared" si="179"/>
        <v>1</v>
      </c>
    </row>
    <row r="717" spans="1:80" x14ac:dyDescent="0.25">
      <c r="A717" s="35">
        <v>46251</v>
      </c>
      <c r="B717" s="36">
        <v>2.7715000000000001</v>
      </c>
      <c r="C717" t="s">
        <v>113</v>
      </c>
      <c r="D717" t="s">
        <v>6</v>
      </c>
      <c r="E717" t="s">
        <v>126</v>
      </c>
      <c r="F717" t="s">
        <v>149</v>
      </c>
      <c r="G717">
        <v>5813</v>
      </c>
      <c r="H717">
        <v>2140110736</v>
      </c>
      <c r="I717" t="s">
        <v>259</v>
      </c>
      <c r="J717" s="37">
        <v>4630</v>
      </c>
      <c r="K717" s="37">
        <v>10</v>
      </c>
      <c r="M717">
        <v>1530</v>
      </c>
      <c r="Q717">
        <v>6</v>
      </c>
      <c r="V717" t="s">
        <v>120</v>
      </c>
      <c r="Y717" s="38">
        <v>0.67638888888888893</v>
      </c>
      <c r="Z717" s="38">
        <v>0.79166666666666663</v>
      </c>
      <c r="AA717" t="s">
        <v>117</v>
      </c>
      <c r="AC717" t="s">
        <v>136</v>
      </c>
      <c r="AD717">
        <v>0.154</v>
      </c>
      <c r="AQ717">
        <v>5.7700000000000001E-2</v>
      </c>
      <c r="AR717">
        <v>0.17319999999999999</v>
      </c>
      <c r="BJ717">
        <v>0.154</v>
      </c>
      <c r="BK717">
        <f>0</f>
        <v>0</v>
      </c>
      <c r="BL717">
        <f t="shared" si="165"/>
        <v>0.53890000000000005</v>
      </c>
      <c r="BM717">
        <f t="shared" si="166"/>
        <v>0</v>
      </c>
      <c r="BN717">
        <f t="shared" si="167"/>
        <v>0</v>
      </c>
      <c r="BO717">
        <f t="shared" si="168"/>
        <v>1</v>
      </c>
      <c r="BP717" s="37">
        <f>IF($F717="","",IFERROR(INDEX(Familias!$C$5:$C$300,MATCH($F717,Familias!$A$5:$A$300,0)),""))</f>
        <v>2740</v>
      </c>
      <c r="BQ717" s="37">
        <f t="shared" si="169"/>
        <v>4640</v>
      </c>
      <c r="BR717" s="36">
        <f t="shared" si="170"/>
        <v>2.7715000000000001</v>
      </c>
      <c r="BS717" s="36">
        <f t="shared" si="171"/>
        <v>0.53890000000000005</v>
      </c>
      <c r="BT717" s="36">
        <f t="shared" si="172"/>
        <v>2.2326000000000001</v>
      </c>
      <c r="BU717" s="36">
        <f t="shared" si="173"/>
        <v>1.6934</v>
      </c>
      <c r="BV717" s="39">
        <f t="shared" si="174"/>
        <v>0.75848786168592663</v>
      </c>
      <c r="BW717" s="39">
        <f t="shared" si="175"/>
        <v>0.99784482758620685</v>
      </c>
      <c r="BX717" s="40">
        <f t="shared" si="176"/>
        <v>0</v>
      </c>
      <c r="BY717" s="40">
        <f t="shared" si="177"/>
        <v>3.9215686274509803E-3</v>
      </c>
      <c r="BZ717" t="str">
        <f t="shared" si="178"/>
        <v>OK</v>
      </c>
      <c r="CA717">
        <f t="shared" si="179"/>
        <v>1</v>
      </c>
    </row>
    <row r="718" spans="1:80" x14ac:dyDescent="0.25">
      <c r="A718" s="35">
        <v>46252</v>
      </c>
      <c r="B718" s="36">
        <v>5.7263000000000002</v>
      </c>
      <c r="C718" t="s">
        <v>119</v>
      </c>
      <c r="D718" t="s">
        <v>6</v>
      </c>
      <c r="E718" t="s">
        <v>126</v>
      </c>
      <c r="F718" t="s">
        <v>149</v>
      </c>
      <c r="G718">
        <v>5810</v>
      </c>
      <c r="H718">
        <v>2140110616</v>
      </c>
      <c r="I718" t="s">
        <v>182</v>
      </c>
      <c r="J718" s="37">
        <v>6047</v>
      </c>
      <c r="K718" s="37">
        <v>0</v>
      </c>
      <c r="M718">
        <v>2039</v>
      </c>
      <c r="O718">
        <v>17</v>
      </c>
      <c r="P718">
        <v>14</v>
      </c>
      <c r="T718">
        <v>3</v>
      </c>
      <c r="V718" t="s">
        <v>116</v>
      </c>
      <c r="Y718" s="38">
        <v>0.79166666666666663</v>
      </c>
      <c r="Z718" s="38">
        <v>3.0555555555555551E-2</v>
      </c>
      <c r="AA718" t="s">
        <v>117</v>
      </c>
      <c r="AC718" t="s">
        <v>121</v>
      </c>
      <c r="AQ718">
        <v>0.1193</v>
      </c>
      <c r="AR718">
        <v>0.3579</v>
      </c>
      <c r="BJ718">
        <v>2.5449999999999999</v>
      </c>
      <c r="BK718">
        <f>0</f>
        <v>0</v>
      </c>
      <c r="BL718">
        <f t="shared" si="165"/>
        <v>3.0221999999999998</v>
      </c>
      <c r="BM718">
        <f t="shared" si="166"/>
        <v>0</v>
      </c>
      <c r="BN718">
        <f t="shared" si="167"/>
        <v>0</v>
      </c>
      <c r="BO718">
        <f t="shared" si="168"/>
        <v>1</v>
      </c>
      <c r="BP718" s="37">
        <f>IF($F718="","",IFERROR(INDEX(Familias!$C$5:$C$300,MATCH($F718,Familias!$A$5:$A$300,0)),""))</f>
        <v>2740</v>
      </c>
      <c r="BQ718" s="37">
        <f t="shared" si="169"/>
        <v>6047</v>
      </c>
      <c r="BR718" s="36">
        <f t="shared" si="170"/>
        <v>5.7263000000000002</v>
      </c>
      <c r="BS718" s="36">
        <f t="shared" si="171"/>
        <v>3.0222000000000002</v>
      </c>
      <c r="BT718" s="36">
        <f t="shared" si="172"/>
        <v>2.7040999999999999</v>
      </c>
      <c r="BU718" s="36">
        <f t="shared" si="173"/>
        <v>2.2069000000000001</v>
      </c>
      <c r="BV718" s="39">
        <f t="shared" si="174"/>
        <v>0.816131060241855</v>
      </c>
      <c r="BW718" s="39">
        <f t="shared" si="175"/>
        <v>1</v>
      </c>
      <c r="BX718" s="40">
        <f t="shared" si="176"/>
        <v>1.5203531142717018E-2</v>
      </c>
      <c r="BY718" s="40">
        <f t="shared" si="177"/>
        <v>0</v>
      </c>
      <c r="BZ718" t="str">
        <f t="shared" si="178"/>
        <v>OK</v>
      </c>
      <c r="CA718">
        <f t="shared" si="179"/>
        <v>1</v>
      </c>
    </row>
    <row r="719" spans="1:80" x14ac:dyDescent="0.25">
      <c r="A719" s="35">
        <v>46252</v>
      </c>
      <c r="B719" s="36">
        <v>6.2736999999999998</v>
      </c>
      <c r="C719" t="s">
        <v>119</v>
      </c>
      <c r="D719" t="s">
        <v>6</v>
      </c>
      <c r="E719" t="s">
        <v>126</v>
      </c>
      <c r="F719" t="s">
        <v>149</v>
      </c>
      <c r="G719">
        <v>5813</v>
      </c>
      <c r="H719">
        <v>2140110736</v>
      </c>
      <c r="I719" t="s">
        <v>259</v>
      </c>
      <c r="J719" s="37">
        <v>6625</v>
      </c>
      <c r="K719" s="37">
        <v>0</v>
      </c>
      <c r="M719">
        <v>1768</v>
      </c>
      <c r="P719">
        <v>9</v>
      </c>
      <c r="V719" t="s">
        <v>116</v>
      </c>
      <c r="Y719" s="38">
        <v>3.0555555555555551E-2</v>
      </c>
      <c r="Z719" s="38">
        <v>0.29166666666666669</v>
      </c>
      <c r="AA719" t="s">
        <v>117</v>
      </c>
      <c r="AC719" t="s">
        <v>121</v>
      </c>
      <c r="AQ719">
        <v>0.13070000000000001</v>
      </c>
      <c r="AR719">
        <v>0.3921</v>
      </c>
      <c r="BJ719">
        <v>2.7883</v>
      </c>
      <c r="BK719">
        <f>0</f>
        <v>0</v>
      </c>
      <c r="BL719">
        <f t="shared" si="165"/>
        <v>3.3111000000000002</v>
      </c>
      <c r="BM719">
        <f t="shared" si="166"/>
        <v>0</v>
      </c>
      <c r="BN719">
        <f t="shared" si="167"/>
        <v>0</v>
      </c>
      <c r="BO719">
        <f t="shared" si="168"/>
        <v>1</v>
      </c>
      <c r="BP719" s="37">
        <f>IF($F719="","",IFERROR(INDEX(Familias!$C$5:$C$300,MATCH($F719,Familias!$A$5:$A$300,0)),""))</f>
        <v>2740</v>
      </c>
      <c r="BQ719" s="37">
        <f t="shared" si="169"/>
        <v>6625</v>
      </c>
      <c r="BR719" s="36">
        <f t="shared" si="170"/>
        <v>6.2736999999999998</v>
      </c>
      <c r="BS719" s="36">
        <f t="shared" si="171"/>
        <v>3.3111000000000002</v>
      </c>
      <c r="BT719" s="36">
        <f t="shared" si="172"/>
        <v>2.9626000000000001</v>
      </c>
      <c r="BU719" s="36">
        <f t="shared" si="173"/>
        <v>2.4178999999999999</v>
      </c>
      <c r="BV719" s="39">
        <f t="shared" si="174"/>
        <v>0.81614122730034422</v>
      </c>
      <c r="BW719" s="39">
        <f t="shared" si="175"/>
        <v>1</v>
      </c>
      <c r="BX719" s="40">
        <f t="shared" si="176"/>
        <v>5.0904977375565612E-3</v>
      </c>
      <c r="BY719" s="40">
        <f t="shared" si="177"/>
        <v>0</v>
      </c>
      <c r="BZ719" t="str">
        <f t="shared" si="178"/>
        <v>OK</v>
      </c>
      <c r="CA719">
        <f t="shared" si="179"/>
        <v>1</v>
      </c>
    </row>
    <row r="720" spans="1:80" x14ac:dyDescent="0.25">
      <c r="A720" s="35">
        <v>46253</v>
      </c>
      <c r="B720" s="36">
        <v>0.67420000000000002</v>
      </c>
      <c r="C720" t="s">
        <v>113</v>
      </c>
      <c r="D720" t="s">
        <v>6</v>
      </c>
      <c r="E720" t="s">
        <v>126</v>
      </c>
      <c r="F720" t="s">
        <v>149</v>
      </c>
      <c r="G720">
        <v>5810</v>
      </c>
      <c r="H720">
        <v>2140110616</v>
      </c>
      <c r="I720" t="s">
        <v>182</v>
      </c>
      <c r="J720" s="37">
        <v>825</v>
      </c>
      <c r="K720" s="37"/>
      <c r="M720">
        <v>166</v>
      </c>
      <c r="T720">
        <v>0</v>
      </c>
      <c r="V720" t="s">
        <v>120</v>
      </c>
      <c r="Y720" s="38">
        <v>0.29166666666666669</v>
      </c>
      <c r="Z720" s="38">
        <v>0.31944444444444442</v>
      </c>
      <c r="AA720" t="s">
        <v>117</v>
      </c>
      <c r="AC720" t="s">
        <v>136</v>
      </c>
      <c r="AF720">
        <v>1.4E-2</v>
      </c>
      <c r="AG720">
        <v>4.2099999999999999E-2</v>
      </c>
      <c r="AQ720">
        <v>1.4E-2</v>
      </c>
      <c r="AR720">
        <v>4.2099999999999999E-2</v>
      </c>
      <c r="BC720">
        <v>1.8700000000000001E-2</v>
      </c>
      <c r="BJ720">
        <v>4.6800000000000001E-2</v>
      </c>
      <c r="BK720">
        <f>0</f>
        <v>0</v>
      </c>
      <c r="BL720">
        <f t="shared" si="165"/>
        <v>0.1777</v>
      </c>
      <c r="BM720">
        <f t="shared" si="166"/>
        <v>0</v>
      </c>
      <c r="BN720">
        <f t="shared" si="167"/>
        <v>0</v>
      </c>
      <c r="BO720">
        <f t="shared" si="168"/>
        <v>1</v>
      </c>
      <c r="BP720" s="37">
        <f>IF($F720="","",IFERROR(INDEX(Familias!$C$5:$C$300,MATCH($F720,Familias!$A$5:$A$300,0)),""))</f>
        <v>2740</v>
      </c>
      <c r="BQ720" s="37">
        <f t="shared" si="169"/>
        <v>825</v>
      </c>
      <c r="BR720" s="36">
        <f t="shared" si="170"/>
        <v>0.67420000000000002</v>
      </c>
      <c r="BS720" s="36">
        <f t="shared" si="171"/>
        <v>0.1777</v>
      </c>
      <c r="BT720" s="36">
        <f t="shared" si="172"/>
        <v>0.4965</v>
      </c>
      <c r="BU720" s="36">
        <f t="shared" si="173"/>
        <v>0.30109999999999998</v>
      </c>
      <c r="BV720" s="39">
        <f t="shared" si="174"/>
        <v>0.60644511581067473</v>
      </c>
      <c r="BW720" s="39">
        <f t="shared" si="175"/>
        <v>1</v>
      </c>
      <c r="BX720" s="40">
        <f t="shared" si="176"/>
        <v>0</v>
      </c>
      <c r="BY720" s="40">
        <f t="shared" si="177"/>
        <v>0</v>
      </c>
      <c r="BZ720" t="str">
        <f t="shared" si="178"/>
        <v>OK</v>
      </c>
      <c r="CA720">
        <f t="shared" si="179"/>
        <v>1</v>
      </c>
    </row>
    <row r="721" spans="1:80" x14ac:dyDescent="0.25">
      <c r="A721" s="35">
        <v>46253</v>
      </c>
      <c r="B721" s="36">
        <v>4.5151000000000003</v>
      </c>
      <c r="C721" t="s">
        <v>113</v>
      </c>
      <c r="D721" t="s">
        <v>6</v>
      </c>
      <c r="E721" t="s">
        <v>126</v>
      </c>
      <c r="F721" t="s">
        <v>149</v>
      </c>
      <c r="G721">
        <v>5801</v>
      </c>
      <c r="H721">
        <v>2140110655</v>
      </c>
      <c r="I721" t="s">
        <v>183</v>
      </c>
      <c r="J721" s="37">
        <v>5525</v>
      </c>
      <c r="K721" s="37"/>
      <c r="M721">
        <v>2721</v>
      </c>
      <c r="O721">
        <v>24</v>
      </c>
      <c r="Q721">
        <v>9</v>
      </c>
      <c r="T721">
        <v>3</v>
      </c>
      <c r="V721" t="s">
        <v>120</v>
      </c>
      <c r="Y721" s="38">
        <v>0.31944444444444442</v>
      </c>
      <c r="Z721" s="38">
        <v>0.50763888888888886</v>
      </c>
      <c r="AA721" t="s">
        <v>117</v>
      </c>
      <c r="AC721" t="s">
        <v>136</v>
      </c>
      <c r="AF721">
        <v>9.4100000000000003E-2</v>
      </c>
      <c r="AG721">
        <v>0.28220000000000001</v>
      </c>
      <c r="AQ721">
        <v>9.4100000000000003E-2</v>
      </c>
      <c r="AR721">
        <v>0.28220000000000001</v>
      </c>
      <c r="BC721">
        <v>0.12540000000000001</v>
      </c>
      <c r="BJ721">
        <v>0.3135</v>
      </c>
      <c r="BK721">
        <f>0</f>
        <v>0</v>
      </c>
      <c r="BL721">
        <f t="shared" si="165"/>
        <v>1.1915</v>
      </c>
      <c r="BM721">
        <f t="shared" si="166"/>
        <v>0</v>
      </c>
      <c r="BN721">
        <f t="shared" si="167"/>
        <v>0</v>
      </c>
      <c r="BO721">
        <f t="shared" si="168"/>
        <v>1</v>
      </c>
      <c r="BP721" s="37">
        <f>IF($F721="","",IFERROR(INDEX(Familias!$C$5:$C$300,MATCH($F721,Familias!$A$5:$A$300,0)),""))</f>
        <v>2740</v>
      </c>
      <c r="BQ721" s="37">
        <f t="shared" si="169"/>
        <v>5525</v>
      </c>
      <c r="BR721" s="36">
        <f t="shared" si="170"/>
        <v>4.5151000000000003</v>
      </c>
      <c r="BS721" s="36">
        <f t="shared" si="171"/>
        <v>1.1915</v>
      </c>
      <c r="BT721" s="36">
        <f t="shared" si="172"/>
        <v>3.3235999999999999</v>
      </c>
      <c r="BU721" s="36">
        <f t="shared" si="173"/>
        <v>2.0164</v>
      </c>
      <c r="BV721" s="39">
        <f t="shared" si="174"/>
        <v>0.60669153929474062</v>
      </c>
      <c r="BW721" s="39">
        <f t="shared" si="175"/>
        <v>1</v>
      </c>
      <c r="BX721" s="40">
        <f t="shared" si="176"/>
        <v>8.8202866593164279E-3</v>
      </c>
      <c r="BY721" s="40">
        <f t="shared" si="177"/>
        <v>3.3076074972436605E-3</v>
      </c>
      <c r="BZ721" t="str">
        <f t="shared" si="178"/>
        <v>OK</v>
      </c>
      <c r="CA721">
        <f t="shared" si="179"/>
        <v>1</v>
      </c>
    </row>
    <row r="722" spans="1:80" x14ac:dyDescent="0.25">
      <c r="A722" s="35">
        <v>46253</v>
      </c>
      <c r="B722" s="36">
        <v>6.8106999999999998</v>
      </c>
      <c r="C722" t="s">
        <v>113</v>
      </c>
      <c r="D722" t="s">
        <v>6</v>
      </c>
      <c r="E722" t="s">
        <v>126</v>
      </c>
      <c r="F722" t="s">
        <v>149</v>
      </c>
      <c r="G722">
        <v>5647</v>
      </c>
      <c r="H722">
        <v>2140110662</v>
      </c>
      <c r="I722" t="s">
        <v>160</v>
      </c>
      <c r="J722" s="37">
        <v>8331</v>
      </c>
      <c r="K722" s="37">
        <v>3</v>
      </c>
      <c r="O722">
        <v>54</v>
      </c>
      <c r="Q722">
        <v>21</v>
      </c>
      <c r="V722" t="s">
        <v>120</v>
      </c>
      <c r="Y722" s="38">
        <v>0.50763888888888886</v>
      </c>
      <c r="Z722" s="38">
        <v>0.79166666666666663</v>
      </c>
      <c r="AA722" t="s">
        <v>117</v>
      </c>
      <c r="AC722" t="s">
        <v>136</v>
      </c>
      <c r="AF722">
        <v>0.1419</v>
      </c>
      <c r="AG722">
        <v>0.42570000000000002</v>
      </c>
      <c r="AQ722">
        <v>0.1419</v>
      </c>
      <c r="AR722">
        <v>0.42570000000000002</v>
      </c>
      <c r="BC722">
        <v>0.18920000000000001</v>
      </c>
      <c r="BJ722">
        <v>0.47299999999999998</v>
      </c>
      <c r="BK722">
        <f>0</f>
        <v>0</v>
      </c>
      <c r="BL722">
        <f t="shared" si="165"/>
        <v>1.7974000000000001</v>
      </c>
      <c r="BM722">
        <f t="shared" si="166"/>
        <v>0</v>
      </c>
      <c r="BN722">
        <f t="shared" si="167"/>
        <v>0</v>
      </c>
      <c r="BO722">
        <f t="shared" si="168"/>
        <v>1</v>
      </c>
      <c r="BP722" s="37">
        <f>IF($F722="","",IFERROR(INDEX(Familias!$C$5:$C$300,MATCH($F722,Familias!$A$5:$A$300,0)),""))</f>
        <v>2740</v>
      </c>
      <c r="BQ722" s="37">
        <f t="shared" si="169"/>
        <v>8334</v>
      </c>
      <c r="BR722" s="36">
        <f t="shared" si="170"/>
        <v>6.8106999999999998</v>
      </c>
      <c r="BS722" s="36">
        <f t="shared" si="171"/>
        <v>1.7974000000000001</v>
      </c>
      <c r="BT722" s="36">
        <f t="shared" si="172"/>
        <v>5.0133000000000001</v>
      </c>
      <c r="BU722" s="36">
        <f t="shared" si="173"/>
        <v>3.0415999999999999</v>
      </c>
      <c r="BV722" s="39">
        <f t="shared" si="174"/>
        <v>0.60670616161011703</v>
      </c>
      <c r="BW722" s="39">
        <f t="shared" si="175"/>
        <v>0.9996400287976962</v>
      </c>
      <c r="BX722" s="40" t="str">
        <f t="shared" si="176"/>
        <v/>
      </c>
      <c r="BY722" s="40" t="str">
        <f t="shared" si="177"/>
        <v/>
      </c>
      <c r="BZ722" t="str">
        <f t="shared" si="178"/>
        <v>OK</v>
      </c>
      <c r="CA722">
        <f t="shared" si="179"/>
        <v>1</v>
      </c>
    </row>
    <row r="723" spans="1:80" x14ac:dyDescent="0.25">
      <c r="A723" s="35">
        <v>46253</v>
      </c>
      <c r="B723" s="36">
        <v>2.1429999999999998</v>
      </c>
      <c r="C723" t="s">
        <v>119</v>
      </c>
      <c r="D723" t="s">
        <v>6</v>
      </c>
      <c r="E723" t="s">
        <v>126</v>
      </c>
      <c r="F723" t="s">
        <v>149</v>
      </c>
      <c r="G723">
        <v>5647</v>
      </c>
      <c r="H723">
        <v>2140110662</v>
      </c>
      <c r="I723" t="s">
        <v>160</v>
      </c>
      <c r="J723" s="37">
        <v>2925</v>
      </c>
      <c r="K723" s="37"/>
      <c r="M723">
        <v>1000</v>
      </c>
      <c r="T723">
        <v>1</v>
      </c>
      <c r="V723" t="s">
        <v>116</v>
      </c>
      <c r="Y723" s="38">
        <v>0.79166666666666663</v>
      </c>
      <c r="Z723" s="38">
        <v>0.88124999999999998</v>
      </c>
      <c r="AA723" t="s">
        <v>117</v>
      </c>
      <c r="AC723" t="s">
        <v>136</v>
      </c>
      <c r="AE723">
        <v>0.17860000000000001</v>
      </c>
      <c r="AQ723">
        <v>4.4600000000000001E-2</v>
      </c>
      <c r="AR723">
        <v>0.13389999999999999</v>
      </c>
      <c r="BI723">
        <v>5.9499999999999997E-2</v>
      </c>
      <c r="BJ723">
        <v>4.1700000000000001E-2</v>
      </c>
      <c r="BK723">
        <f>0</f>
        <v>0</v>
      </c>
      <c r="BL723">
        <f t="shared" si="165"/>
        <v>0.45829999999999999</v>
      </c>
      <c r="BM723">
        <f t="shared" si="166"/>
        <v>0</v>
      </c>
      <c r="BN723">
        <f t="shared" si="167"/>
        <v>0</v>
      </c>
      <c r="BO723">
        <f t="shared" si="168"/>
        <v>1</v>
      </c>
      <c r="BP723" s="37">
        <f>IF($F723="","",IFERROR(INDEX(Familias!$C$5:$C$300,MATCH($F723,Familias!$A$5:$A$300,0)),""))</f>
        <v>2740</v>
      </c>
      <c r="BQ723" s="37">
        <f t="shared" si="169"/>
        <v>2925</v>
      </c>
      <c r="BR723" s="36">
        <f t="shared" si="170"/>
        <v>2.1429999999999998</v>
      </c>
      <c r="BS723" s="36">
        <f t="shared" si="171"/>
        <v>0.45829999999999999</v>
      </c>
      <c r="BT723" s="36">
        <f t="shared" si="172"/>
        <v>1.6847000000000001</v>
      </c>
      <c r="BU723" s="36">
        <f t="shared" si="173"/>
        <v>1.0674999999999999</v>
      </c>
      <c r="BV723" s="39">
        <f t="shared" si="174"/>
        <v>0.63364397222057334</v>
      </c>
      <c r="BW723" s="39">
        <f t="shared" si="175"/>
        <v>1</v>
      </c>
      <c r="BX723" s="40">
        <f t="shared" si="176"/>
        <v>0</v>
      </c>
      <c r="BY723" s="40">
        <f t="shared" si="177"/>
        <v>0</v>
      </c>
      <c r="BZ723" t="str">
        <f t="shared" si="178"/>
        <v>OK</v>
      </c>
      <c r="CA723">
        <f t="shared" si="179"/>
        <v>1</v>
      </c>
    </row>
    <row r="724" spans="1:80" x14ac:dyDescent="0.25">
      <c r="A724" s="35">
        <v>46253</v>
      </c>
      <c r="B724" s="36">
        <v>8.5015000000000001</v>
      </c>
      <c r="C724" t="s">
        <v>119</v>
      </c>
      <c r="D724" t="s">
        <v>6</v>
      </c>
      <c r="E724" t="s">
        <v>126</v>
      </c>
      <c r="F724" t="s">
        <v>133</v>
      </c>
      <c r="G724">
        <v>5802</v>
      </c>
      <c r="H724">
        <v>2140110604</v>
      </c>
      <c r="I724" t="s">
        <v>139</v>
      </c>
      <c r="J724" s="37">
        <v>9825</v>
      </c>
      <c r="K724" s="37"/>
      <c r="M724">
        <v>3494</v>
      </c>
      <c r="O724">
        <v>80</v>
      </c>
      <c r="P724">
        <v>12</v>
      </c>
      <c r="Q724">
        <v>27</v>
      </c>
      <c r="R724">
        <v>40</v>
      </c>
      <c r="T724">
        <v>5</v>
      </c>
      <c r="V724" t="s">
        <v>116</v>
      </c>
      <c r="Y724" s="38">
        <v>0.88124999999999998</v>
      </c>
      <c r="Z724" s="38">
        <v>0.23541666666666669</v>
      </c>
      <c r="AA724" t="s">
        <v>117</v>
      </c>
      <c r="AC724" t="s">
        <v>136</v>
      </c>
      <c r="AE724">
        <v>0.70850000000000002</v>
      </c>
      <c r="AQ724">
        <v>0.17710000000000001</v>
      </c>
      <c r="AR724">
        <v>0.53129999999999999</v>
      </c>
      <c r="BI724">
        <v>0.23619999999999999</v>
      </c>
      <c r="BJ724">
        <v>0.1653</v>
      </c>
      <c r="BK724">
        <f>0</f>
        <v>0</v>
      </c>
      <c r="BL724">
        <f t="shared" si="165"/>
        <v>1.8184</v>
      </c>
      <c r="BM724">
        <f t="shared" si="166"/>
        <v>0</v>
      </c>
      <c r="BN724">
        <f t="shared" si="167"/>
        <v>0</v>
      </c>
      <c r="BO724">
        <f t="shared" si="168"/>
        <v>1</v>
      </c>
      <c r="BP724" s="37">
        <f>IF($F724="","",IFERROR(INDEX(Familias!$C$5:$C$300,MATCH($F724,Familias!$A$5:$A$300,0)),""))</f>
        <v>2320</v>
      </c>
      <c r="BQ724" s="37">
        <f t="shared" si="169"/>
        <v>9825</v>
      </c>
      <c r="BR724" s="36">
        <f t="shared" si="170"/>
        <v>8.5015000000000001</v>
      </c>
      <c r="BS724" s="36">
        <f t="shared" si="171"/>
        <v>1.8184</v>
      </c>
      <c r="BT724" s="36">
        <f t="shared" si="172"/>
        <v>6.6830999999999996</v>
      </c>
      <c r="BU724" s="36">
        <f t="shared" si="173"/>
        <v>4.2348999999999997</v>
      </c>
      <c r="BV724" s="39">
        <f t="shared" si="174"/>
        <v>0.63367299606470051</v>
      </c>
      <c r="BW724" s="39">
        <f t="shared" si="175"/>
        <v>1</v>
      </c>
      <c r="BX724" s="40">
        <f t="shared" si="176"/>
        <v>3.7779049799656551E-2</v>
      </c>
      <c r="BY724" s="40">
        <f t="shared" si="177"/>
        <v>7.727532913566113E-3</v>
      </c>
      <c r="BZ724" t="str">
        <f t="shared" si="178"/>
        <v>OK</v>
      </c>
      <c r="CA724">
        <f t="shared" si="179"/>
        <v>1</v>
      </c>
    </row>
    <row r="725" spans="1:80" x14ac:dyDescent="0.25">
      <c r="A725" s="35">
        <v>46253</v>
      </c>
      <c r="B725" s="36">
        <v>1.3553999999999999</v>
      </c>
      <c r="C725" t="s">
        <v>119</v>
      </c>
      <c r="D725" t="s">
        <v>6</v>
      </c>
      <c r="E725" t="s">
        <v>126</v>
      </c>
      <c r="F725" t="s">
        <v>149</v>
      </c>
      <c r="G725">
        <v>5650</v>
      </c>
      <c r="H725">
        <v>2140110652</v>
      </c>
      <c r="I725" t="s">
        <v>174</v>
      </c>
      <c r="J725" s="37">
        <v>1850</v>
      </c>
      <c r="K725" s="37"/>
      <c r="M725">
        <v>595</v>
      </c>
      <c r="O725">
        <v>5</v>
      </c>
      <c r="T725">
        <v>0</v>
      </c>
      <c r="V725" t="s">
        <v>116</v>
      </c>
      <c r="Y725" s="38">
        <v>0.23541666666666669</v>
      </c>
      <c r="Z725" s="38">
        <v>0.29166666666666669</v>
      </c>
      <c r="AA725" t="s">
        <v>117</v>
      </c>
      <c r="AC725" t="s">
        <v>136</v>
      </c>
      <c r="AE725">
        <v>0.113</v>
      </c>
      <c r="AQ725">
        <v>2.8199999999999999E-2</v>
      </c>
      <c r="AR725">
        <v>8.4699999999999998E-2</v>
      </c>
      <c r="BI725">
        <v>3.7699999999999997E-2</v>
      </c>
      <c r="BJ725">
        <v>2.64E-2</v>
      </c>
      <c r="BK725">
        <f>0</f>
        <v>0</v>
      </c>
      <c r="BL725">
        <f t="shared" si="165"/>
        <v>0.28999999999999998</v>
      </c>
      <c r="BM725">
        <f t="shared" si="166"/>
        <v>0</v>
      </c>
      <c r="BN725">
        <f t="shared" si="167"/>
        <v>0</v>
      </c>
      <c r="BO725">
        <f t="shared" si="168"/>
        <v>1</v>
      </c>
      <c r="BP725" s="37">
        <f>IF($F725="","",IFERROR(INDEX(Familias!$C$5:$C$300,MATCH($F725,Familias!$A$5:$A$300,0)),""))</f>
        <v>2740</v>
      </c>
      <c r="BQ725" s="37">
        <f t="shared" si="169"/>
        <v>1850</v>
      </c>
      <c r="BR725" s="36">
        <f t="shared" si="170"/>
        <v>1.3553999999999999</v>
      </c>
      <c r="BS725" s="36">
        <f t="shared" si="171"/>
        <v>0.28999999999999998</v>
      </c>
      <c r="BT725" s="36">
        <f t="shared" si="172"/>
        <v>1.0653999999999999</v>
      </c>
      <c r="BU725" s="36">
        <f t="shared" si="173"/>
        <v>0.67520000000000002</v>
      </c>
      <c r="BV725" s="39">
        <f t="shared" si="174"/>
        <v>0.63375258119016342</v>
      </c>
      <c r="BW725" s="39">
        <f t="shared" si="175"/>
        <v>1</v>
      </c>
      <c r="BX725" s="40">
        <f t="shared" si="176"/>
        <v>8.4033613445378148E-3</v>
      </c>
      <c r="BY725" s="40">
        <f t="shared" si="177"/>
        <v>0</v>
      </c>
      <c r="BZ725" t="str">
        <f t="shared" si="178"/>
        <v>OK</v>
      </c>
      <c r="CA725">
        <f t="shared" si="179"/>
        <v>1</v>
      </c>
    </row>
    <row r="726" spans="1:80" x14ac:dyDescent="0.25">
      <c r="A726" s="35">
        <v>46254</v>
      </c>
      <c r="B726" s="36">
        <v>12</v>
      </c>
      <c r="C726" t="s">
        <v>113</v>
      </c>
      <c r="D726" t="s">
        <v>6</v>
      </c>
      <c r="E726" t="s">
        <v>126</v>
      </c>
      <c r="F726" t="s">
        <v>133</v>
      </c>
      <c r="G726">
        <v>5802</v>
      </c>
      <c r="H726">
        <v>2140110604</v>
      </c>
      <c r="I726" t="s">
        <v>139</v>
      </c>
      <c r="J726" s="37">
        <v>18475</v>
      </c>
      <c r="K726" s="37"/>
      <c r="M726">
        <v>6324</v>
      </c>
      <c r="O726">
        <v>48</v>
      </c>
      <c r="P726">
        <v>15</v>
      </c>
      <c r="Q726">
        <v>25</v>
      </c>
      <c r="T726">
        <v>7</v>
      </c>
      <c r="V726" t="s">
        <v>120</v>
      </c>
      <c r="Y726" s="38">
        <v>0.29166666666666669</v>
      </c>
      <c r="Z726" s="38">
        <v>0.79166666666666663</v>
      </c>
      <c r="AA726" t="s">
        <v>117</v>
      </c>
      <c r="AC726" t="s">
        <v>118</v>
      </c>
      <c r="AQ726">
        <v>0.25</v>
      </c>
      <c r="BI726">
        <v>0.5</v>
      </c>
      <c r="BJ726">
        <v>0.81669999999999998</v>
      </c>
      <c r="BK726">
        <f>0</f>
        <v>0</v>
      </c>
      <c r="BL726">
        <f t="shared" si="165"/>
        <v>1.5667</v>
      </c>
      <c r="BM726">
        <f t="shared" si="166"/>
        <v>0</v>
      </c>
      <c r="BN726">
        <f t="shared" si="167"/>
        <v>0</v>
      </c>
      <c r="BO726">
        <f t="shared" si="168"/>
        <v>1</v>
      </c>
      <c r="BP726" s="37">
        <f>IF($F726="","",IFERROR(INDEX(Familias!$C$5:$C$300,MATCH($F726,Familias!$A$5:$A$300,0)),""))</f>
        <v>2320</v>
      </c>
      <c r="BQ726" s="37">
        <f t="shared" si="169"/>
        <v>18475</v>
      </c>
      <c r="BR726" s="36">
        <f t="shared" si="170"/>
        <v>12</v>
      </c>
      <c r="BS726" s="36">
        <f t="shared" si="171"/>
        <v>1.5667</v>
      </c>
      <c r="BT726" s="36">
        <f t="shared" si="172"/>
        <v>10.433299999999999</v>
      </c>
      <c r="BU726" s="36">
        <f t="shared" si="173"/>
        <v>7.9634</v>
      </c>
      <c r="BV726" s="39">
        <f t="shared" si="174"/>
        <v>0.76326761427352807</v>
      </c>
      <c r="BW726" s="39">
        <f t="shared" si="175"/>
        <v>1</v>
      </c>
      <c r="BX726" s="40">
        <f t="shared" si="176"/>
        <v>9.9620493358633776E-3</v>
      </c>
      <c r="BY726" s="40">
        <f t="shared" si="177"/>
        <v>3.9531941808981655E-3</v>
      </c>
      <c r="BZ726" t="str">
        <f t="shared" si="178"/>
        <v>OK</v>
      </c>
      <c r="CA726">
        <f t="shared" si="179"/>
        <v>1</v>
      </c>
    </row>
    <row r="727" spans="1:80" x14ac:dyDescent="0.25">
      <c r="A727" s="35">
        <v>46254</v>
      </c>
      <c r="B727" s="36">
        <v>12</v>
      </c>
      <c r="C727" t="s">
        <v>119</v>
      </c>
      <c r="D727" t="s">
        <v>6</v>
      </c>
      <c r="E727" t="s">
        <v>126</v>
      </c>
      <c r="F727" t="s">
        <v>133</v>
      </c>
      <c r="G727">
        <v>5802</v>
      </c>
      <c r="H727">
        <v>2140110604</v>
      </c>
      <c r="I727" t="s">
        <v>139</v>
      </c>
      <c r="J727" s="37">
        <v>18525</v>
      </c>
      <c r="K727" s="37"/>
      <c r="O727">
        <v>52</v>
      </c>
      <c r="P727">
        <v>28</v>
      </c>
      <c r="Q727">
        <v>35</v>
      </c>
      <c r="T727">
        <v>8</v>
      </c>
      <c r="V727" t="s">
        <v>116</v>
      </c>
      <c r="Y727" s="38">
        <v>0.79166666666666663</v>
      </c>
      <c r="Z727" s="38">
        <v>0.29166666666666669</v>
      </c>
      <c r="AA727" t="s">
        <v>117</v>
      </c>
      <c r="AC727" t="s">
        <v>118</v>
      </c>
      <c r="AQ727">
        <v>0.25</v>
      </c>
      <c r="AR727">
        <v>0.75</v>
      </c>
      <c r="BI727">
        <v>0.33329999999999999</v>
      </c>
      <c r="BK727">
        <f>0</f>
        <v>0</v>
      </c>
      <c r="BL727">
        <f t="shared" si="165"/>
        <v>1.3332999999999999</v>
      </c>
      <c r="BM727">
        <f t="shared" si="166"/>
        <v>0</v>
      </c>
      <c r="BN727">
        <f t="shared" si="167"/>
        <v>0</v>
      </c>
      <c r="BO727">
        <f t="shared" si="168"/>
        <v>1</v>
      </c>
      <c r="BP727" s="37">
        <f>IF($F727="","",IFERROR(INDEX(Familias!$C$5:$C$300,MATCH($F727,Familias!$A$5:$A$300,0)),""))</f>
        <v>2320</v>
      </c>
      <c r="BQ727" s="37">
        <f t="shared" si="169"/>
        <v>18525</v>
      </c>
      <c r="BR727" s="36">
        <f t="shared" si="170"/>
        <v>12</v>
      </c>
      <c r="BS727" s="36">
        <f t="shared" si="171"/>
        <v>1.3332999999999999</v>
      </c>
      <c r="BT727" s="36">
        <f t="shared" si="172"/>
        <v>10.666700000000001</v>
      </c>
      <c r="BU727" s="36">
        <f t="shared" si="173"/>
        <v>7.9848999999999997</v>
      </c>
      <c r="BV727" s="39">
        <f t="shared" si="174"/>
        <v>0.74858203568113846</v>
      </c>
      <c r="BW727" s="39">
        <f t="shared" si="175"/>
        <v>1</v>
      </c>
      <c r="BX727" s="40" t="str">
        <f t="shared" si="176"/>
        <v/>
      </c>
      <c r="BY727" s="40" t="str">
        <f t="shared" si="177"/>
        <v/>
      </c>
      <c r="BZ727" t="str">
        <f t="shared" si="178"/>
        <v>OK</v>
      </c>
      <c r="CA727">
        <f t="shared" si="179"/>
        <v>1</v>
      </c>
    </row>
    <row r="728" spans="1:80" x14ac:dyDescent="0.25">
      <c r="A728" s="35">
        <v>46255</v>
      </c>
      <c r="B728" s="36">
        <v>11.229699999999999</v>
      </c>
      <c r="C728" t="s">
        <v>113</v>
      </c>
      <c r="D728" t="s">
        <v>6</v>
      </c>
      <c r="E728" t="s">
        <v>126</v>
      </c>
      <c r="F728" t="s">
        <v>133</v>
      </c>
      <c r="G728">
        <v>5802</v>
      </c>
      <c r="H728">
        <v>2140110604</v>
      </c>
      <c r="I728" t="s">
        <v>139</v>
      </c>
      <c r="J728" s="37">
        <v>15525</v>
      </c>
      <c r="K728" s="37">
        <v>6</v>
      </c>
      <c r="M728">
        <v>5229</v>
      </c>
      <c r="O728">
        <v>27</v>
      </c>
      <c r="P728">
        <v>12</v>
      </c>
      <c r="Q728">
        <v>25</v>
      </c>
      <c r="T728">
        <v>6</v>
      </c>
      <c r="V728" t="s">
        <v>120</v>
      </c>
      <c r="Y728" s="38">
        <v>0.29166666666666669</v>
      </c>
      <c r="Z728" s="38">
        <v>0.75972222222222219</v>
      </c>
      <c r="AA728" t="s">
        <v>117</v>
      </c>
      <c r="AC728" t="s">
        <v>121</v>
      </c>
      <c r="AR728">
        <v>0.70189999999999997</v>
      </c>
      <c r="BI728">
        <v>0.31190000000000001</v>
      </c>
      <c r="BK728">
        <f>0</f>
        <v>0</v>
      </c>
      <c r="BL728">
        <f t="shared" si="165"/>
        <v>1.0138</v>
      </c>
      <c r="BM728">
        <f t="shared" si="166"/>
        <v>0</v>
      </c>
      <c r="BN728">
        <f t="shared" si="167"/>
        <v>0</v>
      </c>
      <c r="BO728">
        <f t="shared" si="168"/>
        <v>1</v>
      </c>
      <c r="BP728" s="37">
        <f>IF($F728="","",IFERROR(INDEX(Familias!$C$5:$C$300,MATCH($F728,Familias!$A$5:$A$300,0)),""))</f>
        <v>2320</v>
      </c>
      <c r="BQ728" s="37">
        <f t="shared" si="169"/>
        <v>15531</v>
      </c>
      <c r="BR728" s="36">
        <f t="shared" si="170"/>
        <v>11.229699999999999</v>
      </c>
      <c r="BS728" s="36">
        <f t="shared" si="171"/>
        <v>1.0138</v>
      </c>
      <c r="BT728" s="36">
        <f t="shared" si="172"/>
        <v>10.2159</v>
      </c>
      <c r="BU728" s="36">
        <f t="shared" si="173"/>
        <v>6.6943999999999999</v>
      </c>
      <c r="BV728" s="39">
        <f t="shared" si="174"/>
        <v>0.65529224052702162</v>
      </c>
      <c r="BW728" s="39">
        <f t="shared" si="175"/>
        <v>0.99961367587405836</v>
      </c>
      <c r="BX728" s="40">
        <f t="shared" si="176"/>
        <v>7.4584050487664947E-3</v>
      </c>
      <c r="BY728" s="40">
        <f t="shared" si="177"/>
        <v>4.7810288774144194E-3</v>
      </c>
      <c r="BZ728" t="str">
        <f t="shared" si="178"/>
        <v>OK</v>
      </c>
      <c r="CA728">
        <f t="shared" si="179"/>
        <v>1</v>
      </c>
    </row>
    <row r="729" spans="1:80" x14ac:dyDescent="0.25">
      <c r="A729" s="35">
        <v>46255</v>
      </c>
      <c r="B729" s="36">
        <v>0.77029999999999998</v>
      </c>
      <c r="C729" t="s">
        <v>113</v>
      </c>
      <c r="D729" t="s">
        <v>6</v>
      </c>
      <c r="E729" t="s">
        <v>126</v>
      </c>
      <c r="F729" t="s">
        <v>127</v>
      </c>
      <c r="G729">
        <v>5871</v>
      </c>
      <c r="H729">
        <v>2140110610</v>
      </c>
      <c r="I729" t="s">
        <v>128</v>
      </c>
      <c r="J729" s="37">
        <v>1125</v>
      </c>
      <c r="K729" s="37"/>
      <c r="M729">
        <v>495</v>
      </c>
      <c r="O729">
        <v>11</v>
      </c>
      <c r="Q729">
        <v>3</v>
      </c>
      <c r="T729">
        <v>1</v>
      </c>
      <c r="V729" t="s">
        <v>120</v>
      </c>
      <c r="Y729" s="38">
        <v>0.75972222222222219</v>
      </c>
      <c r="Z729" s="38">
        <v>0.79166666666666663</v>
      </c>
      <c r="AA729" t="s">
        <v>117</v>
      </c>
      <c r="AC729" t="s">
        <v>121</v>
      </c>
      <c r="AR729">
        <v>4.8099999999999997E-2</v>
      </c>
      <c r="BI729">
        <v>2.1399999999999999E-2</v>
      </c>
      <c r="BK729">
        <f>0</f>
        <v>0</v>
      </c>
      <c r="BL729">
        <f t="shared" si="165"/>
        <v>6.9499999999999992E-2</v>
      </c>
      <c r="BM729">
        <f t="shared" si="166"/>
        <v>0</v>
      </c>
      <c r="BN729">
        <f t="shared" si="167"/>
        <v>0</v>
      </c>
      <c r="BO729">
        <f t="shared" si="168"/>
        <v>1</v>
      </c>
      <c r="BP729" s="37">
        <f>IF($F729="","",IFERROR(INDEX(Familias!$C$5:$C$300,MATCH($F729,Familias!$A$5:$A$300,0)),""))</f>
        <v>2450</v>
      </c>
      <c r="BQ729" s="37">
        <f t="shared" si="169"/>
        <v>1125</v>
      </c>
      <c r="BR729" s="36">
        <f t="shared" si="170"/>
        <v>0.77029999999999998</v>
      </c>
      <c r="BS729" s="36">
        <f t="shared" si="171"/>
        <v>6.9500000000000006E-2</v>
      </c>
      <c r="BT729" s="36">
        <f t="shared" si="172"/>
        <v>0.70079999999999998</v>
      </c>
      <c r="BU729" s="36">
        <f t="shared" si="173"/>
        <v>0.4592</v>
      </c>
      <c r="BV729" s="39">
        <f t="shared" si="174"/>
        <v>0.65525114155251141</v>
      </c>
      <c r="BW729" s="39">
        <f t="shared" si="175"/>
        <v>1</v>
      </c>
      <c r="BX729" s="40">
        <f t="shared" si="176"/>
        <v>2.2222222222222223E-2</v>
      </c>
      <c r="BY729" s="40">
        <f t="shared" si="177"/>
        <v>6.0606060606060606E-3</v>
      </c>
      <c r="BZ729" t="str">
        <f t="shared" si="178"/>
        <v>OK</v>
      </c>
      <c r="CA729">
        <f t="shared" si="179"/>
        <v>1</v>
      </c>
    </row>
    <row r="730" spans="1:80" x14ac:dyDescent="0.25">
      <c r="A730" s="35">
        <v>46255</v>
      </c>
      <c r="B730" s="36">
        <v>12</v>
      </c>
      <c r="C730" t="s">
        <v>119</v>
      </c>
      <c r="D730" t="s">
        <v>6</v>
      </c>
      <c r="E730" t="s">
        <v>126</v>
      </c>
      <c r="F730" t="s">
        <v>127</v>
      </c>
      <c r="G730">
        <v>5871</v>
      </c>
      <c r="H730">
        <v>2140110610</v>
      </c>
      <c r="I730" t="s">
        <v>128</v>
      </c>
      <c r="J730" s="37">
        <v>17100</v>
      </c>
      <c r="K730" s="37"/>
      <c r="M730">
        <v>6311</v>
      </c>
      <c r="O730">
        <v>75</v>
      </c>
      <c r="P730">
        <v>27</v>
      </c>
      <c r="Q730">
        <v>48</v>
      </c>
      <c r="T730">
        <v>8</v>
      </c>
      <c r="V730" t="s">
        <v>116</v>
      </c>
      <c r="Y730" s="38">
        <v>0.79166666666666663</v>
      </c>
      <c r="Z730" s="38">
        <v>0.29166666666666669</v>
      </c>
      <c r="AA730" t="s">
        <v>117</v>
      </c>
      <c r="AC730" t="s">
        <v>118</v>
      </c>
      <c r="AQ730">
        <v>0.25</v>
      </c>
      <c r="AR730">
        <v>0.75</v>
      </c>
      <c r="BI730">
        <v>0.33329999999999999</v>
      </c>
      <c r="BK730">
        <f>0</f>
        <v>0</v>
      </c>
      <c r="BL730">
        <f t="shared" si="165"/>
        <v>1.3332999999999999</v>
      </c>
      <c r="BM730">
        <f t="shared" si="166"/>
        <v>0</v>
      </c>
      <c r="BN730">
        <f t="shared" si="167"/>
        <v>0</v>
      </c>
      <c r="BO730">
        <f t="shared" si="168"/>
        <v>1</v>
      </c>
      <c r="BP730" s="37">
        <f>IF($F730="","",IFERROR(INDEX(Familias!$C$5:$C$300,MATCH($F730,Familias!$A$5:$A$300,0)),""))</f>
        <v>2450</v>
      </c>
      <c r="BQ730" s="37">
        <f t="shared" si="169"/>
        <v>17100</v>
      </c>
      <c r="BR730" s="36">
        <f t="shared" si="170"/>
        <v>12</v>
      </c>
      <c r="BS730" s="36">
        <f t="shared" si="171"/>
        <v>1.3332999999999999</v>
      </c>
      <c r="BT730" s="36">
        <f t="shared" si="172"/>
        <v>10.666700000000001</v>
      </c>
      <c r="BU730" s="36">
        <f t="shared" si="173"/>
        <v>6.9795999999999996</v>
      </c>
      <c r="BV730" s="39">
        <f t="shared" si="174"/>
        <v>0.65433545520170244</v>
      </c>
      <c r="BW730" s="39">
        <f t="shared" si="175"/>
        <v>1</v>
      </c>
      <c r="BX730" s="40">
        <f t="shared" si="176"/>
        <v>1.6162256377753131E-2</v>
      </c>
      <c r="BY730" s="40">
        <f t="shared" si="177"/>
        <v>7.6057677071779432E-3</v>
      </c>
      <c r="BZ730" t="str">
        <f t="shared" si="178"/>
        <v>OK</v>
      </c>
      <c r="CA730">
        <f t="shared" si="179"/>
        <v>1</v>
      </c>
    </row>
    <row r="731" spans="1:80" x14ac:dyDescent="0.25">
      <c r="A731" s="35">
        <v>46256</v>
      </c>
      <c r="B731" s="36">
        <v>12</v>
      </c>
      <c r="C731" t="s">
        <v>113</v>
      </c>
      <c r="D731" t="s">
        <v>6</v>
      </c>
      <c r="E731" t="s">
        <v>126</v>
      </c>
      <c r="F731" t="s">
        <v>127</v>
      </c>
      <c r="G731">
        <v>5871</v>
      </c>
      <c r="H731">
        <v>2140110610</v>
      </c>
      <c r="I731" t="s">
        <v>128</v>
      </c>
      <c r="J731" s="37">
        <v>7250</v>
      </c>
      <c r="K731" s="37"/>
      <c r="M731">
        <v>2491</v>
      </c>
      <c r="P731">
        <v>9</v>
      </c>
      <c r="T731">
        <v>3</v>
      </c>
      <c r="V731" t="s">
        <v>120</v>
      </c>
      <c r="Y731" s="38">
        <v>0.29166666666666669</v>
      </c>
      <c r="Z731" s="38">
        <v>0.79166666666666663</v>
      </c>
      <c r="AA731" t="s">
        <v>117</v>
      </c>
      <c r="AC731" t="s">
        <v>118</v>
      </c>
      <c r="AR731">
        <v>0.75</v>
      </c>
      <c r="BI731">
        <v>0.33329999999999999</v>
      </c>
      <c r="BJ731">
        <v>5</v>
      </c>
      <c r="BK731">
        <f>0</f>
        <v>0</v>
      </c>
      <c r="BL731">
        <f t="shared" si="165"/>
        <v>6.0832999999999995</v>
      </c>
      <c r="BM731">
        <f t="shared" si="166"/>
        <v>0</v>
      </c>
      <c r="BN731">
        <f t="shared" si="167"/>
        <v>0</v>
      </c>
      <c r="BO731">
        <f t="shared" si="168"/>
        <v>1</v>
      </c>
      <c r="BP731" s="37">
        <f>IF($F731="","",IFERROR(INDEX(Familias!$C$5:$C$300,MATCH($F731,Familias!$A$5:$A$300,0)),""))</f>
        <v>2450</v>
      </c>
      <c r="BQ731" s="37">
        <f t="shared" si="169"/>
        <v>7250</v>
      </c>
      <c r="BR731" s="36">
        <f t="shared" si="170"/>
        <v>12</v>
      </c>
      <c r="BS731" s="36">
        <f t="shared" si="171"/>
        <v>6.0833000000000004</v>
      </c>
      <c r="BT731" s="36">
        <f t="shared" si="172"/>
        <v>5.9166999999999996</v>
      </c>
      <c r="BU731" s="36">
        <f t="shared" si="173"/>
        <v>2.9592000000000001</v>
      </c>
      <c r="BV731" s="39">
        <f t="shared" si="174"/>
        <v>0.50014366116247233</v>
      </c>
      <c r="BW731" s="39">
        <f t="shared" si="175"/>
        <v>1</v>
      </c>
      <c r="BX731" s="40">
        <f t="shared" si="176"/>
        <v>3.6130068245684463E-3</v>
      </c>
      <c r="BY731" s="40">
        <f t="shared" si="177"/>
        <v>0</v>
      </c>
      <c r="BZ731" t="str">
        <f t="shared" si="178"/>
        <v>OK</v>
      </c>
      <c r="CA731">
        <f t="shared" si="179"/>
        <v>1</v>
      </c>
    </row>
    <row r="732" spans="1:80" x14ac:dyDescent="0.25">
      <c r="A732" s="35">
        <v>46256</v>
      </c>
      <c r="B732" s="36">
        <v>12</v>
      </c>
      <c r="C732" t="s">
        <v>119</v>
      </c>
      <c r="D732" t="s">
        <v>6</v>
      </c>
      <c r="E732" t="s">
        <v>126</v>
      </c>
      <c r="F732" t="s">
        <v>127</v>
      </c>
      <c r="G732">
        <v>5871</v>
      </c>
      <c r="H732">
        <v>2140110610</v>
      </c>
      <c r="I732" t="s">
        <v>128</v>
      </c>
      <c r="J732" s="37">
        <v>11650</v>
      </c>
      <c r="K732" s="37">
        <v>20</v>
      </c>
      <c r="M732">
        <v>3767</v>
      </c>
      <c r="O732">
        <v>60</v>
      </c>
      <c r="P732">
        <v>24</v>
      </c>
      <c r="T732">
        <v>4</v>
      </c>
      <c r="V732" t="s">
        <v>116</v>
      </c>
      <c r="Y732" s="38">
        <v>0.79166666666666663</v>
      </c>
      <c r="Z732" s="38">
        <v>0.29166666666666669</v>
      </c>
      <c r="AA732" t="s">
        <v>117</v>
      </c>
      <c r="AC732" t="s">
        <v>118</v>
      </c>
      <c r="AJ732">
        <v>2.75</v>
      </c>
      <c r="AR732">
        <v>0.75</v>
      </c>
      <c r="BC732">
        <v>2</v>
      </c>
      <c r="BI732">
        <v>1</v>
      </c>
      <c r="BK732">
        <f>0</f>
        <v>0</v>
      </c>
      <c r="BL732">
        <f t="shared" si="165"/>
        <v>6.5</v>
      </c>
      <c r="BM732">
        <f t="shared" si="166"/>
        <v>0</v>
      </c>
      <c r="BN732">
        <f t="shared" si="167"/>
        <v>0</v>
      </c>
      <c r="BO732">
        <f t="shared" si="168"/>
        <v>1</v>
      </c>
      <c r="BP732" s="37">
        <f>IF($F732="","",IFERROR(INDEX(Familias!$C$5:$C$300,MATCH($F732,Familias!$A$5:$A$300,0)),""))</f>
        <v>2450</v>
      </c>
      <c r="BQ732" s="37">
        <f t="shared" si="169"/>
        <v>11670</v>
      </c>
      <c r="BR732" s="36">
        <f t="shared" si="170"/>
        <v>12</v>
      </c>
      <c r="BS732" s="36">
        <f t="shared" si="171"/>
        <v>6.5</v>
      </c>
      <c r="BT732" s="36">
        <f t="shared" si="172"/>
        <v>5.5</v>
      </c>
      <c r="BU732" s="36">
        <f t="shared" si="173"/>
        <v>4.7633000000000001</v>
      </c>
      <c r="BV732" s="39">
        <f t="shared" si="174"/>
        <v>0.86605454545454552</v>
      </c>
      <c r="BW732" s="39">
        <f t="shared" si="175"/>
        <v>0.99828620394173095</v>
      </c>
      <c r="BX732" s="40">
        <f t="shared" si="176"/>
        <v>2.2298911600743297E-2</v>
      </c>
      <c r="BY732" s="40">
        <f t="shared" si="177"/>
        <v>0</v>
      </c>
      <c r="BZ732" t="str">
        <f t="shared" si="178"/>
        <v>OK</v>
      </c>
      <c r="CA732">
        <f t="shared" si="179"/>
        <v>1</v>
      </c>
    </row>
    <row r="733" spans="1:80" x14ac:dyDescent="0.25">
      <c r="A733" s="35">
        <v>46257</v>
      </c>
      <c r="B733" s="36">
        <v>12</v>
      </c>
      <c r="C733" t="s">
        <v>113</v>
      </c>
      <c r="D733" t="s">
        <v>6</v>
      </c>
      <c r="E733" t="s">
        <v>126</v>
      </c>
      <c r="F733" t="s">
        <v>149</v>
      </c>
      <c r="G733">
        <v>5498</v>
      </c>
      <c r="H733">
        <v>2140110622</v>
      </c>
      <c r="I733" t="s">
        <v>153</v>
      </c>
      <c r="J733" s="37">
        <v>28798</v>
      </c>
      <c r="K733" s="37">
        <v>8</v>
      </c>
      <c r="M733">
        <v>9585</v>
      </c>
      <c r="O733">
        <v>100</v>
      </c>
      <c r="P733">
        <v>36</v>
      </c>
      <c r="Q733">
        <v>53</v>
      </c>
      <c r="T733">
        <v>12</v>
      </c>
      <c r="V733" t="s">
        <v>120</v>
      </c>
      <c r="Y733" s="38">
        <v>0.29166666666666669</v>
      </c>
      <c r="Z733" s="38">
        <v>0.79166666666666663</v>
      </c>
      <c r="AA733" t="s">
        <v>161</v>
      </c>
      <c r="AB733" t="s">
        <v>162</v>
      </c>
      <c r="AC733" t="s">
        <v>118</v>
      </c>
      <c r="BK733">
        <f>0</f>
        <v>0</v>
      </c>
      <c r="BL733">
        <f t="shared" si="165"/>
        <v>0</v>
      </c>
      <c r="BM733">
        <f t="shared" si="166"/>
        <v>0</v>
      </c>
      <c r="BN733">
        <f t="shared" si="167"/>
        <v>0</v>
      </c>
      <c r="BO733">
        <f t="shared" si="168"/>
        <v>0</v>
      </c>
      <c r="BP733" s="37">
        <f>IF($F733="","",IFERROR(INDEX(Familias!$C$5:$C$300,MATCH($F733,Familias!$A$5:$A$300,0)),""))</f>
        <v>2740</v>
      </c>
      <c r="BQ733" s="37">
        <f t="shared" si="169"/>
        <v>28806</v>
      </c>
      <c r="BR733" s="36">
        <f t="shared" si="170"/>
        <v>12</v>
      </c>
      <c r="BS733" s="36">
        <f t="shared" si="171"/>
        <v>0</v>
      </c>
      <c r="BT733" s="36">
        <f t="shared" si="172"/>
        <v>12</v>
      </c>
      <c r="BU733" s="36">
        <f t="shared" si="173"/>
        <v>10.5131</v>
      </c>
      <c r="BV733" s="39">
        <f t="shared" si="174"/>
        <v>0.8760916666666666</v>
      </c>
      <c r="BW733" s="39">
        <f t="shared" si="175"/>
        <v>0.99972228008053876</v>
      </c>
      <c r="BX733" s="40">
        <f t="shared" si="176"/>
        <v>1.4188836724047992E-2</v>
      </c>
      <c r="BY733" s="40">
        <f t="shared" si="177"/>
        <v>5.5294731351069378E-3</v>
      </c>
      <c r="BZ733" t="str">
        <f t="shared" si="178"/>
        <v>Domingo</v>
      </c>
      <c r="CA733">
        <f t="shared" si="179"/>
        <v>0</v>
      </c>
    </row>
    <row r="734" spans="1:80" x14ac:dyDescent="0.25">
      <c r="A734" s="35">
        <v>46257</v>
      </c>
      <c r="B734" s="36">
        <v>12</v>
      </c>
      <c r="C734" t="s">
        <v>119</v>
      </c>
      <c r="D734" t="s">
        <v>6</v>
      </c>
      <c r="E734" t="s">
        <v>126</v>
      </c>
      <c r="F734" t="s">
        <v>149</v>
      </c>
      <c r="G734">
        <v>5652</v>
      </c>
      <c r="H734">
        <v>2140110653</v>
      </c>
      <c r="I734" t="s">
        <v>158</v>
      </c>
      <c r="J734" s="37">
        <v>8375</v>
      </c>
      <c r="K734" s="37">
        <v>5</v>
      </c>
      <c r="M734">
        <v>3393</v>
      </c>
      <c r="O734">
        <v>20</v>
      </c>
      <c r="P734">
        <v>12</v>
      </c>
      <c r="T734">
        <v>4</v>
      </c>
      <c r="V734" t="s">
        <v>120</v>
      </c>
      <c r="Y734" s="38">
        <v>0.79166666666666663</v>
      </c>
      <c r="Z734" s="38">
        <v>0.29166666666666669</v>
      </c>
      <c r="AA734" t="s">
        <v>161</v>
      </c>
      <c r="AB734" t="s">
        <v>162</v>
      </c>
      <c r="AC734" t="s">
        <v>118</v>
      </c>
      <c r="BK734">
        <f>0</f>
        <v>0</v>
      </c>
      <c r="BL734">
        <f t="shared" si="165"/>
        <v>0</v>
      </c>
      <c r="BM734">
        <f t="shared" si="166"/>
        <v>0</v>
      </c>
      <c r="BN734">
        <f t="shared" si="167"/>
        <v>0</v>
      </c>
      <c r="BO734">
        <f t="shared" si="168"/>
        <v>0</v>
      </c>
      <c r="BP734" s="37">
        <f>IF($F734="","",IFERROR(INDEX(Familias!$C$5:$C$300,MATCH($F734,Familias!$A$5:$A$300,0)),""))</f>
        <v>2740</v>
      </c>
      <c r="BQ734" s="37">
        <f t="shared" si="169"/>
        <v>8380</v>
      </c>
      <c r="BR734" s="36">
        <f t="shared" si="170"/>
        <v>12</v>
      </c>
      <c r="BS734" s="36">
        <f t="shared" si="171"/>
        <v>0</v>
      </c>
      <c r="BT734" s="36">
        <f t="shared" si="172"/>
        <v>12</v>
      </c>
      <c r="BU734" s="36">
        <f t="shared" si="173"/>
        <v>3.0583999999999998</v>
      </c>
      <c r="BV734" s="39">
        <f t="shared" si="174"/>
        <v>0.25486666666666663</v>
      </c>
      <c r="BW734" s="39">
        <f t="shared" si="175"/>
        <v>0.99940334128878283</v>
      </c>
      <c r="BX734" s="40">
        <f t="shared" si="176"/>
        <v>9.4311818449749479E-3</v>
      </c>
      <c r="BY734" s="40">
        <f t="shared" si="177"/>
        <v>0</v>
      </c>
      <c r="BZ734" t="str">
        <f t="shared" si="178"/>
        <v>Domingo</v>
      </c>
      <c r="CA734">
        <f t="shared" si="179"/>
        <v>0</v>
      </c>
    </row>
    <row r="735" spans="1:80" x14ac:dyDescent="0.25">
      <c r="A735" s="35">
        <v>46258</v>
      </c>
      <c r="B735" s="36">
        <v>12</v>
      </c>
      <c r="C735" t="s">
        <v>113</v>
      </c>
      <c r="D735" t="s">
        <v>6</v>
      </c>
      <c r="E735" t="s">
        <v>126</v>
      </c>
      <c r="F735" t="s">
        <v>127</v>
      </c>
      <c r="G735">
        <v>5871</v>
      </c>
      <c r="H735">
        <v>2140110610</v>
      </c>
      <c r="I735" t="s">
        <v>128</v>
      </c>
      <c r="J735" s="37">
        <v>15075</v>
      </c>
      <c r="K735" s="37">
        <v>10</v>
      </c>
      <c r="M735">
        <v>6318</v>
      </c>
      <c r="P735">
        <v>43</v>
      </c>
      <c r="Q735">
        <v>42</v>
      </c>
      <c r="T735">
        <v>8</v>
      </c>
      <c r="V735" t="s">
        <v>116</v>
      </c>
      <c r="Y735" s="38">
        <v>0.29166666666666669</v>
      </c>
      <c r="Z735" s="38">
        <v>0.79166666666666663</v>
      </c>
      <c r="AA735" t="s">
        <v>117</v>
      </c>
      <c r="AC735" t="s">
        <v>118</v>
      </c>
      <c r="AD735">
        <v>1</v>
      </c>
      <c r="AO735">
        <v>0.25</v>
      </c>
      <c r="AQ735">
        <v>0.25</v>
      </c>
      <c r="AR735">
        <v>0.25</v>
      </c>
      <c r="BK735">
        <f>0</f>
        <v>0</v>
      </c>
      <c r="BL735">
        <f t="shared" si="165"/>
        <v>1.75</v>
      </c>
      <c r="BM735">
        <f t="shared" si="166"/>
        <v>0</v>
      </c>
      <c r="BN735">
        <f t="shared" si="167"/>
        <v>0</v>
      </c>
      <c r="BO735">
        <f t="shared" si="168"/>
        <v>1</v>
      </c>
      <c r="BP735" s="37">
        <f>IF($F735="","",IFERROR(INDEX(Familias!$C$5:$C$300,MATCH($F735,Familias!$A$5:$A$300,0)),""))</f>
        <v>2450</v>
      </c>
      <c r="BQ735" s="37">
        <f t="shared" si="169"/>
        <v>15085</v>
      </c>
      <c r="BR735" s="36">
        <f t="shared" si="170"/>
        <v>12</v>
      </c>
      <c r="BS735" s="36">
        <f t="shared" si="171"/>
        <v>1.75</v>
      </c>
      <c r="BT735" s="36">
        <f t="shared" si="172"/>
        <v>10.25</v>
      </c>
      <c r="BU735" s="36">
        <f t="shared" si="173"/>
        <v>6.1570999999999998</v>
      </c>
      <c r="BV735" s="39">
        <f t="shared" si="174"/>
        <v>0.6006926829268292</v>
      </c>
      <c r="BW735" s="39">
        <f t="shared" si="175"/>
        <v>0.99933708982432878</v>
      </c>
      <c r="BX735" s="40">
        <f t="shared" si="176"/>
        <v>6.8059512503956948E-3</v>
      </c>
      <c r="BY735" s="40">
        <f t="shared" si="177"/>
        <v>6.6476733143399809E-3</v>
      </c>
      <c r="BZ735" t="str">
        <f t="shared" si="178"/>
        <v>OK</v>
      </c>
      <c r="CA735">
        <f t="shared" si="179"/>
        <v>1</v>
      </c>
    </row>
    <row r="736" spans="1:80" x14ac:dyDescent="0.25">
      <c r="A736" s="35">
        <v>46258</v>
      </c>
      <c r="B736" s="36">
        <v>12</v>
      </c>
      <c r="C736" t="s">
        <v>119</v>
      </c>
      <c r="D736" t="s">
        <v>6</v>
      </c>
      <c r="E736" t="s">
        <v>126</v>
      </c>
      <c r="F736" t="s">
        <v>127</v>
      </c>
      <c r="G736">
        <v>5891</v>
      </c>
      <c r="H736">
        <v>2140110610</v>
      </c>
      <c r="I736" t="s">
        <v>128</v>
      </c>
      <c r="J736" s="37">
        <v>20000</v>
      </c>
      <c r="K736" s="37">
        <v>5</v>
      </c>
      <c r="M736">
        <v>7249</v>
      </c>
      <c r="O736">
        <v>54</v>
      </c>
      <c r="P736">
        <v>27</v>
      </c>
      <c r="Q736">
        <v>35</v>
      </c>
      <c r="T736">
        <v>9</v>
      </c>
      <c r="V736" t="s">
        <v>120</v>
      </c>
      <c r="Y736" s="38">
        <v>0.79166666666666663</v>
      </c>
      <c r="Z736" s="38">
        <v>0.29166666666666669</v>
      </c>
      <c r="AA736" t="s">
        <v>117</v>
      </c>
      <c r="AC736" t="s">
        <v>118</v>
      </c>
      <c r="AQ736">
        <v>0.25</v>
      </c>
      <c r="AR736">
        <v>0.75</v>
      </c>
      <c r="BI736">
        <v>0.33329999999999999</v>
      </c>
      <c r="BK736">
        <f>0</f>
        <v>0</v>
      </c>
      <c r="BL736">
        <f t="shared" si="165"/>
        <v>1.3332999999999999</v>
      </c>
      <c r="BM736">
        <f t="shared" si="166"/>
        <v>0</v>
      </c>
      <c r="BN736">
        <f t="shared" si="167"/>
        <v>0</v>
      </c>
      <c r="BO736">
        <f t="shared" si="168"/>
        <v>1</v>
      </c>
      <c r="BP736" s="37">
        <f>IF($F736="","",IFERROR(INDEX(Familias!$C$5:$C$300,MATCH($F736,Familias!$A$5:$A$300,0)),""))</f>
        <v>2450</v>
      </c>
      <c r="BQ736" s="37">
        <f t="shared" si="169"/>
        <v>20005</v>
      </c>
      <c r="BR736" s="36">
        <f t="shared" si="170"/>
        <v>12</v>
      </c>
      <c r="BS736" s="36">
        <f t="shared" si="171"/>
        <v>1.3332999999999999</v>
      </c>
      <c r="BT736" s="36">
        <f t="shared" si="172"/>
        <v>10.666700000000001</v>
      </c>
      <c r="BU736" s="36">
        <f t="shared" si="173"/>
        <v>8.1653000000000002</v>
      </c>
      <c r="BV736" s="39">
        <f t="shared" si="174"/>
        <v>0.7654944828297412</v>
      </c>
      <c r="BW736" s="39">
        <f t="shared" si="175"/>
        <v>0.99975006248437892</v>
      </c>
      <c r="BX736" s="40">
        <f t="shared" si="176"/>
        <v>1.1173955028279763E-2</v>
      </c>
      <c r="BY736" s="40">
        <f t="shared" si="177"/>
        <v>4.828252172713478E-3</v>
      </c>
      <c r="BZ736" t="str">
        <f t="shared" si="178"/>
        <v>OK</v>
      </c>
      <c r="CA736">
        <f t="shared" si="179"/>
        <v>1</v>
      </c>
    </row>
    <row r="737" spans="1:80" x14ac:dyDescent="0.25">
      <c r="A737" s="35">
        <v>46259</v>
      </c>
      <c r="B737" s="36">
        <v>12</v>
      </c>
      <c r="C737" t="s">
        <v>113</v>
      </c>
      <c r="D737" t="s">
        <v>6</v>
      </c>
      <c r="E737" t="s">
        <v>126</v>
      </c>
      <c r="F737" t="s">
        <v>127</v>
      </c>
      <c r="G737">
        <v>5871</v>
      </c>
      <c r="H737">
        <v>2140110610</v>
      </c>
      <c r="I737" t="s">
        <v>128</v>
      </c>
      <c r="J737" s="37">
        <v>21350</v>
      </c>
      <c r="K737" s="37">
        <v>6</v>
      </c>
      <c r="M737">
        <v>7833</v>
      </c>
      <c r="O737">
        <v>80</v>
      </c>
      <c r="P737">
        <v>36</v>
      </c>
      <c r="T737">
        <v>9</v>
      </c>
      <c r="V737" t="s">
        <v>116</v>
      </c>
      <c r="Y737" s="38">
        <v>0.29166666666666669</v>
      </c>
      <c r="Z737" s="38">
        <v>0.79166666666666663</v>
      </c>
      <c r="AA737" t="s">
        <v>117</v>
      </c>
      <c r="AC737" t="s">
        <v>118</v>
      </c>
      <c r="AQ737">
        <v>0.25</v>
      </c>
      <c r="BI737">
        <v>0.33329999999999999</v>
      </c>
      <c r="BK737">
        <f>0</f>
        <v>0</v>
      </c>
      <c r="BL737">
        <f t="shared" si="165"/>
        <v>0.58329999999999993</v>
      </c>
      <c r="BM737">
        <f t="shared" si="166"/>
        <v>0</v>
      </c>
      <c r="BN737">
        <f t="shared" si="167"/>
        <v>0</v>
      </c>
      <c r="BO737">
        <f t="shared" si="168"/>
        <v>1</v>
      </c>
      <c r="BP737" s="37">
        <f>IF($F737="","",IFERROR(INDEX(Familias!$C$5:$C$300,MATCH($F737,Familias!$A$5:$A$300,0)),""))</f>
        <v>2450</v>
      </c>
      <c r="BQ737" s="37">
        <f t="shared" si="169"/>
        <v>21356</v>
      </c>
      <c r="BR737" s="36">
        <f t="shared" si="170"/>
        <v>12</v>
      </c>
      <c r="BS737" s="36">
        <f t="shared" si="171"/>
        <v>0.58330000000000004</v>
      </c>
      <c r="BT737" s="36">
        <f t="shared" si="172"/>
        <v>11.416700000000001</v>
      </c>
      <c r="BU737" s="36">
        <f t="shared" si="173"/>
        <v>8.7166999999999994</v>
      </c>
      <c r="BV737" s="39">
        <f t="shared" si="174"/>
        <v>0.76350434013331336</v>
      </c>
      <c r="BW737" s="39">
        <f t="shared" si="175"/>
        <v>0.99971904851095705</v>
      </c>
      <c r="BX737" s="40">
        <f t="shared" si="176"/>
        <v>1.4809140814502745E-2</v>
      </c>
      <c r="BY737" s="40">
        <f t="shared" si="177"/>
        <v>0</v>
      </c>
      <c r="BZ737" t="str">
        <f t="shared" si="178"/>
        <v>OK</v>
      </c>
      <c r="CA737">
        <f t="shared" si="179"/>
        <v>1</v>
      </c>
    </row>
    <row r="738" spans="1:80" x14ac:dyDescent="0.25">
      <c r="A738" s="35">
        <v>46259</v>
      </c>
      <c r="B738" s="36">
        <v>12</v>
      </c>
      <c r="C738" t="s">
        <v>119</v>
      </c>
      <c r="D738" t="s">
        <v>6</v>
      </c>
      <c r="E738" t="s">
        <v>126</v>
      </c>
      <c r="F738" t="s">
        <v>127</v>
      </c>
      <c r="G738">
        <v>5671</v>
      </c>
      <c r="H738">
        <v>2140110610</v>
      </c>
      <c r="I738" t="s">
        <v>128</v>
      </c>
      <c r="J738" s="37">
        <v>19800</v>
      </c>
      <c r="K738" s="37">
        <v>10</v>
      </c>
      <c r="M738">
        <v>7269</v>
      </c>
      <c r="O738">
        <v>54</v>
      </c>
      <c r="P738">
        <v>27</v>
      </c>
      <c r="V738" t="s">
        <v>120</v>
      </c>
      <c r="Y738" s="38">
        <v>0.79166666666666663</v>
      </c>
      <c r="Z738" s="38">
        <v>0.29166666666666669</v>
      </c>
      <c r="AA738" t="s">
        <v>117</v>
      </c>
      <c r="AC738" t="s">
        <v>118</v>
      </c>
      <c r="AQ738">
        <v>0.25</v>
      </c>
      <c r="AR738">
        <v>0.75</v>
      </c>
      <c r="BI738">
        <v>0.33329999999999999</v>
      </c>
      <c r="BK738">
        <f>0</f>
        <v>0</v>
      </c>
      <c r="BL738">
        <f t="shared" si="165"/>
        <v>1.3332999999999999</v>
      </c>
      <c r="BM738">
        <f t="shared" si="166"/>
        <v>0</v>
      </c>
      <c r="BN738">
        <f t="shared" si="167"/>
        <v>0</v>
      </c>
      <c r="BO738">
        <f t="shared" si="168"/>
        <v>1</v>
      </c>
      <c r="BP738" s="37">
        <f>IF($F738="","",IFERROR(INDEX(Familias!$C$5:$C$300,MATCH($F738,Familias!$A$5:$A$300,0)),""))</f>
        <v>2450</v>
      </c>
      <c r="BQ738" s="37">
        <f t="shared" si="169"/>
        <v>19810</v>
      </c>
      <c r="BR738" s="36">
        <f t="shared" si="170"/>
        <v>12</v>
      </c>
      <c r="BS738" s="36">
        <f t="shared" si="171"/>
        <v>1.3332999999999999</v>
      </c>
      <c r="BT738" s="36">
        <f t="shared" si="172"/>
        <v>10.666700000000001</v>
      </c>
      <c r="BU738" s="36">
        <f t="shared" si="173"/>
        <v>8.0856999999999992</v>
      </c>
      <c r="BV738" s="39">
        <f t="shared" si="174"/>
        <v>0.75803200614998067</v>
      </c>
      <c r="BW738" s="39">
        <f t="shared" si="175"/>
        <v>0.99949520444220086</v>
      </c>
      <c r="BX738" s="40">
        <f t="shared" si="176"/>
        <v>1.1143210895583986E-2</v>
      </c>
      <c r="BY738" s="40">
        <f t="shared" si="177"/>
        <v>0</v>
      </c>
      <c r="BZ738" t="str">
        <f t="shared" si="178"/>
        <v>OK</v>
      </c>
      <c r="CA738">
        <f t="shared" si="179"/>
        <v>1</v>
      </c>
    </row>
    <row r="739" spans="1:80" x14ac:dyDescent="0.25">
      <c r="A739" s="35">
        <v>46260</v>
      </c>
      <c r="B739" s="36">
        <v>12</v>
      </c>
      <c r="C739" t="s">
        <v>113</v>
      </c>
      <c r="D739" t="s">
        <v>6</v>
      </c>
      <c r="E739" t="s">
        <v>126</v>
      </c>
      <c r="F739" t="s">
        <v>127</v>
      </c>
      <c r="G739">
        <v>5871</v>
      </c>
      <c r="H739">
        <v>2140110610</v>
      </c>
      <c r="I739" t="s">
        <v>128</v>
      </c>
      <c r="J739" s="37">
        <v>22200</v>
      </c>
      <c r="K739" s="37">
        <v>10</v>
      </c>
      <c r="M739">
        <v>8025</v>
      </c>
      <c r="O739">
        <v>70</v>
      </c>
      <c r="P739">
        <v>37</v>
      </c>
      <c r="T739">
        <v>10</v>
      </c>
      <c r="V739" t="s">
        <v>116</v>
      </c>
      <c r="Y739" s="38">
        <v>0.29166666666666669</v>
      </c>
      <c r="Z739" s="38">
        <v>0.79166666666666663</v>
      </c>
      <c r="AA739" t="s">
        <v>117</v>
      </c>
      <c r="AC739" t="s">
        <v>118</v>
      </c>
      <c r="AQ739">
        <v>0.25</v>
      </c>
      <c r="BI739">
        <v>0.33329999999999999</v>
      </c>
      <c r="BK739">
        <f>0</f>
        <v>0</v>
      </c>
      <c r="BL739">
        <f t="shared" si="165"/>
        <v>0.58329999999999993</v>
      </c>
      <c r="BM739">
        <f t="shared" si="166"/>
        <v>0</v>
      </c>
      <c r="BN739">
        <f t="shared" si="167"/>
        <v>0</v>
      </c>
      <c r="BO739">
        <f t="shared" si="168"/>
        <v>1</v>
      </c>
      <c r="BP739" s="37">
        <f>IF($F739="","",IFERROR(INDEX(Familias!$C$5:$C$300,MATCH($F739,Familias!$A$5:$A$300,0)),""))</f>
        <v>2450</v>
      </c>
      <c r="BQ739" s="37">
        <f t="shared" si="169"/>
        <v>22210</v>
      </c>
      <c r="BR739" s="36">
        <f t="shared" si="170"/>
        <v>12</v>
      </c>
      <c r="BS739" s="36">
        <f t="shared" si="171"/>
        <v>0.58330000000000004</v>
      </c>
      <c r="BT739" s="36">
        <f t="shared" si="172"/>
        <v>11.416700000000001</v>
      </c>
      <c r="BU739" s="36">
        <f t="shared" si="173"/>
        <v>9.0653000000000006</v>
      </c>
      <c r="BV739" s="39">
        <f t="shared" si="174"/>
        <v>0.79403855755165675</v>
      </c>
      <c r="BW739" s="39">
        <f t="shared" si="175"/>
        <v>0.99954975236380006</v>
      </c>
      <c r="BX739" s="40">
        <f t="shared" si="176"/>
        <v>1.3333333333333334E-2</v>
      </c>
      <c r="BY739" s="40">
        <f t="shared" si="177"/>
        <v>0</v>
      </c>
      <c r="BZ739" t="str">
        <f t="shared" si="178"/>
        <v>OK</v>
      </c>
      <c r="CA739">
        <f t="shared" si="179"/>
        <v>1</v>
      </c>
    </row>
    <row r="740" spans="1:80" x14ac:dyDescent="0.25">
      <c r="A740" s="35">
        <v>46260</v>
      </c>
      <c r="B740" s="36">
        <v>12</v>
      </c>
      <c r="C740" t="s">
        <v>119</v>
      </c>
      <c r="D740" t="s">
        <v>6</v>
      </c>
      <c r="E740" t="s">
        <v>126</v>
      </c>
      <c r="F740" t="s">
        <v>260</v>
      </c>
      <c r="G740">
        <v>5940</v>
      </c>
      <c r="H740">
        <v>2140110731</v>
      </c>
      <c r="I740" t="s">
        <v>261</v>
      </c>
      <c r="J740" s="37">
        <v>16900</v>
      </c>
      <c r="K740" s="37">
        <v>10</v>
      </c>
      <c r="M740">
        <v>5512</v>
      </c>
      <c r="O740">
        <v>56</v>
      </c>
      <c r="Q740">
        <v>56</v>
      </c>
      <c r="T740">
        <v>10</v>
      </c>
      <c r="V740" t="s">
        <v>120</v>
      </c>
      <c r="Y740" s="38">
        <v>0.79166666666666663</v>
      </c>
      <c r="Z740" s="38">
        <v>0.29166666666666669</v>
      </c>
      <c r="AA740" t="s">
        <v>117</v>
      </c>
      <c r="AC740" t="s">
        <v>118</v>
      </c>
      <c r="AI740">
        <v>0.41670000000000001</v>
      </c>
      <c r="AJ740">
        <v>0.33329999999999999</v>
      </c>
      <c r="AO740">
        <v>0.5</v>
      </c>
      <c r="AQ740">
        <v>0.25</v>
      </c>
      <c r="AR740">
        <v>0.75</v>
      </c>
      <c r="AS740">
        <v>0.5</v>
      </c>
      <c r="BI740">
        <v>0.33329999999999999</v>
      </c>
      <c r="BK740">
        <f>0</f>
        <v>0</v>
      </c>
      <c r="BL740">
        <f t="shared" si="165"/>
        <v>3.0832999999999999</v>
      </c>
      <c r="BM740">
        <f t="shared" si="166"/>
        <v>0</v>
      </c>
      <c r="BN740">
        <f t="shared" si="167"/>
        <v>0</v>
      </c>
      <c r="BO740">
        <f t="shared" si="168"/>
        <v>1</v>
      </c>
      <c r="BP740" s="37">
        <f>IF($F740="","",IFERROR(INDEX(Familias!$C$5:$C$300,MATCH($F740,Familias!$A$5:$A$300,0)),""))</f>
        <v>2100</v>
      </c>
      <c r="BQ740" s="37">
        <f t="shared" si="169"/>
        <v>16910</v>
      </c>
      <c r="BR740" s="36">
        <f t="shared" si="170"/>
        <v>12</v>
      </c>
      <c r="BS740" s="36">
        <f t="shared" si="171"/>
        <v>3.0832999999999999</v>
      </c>
      <c r="BT740" s="36">
        <f t="shared" si="172"/>
        <v>8.9167000000000005</v>
      </c>
      <c r="BU740" s="36">
        <f t="shared" si="173"/>
        <v>8.0524000000000004</v>
      </c>
      <c r="BV740" s="39">
        <f t="shared" si="174"/>
        <v>0.9030695212354346</v>
      </c>
      <c r="BW740" s="39">
        <f t="shared" si="175"/>
        <v>0.9994086339444116</v>
      </c>
      <c r="BX740" s="40">
        <f t="shared" si="176"/>
        <v>1.0159651669085631E-2</v>
      </c>
      <c r="BY740" s="40">
        <f t="shared" si="177"/>
        <v>1.0159651669085631E-2</v>
      </c>
      <c r="BZ740" t="str">
        <f t="shared" si="178"/>
        <v>OK</v>
      </c>
      <c r="CA740">
        <f t="shared" si="179"/>
        <v>1</v>
      </c>
    </row>
    <row r="741" spans="1:80" x14ac:dyDescent="0.25">
      <c r="A741" s="35">
        <v>46261</v>
      </c>
      <c r="B741" s="36">
        <v>12</v>
      </c>
      <c r="C741" t="s">
        <v>113</v>
      </c>
      <c r="D741" t="s">
        <v>6</v>
      </c>
      <c r="E741" t="s">
        <v>126</v>
      </c>
      <c r="F741" t="s">
        <v>260</v>
      </c>
      <c r="G741">
        <v>5940</v>
      </c>
      <c r="H741">
        <v>2140110731</v>
      </c>
      <c r="I741" t="s">
        <v>261</v>
      </c>
      <c r="J741" s="37">
        <v>19025</v>
      </c>
      <c r="K741" s="37">
        <v>5</v>
      </c>
      <c r="M741">
        <v>2052</v>
      </c>
      <c r="P741">
        <v>32</v>
      </c>
      <c r="Q741">
        <v>62</v>
      </c>
      <c r="V741" t="s">
        <v>116</v>
      </c>
      <c r="Y741" s="38">
        <v>0.29166666666666669</v>
      </c>
      <c r="Z741" s="38">
        <v>0.79166666666666663</v>
      </c>
      <c r="AA741" t="s">
        <v>117</v>
      </c>
      <c r="AC741" t="s">
        <v>118</v>
      </c>
      <c r="AO741">
        <v>0.25</v>
      </c>
      <c r="AQ741">
        <v>0.25</v>
      </c>
      <c r="BI741">
        <v>0.33329999999999999</v>
      </c>
      <c r="BK741">
        <f>0</f>
        <v>0</v>
      </c>
      <c r="BL741">
        <f t="shared" si="165"/>
        <v>0.83329999999999993</v>
      </c>
      <c r="BM741">
        <f t="shared" si="166"/>
        <v>0</v>
      </c>
      <c r="BN741">
        <f t="shared" si="167"/>
        <v>0</v>
      </c>
      <c r="BO741">
        <f t="shared" si="168"/>
        <v>1</v>
      </c>
      <c r="BP741" s="37">
        <f>IF($F741="","",IFERROR(INDEX(Familias!$C$5:$C$300,MATCH($F741,Familias!$A$5:$A$300,0)),""))</f>
        <v>2100</v>
      </c>
      <c r="BQ741" s="37">
        <f t="shared" si="169"/>
        <v>19030</v>
      </c>
      <c r="BR741" s="36">
        <f t="shared" si="170"/>
        <v>12</v>
      </c>
      <c r="BS741" s="36">
        <f t="shared" si="171"/>
        <v>0.83330000000000004</v>
      </c>
      <c r="BT741" s="36">
        <f t="shared" si="172"/>
        <v>11.166700000000001</v>
      </c>
      <c r="BU741" s="36">
        <f t="shared" si="173"/>
        <v>9.0618999999999996</v>
      </c>
      <c r="BV741" s="39">
        <f t="shared" si="174"/>
        <v>0.81151101041489426</v>
      </c>
      <c r="BW741" s="39">
        <f t="shared" si="175"/>
        <v>0.99973725696269045</v>
      </c>
      <c r="BX741" s="40">
        <f t="shared" si="176"/>
        <v>1.5594541910331383E-2</v>
      </c>
      <c r="BY741" s="40">
        <f t="shared" si="177"/>
        <v>3.0214424951267055E-2</v>
      </c>
      <c r="BZ741" t="str">
        <f t="shared" si="178"/>
        <v>OK</v>
      </c>
      <c r="CA741">
        <f t="shared" si="179"/>
        <v>1</v>
      </c>
    </row>
    <row r="742" spans="1:80" x14ac:dyDescent="0.25">
      <c r="A742" s="35">
        <v>46261</v>
      </c>
      <c r="B742" s="36">
        <v>12</v>
      </c>
      <c r="C742" t="s">
        <v>119</v>
      </c>
      <c r="D742" t="s">
        <v>6</v>
      </c>
      <c r="E742" t="s">
        <v>126</v>
      </c>
      <c r="F742" t="s">
        <v>260</v>
      </c>
      <c r="G742">
        <v>5940</v>
      </c>
      <c r="H742">
        <v>2140110731</v>
      </c>
      <c r="I742" t="s">
        <v>261</v>
      </c>
      <c r="J742" s="37">
        <v>17275</v>
      </c>
      <c r="K742" s="37">
        <v>3</v>
      </c>
      <c r="M742">
        <v>5472</v>
      </c>
      <c r="Q742">
        <v>30</v>
      </c>
      <c r="V742" t="s">
        <v>120</v>
      </c>
      <c r="Y742" s="38">
        <v>0.79166666666666663</v>
      </c>
      <c r="Z742" s="38">
        <v>0.29166666666666669</v>
      </c>
      <c r="AA742" t="s">
        <v>117</v>
      </c>
      <c r="AC742" t="s">
        <v>118</v>
      </c>
      <c r="AQ742">
        <v>0.25</v>
      </c>
      <c r="AR742">
        <v>0.75</v>
      </c>
      <c r="BI742">
        <v>0.5</v>
      </c>
      <c r="BK742">
        <f>0</f>
        <v>0</v>
      </c>
      <c r="BL742">
        <f t="shared" si="165"/>
        <v>1.5</v>
      </c>
      <c r="BM742">
        <f t="shared" si="166"/>
        <v>0</v>
      </c>
      <c r="BN742">
        <f t="shared" si="167"/>
        <v>0</v>
      </c>
      <c r="BO742">
        <f t="shared" si="168"/>
        <v>1</v>
      </c>
      <c r="BP742" s="37">
        <f>IF($F742="","",IFERROR(INDEX(Familias!$C$5:$C$300,MATCH($F742,Familias!$A$5:$A$300,0)),""))</f>
        <v>2100</v>
      </c>
      <c r="BQ742" s="37">
        <f t="shared" si="169"/>
        <v>17278</v>
      </c>
      <c r="BR742" s="36">
        <f t="shared" si="170"/>
        <v>12</v>
      </c>
      <c r="BS742" s="36">
        <f t="shared" si="171"/>
        <v>1.5</v>
      </c>
      <c r="BT742" s="36">
        <f t="shared" si="172"/>
        <v>10.5</v>
      </c>
      <c r="BU742" s="36">
        <f t="shared" si="173"/>
        <v>8.2276000000000007</v>
      </c>
      <c r="BV742" s="39">
        <f t="shared" si="174"/>
        <v>0.78358095238095249</v>
      </c>
      <c r="BW742" s="39">
        <f t="shared" si="175"/>
        <v>0.99982636879268438</v>
      </c>
      <c r="BX742" s="40">
        <f t="shared" si="176"/>
        <v>0</v>
      </c>
      <c r="BY742" s="40">
        <f t="shared" si="177"/>
        <v>5.4824561403508769E-3</v>
      </c>
      <c r="BZ742" t="str">
        <f t="shared" si="178"/>
        <v>OK</v>
      </c>
      <c r="CA742">
        <f t="shared" si="179"/>
        <v>1</v>
      </c>
    </row>
    <row r="743" spans="1:80" x14ac:dyDescent="0.25">
      <c r="A743" s="35">
        <v>46262</v>
      </c>
      <c r="B743" s="36">
        <v>12</v>
      </c>
      <c r="C743" t="s">
        <v>113</v>
      </c>
      <c r="D743" t="s">
        <v>6</v>
      </c>
      <c r="E743" t="s">
        <v>126</v>
      </c>
      <c r="F743" t="s">
        <v>260</v>
      </c>
      <c r="G743">
        <v>5940</v>
      </c>
      <c r="H743">
        <v>2140110731</v>
      </c>
      <c r="I743" t="s">
        <v>261</v>
      </c>
      <c r="J743" s="37">
        <v>19425</v>
      </c>
      <c r="K743" s="37">
        <v>5</v>
      </c>
      <c r="M743">
        <v>6231</v>
      </c>
      <c r="P743">
        <v>34</v>
      </c>
      <c r="V743" t="s">
        <v>116</v>
      </c>
      <c r="Y743" s="38">
        <v>0.29166666666666669</v>
      </c>
      <c r="Z743" s="38">
        <v>0.79166666666666663</v>
      </c>
      <c r="AA743" t="s">
        <v>117</v>
      </c>
      <c r="AC743" t="s">
        <v>118</v>
      </c>
      <c r="AG743">
        <v>0.5</v>
      </c>
      <c r="AQ743">
        <v>0.5</v>
      </c>
      <c r="AR743">
        <v>1.5</v>
      </c>
      <c r="BI743">
        <v>0.66669999999999996</v>
      </c>
      <c r="BK743">
        <f>0</f>
        <v>0</v>
      </c>
      <c r="BL743">
        <f t="shared" si="165"/>
        <v>3.1667000000000001</v>
      </c>
      <c r="BM743">
        <f t="shared" si="166"/>
        <v>0</v>
      </c>
      <c r="BN743">
        <f t="shared" si="167"/>
        <v>0</v>
      </c>
      <c r="BO743">
        <f t="shared" si="168"/>
        <v>1</v>
      </c>
      <c r="BP743" s="37">
        <f>IF($F743="","",IFERROR(INDEX(Familias!$C$5:$C$300,MATCH($F743,Familias!$A$5:$A$300,0)),""))</f>
        <v>2100</v>
      </c>
      <c r="BQ743" s="37">
        <f t="shared" si="169"/>
        <v>19430</v>
      </c>
      <c r="BR743" s="36">
        <f t="shared" si="170"/>
        <v>12</v>
      </c>
      <c r="BS743" s="36">
        <f t="shared" si="171"/>
        <v>3.1667000000000001</v>
      </c>
      <c r="BT743" s="36">
        <f t="shared" si="172"/>
        <v>8.8332999999999995</v>
      </c>
      <c r="BU743" s="36">
        <f t="shared" si="173"/>
        <v>9.2523999999999997</v>
      </c>
      <c r="BV743" s="39">
        <f t="shared" si="174"/>
        <v>1.0474454620583473</v>
      </c>
      <c r="BW743" s="39">
        <f t="shared" si="175"/>
        <v>0.99974266598044259</v>
      </c>
      <c r="BX743" s="40">
        <f t="shared" si="176"/>
        <v>5.4565880276039157E-3</v>
      </c>
      <c r="BY743" s="40">
        <f t="shared" si="177"/>
        <v>0</v>
      </c>
      <c r="BZ743" t="str">
        <f t="shared" si="178"/>
        <v>OK</v>
      </c>
      <c r="CA743">
        <f t="shared" si="179"/>
        <v>1</v>
      </c>
    </row>
    <row r="744" spans="1:80" x14ac:dyDescent="0.25">
      <c r="A744" s="35">
        <v>46262</v>
      </c>
      <c r="B744" s="36">
        <v>5.1787000000000001</v>
      </c>
      <c r="C744" t="s">
        <v>119</v>
      </c>
      <c r="D744" t="s">
        <v>6</v>
      </c>
      <c r="E744" t="s">
        <v>126</v>
      </c>
      <c r="F744" t="s">
        <v>260</v>
      </c>
      <c r="G744">
        <v>5940</v>
      </c>
      <c r="H744">
        <v>2140110731</v>
      </c>
      <c r="I744" t="s">
        <v>261</v>
      </c>
      <c r="J744" s="37">
        <v>7425</v>
      </c>
      <c r="K744" s="37"/>
      <c r="M744">
        <v>2237</v>
      </c>
      <c r="P744">
        <v>12</v>
      </c>
      <c r="V744" t="s">
        <v>120</v>
      </c>
      <c r="Y744" s="38">
        <v>0.79166666666666663</v>
      </c>
      <c r="Z744" s="38">
        <v>7.6388888888888886E-3</v>
      </c>
      <c r="AA744" t="s">
        <v>161</v>
      </c>
      <c r="AB744" t="s">
        <v>162</v>
      </c>
      <c r="AC744" t="s">
        <v>121</v>
      </c>
      <c r="BK744">
        <f>0</f>
        <v>0</v>
      </c>
      <c r="BL744">
        <f t="shared" si="165"/>
        <v>0</v>
      </c>
      <c r="BM744">
        <f t="shared" si="166"/>
        <v>0</v>
      </c>
      <c r="BN744">
        <f t="shared" si="167"/>
        <v>0</v>
      </c>
      <c r="BO744">
        <f t="shared" si="168"/>
        <v>1</v>
      </c>
      <c r="BP744" s="37">
        <f>IF($F744="","",IFERROR(INDEX(Familias!$C$5:$C$300,MATCH($F744,Familias!$A$5:$A$300,0)),""))</f>
        <v>2100</v>
      </c>
      <c r="BQ744" s="37">
        <f t="shared" si="169"/>
        <v>7425</v>
      </c>
      <c r="BR744" s="36">
        <f t="shared" si="170"/>
        <v>5.1787000000000001</v>
      </c>
      <c r="BS744" s="36">
        <f t="shared" si="171"/>
        <v>0</v>
      </c>
      <c r="BT744" s="36">
        <f t="shared" si="172"/>
        <v>5.1787000000000001</v>
      </c>
      <c r="BU744" s="36">
        <f t="shared" si="173"/>
        <v>3.5356999999999998</v>
      </c>
      <c r="BV744" s="39">
        <f t="shared" si="174"/>
        <v>0.68273891130978814</v>
      </c>
      <c r="BW744" s="39">
        <f t="shared" si="175"/>
        <v>1</v>
      </c>
      <c r="BX744" s="40">
        <f t="shared" si="176"/>
        <v>5.364327223960662E-3</v>
      </c>
      <c r="BY744" s="40">
        <f t="shared" si="177"/>
        <v>0</v>
      </c>
      <c r="BZ744" t="str">
        <f t="shared" si="178"/>
        <v>Paradas no digitadas</v>
      </c>
      <c r="CA744">
        <f t="shared" si="179"/>
        <v>0</v>
      </c>
    </row>
    <row r="745" spans="1:80" x14ac:dyDescent="0.25">
      <c r="A745" s="35">
        <v>46262</v>
      </c>
      <c r="B745" s="36">
        <v>6.8212999999999999</v>
      </c>
      <c r="C745" t="s">
        <v>119</v>
      </c>
      <c r="D745" t="s">
        <v>6</v>
      </c>
      <c r="E745" t="s">
        <v>126</v>
      </c>
      <c r="F745" t="s">
        <v>260</v>
      </c>
      <c r="G745">
        <v>5955</v>
      </c>
      <c r="H745">
        <v>2140110732</v>
      </c>
      <c r="I745" t="s">
        <v>262</v>
      </c>
      <c r="J745" s="37">
        <v>9775</v>
      </c>
      <c r="K745" s="37">
        <v>5</v>
      </c>
      <c r="M745">
        <v>3376</v>
      </c>
      <c r="P745">
        <v>18</v>
      </c>
      <c r="V745" t="s">
        <v>120</v>
      </c>
      <c r="Y745" s="38">
        <v>7.6388888888888886E-3</v>
      </c>
      <c r="Z745" s="38">
        <v>0.29166666666666669</v>
      </c>
      <c r="AA745" t="s">
        <v>161</v>
      </c>
      <c r="AC745" t="s">
        <v>121</v>
      </c>
      <c r="BK745">
        <f>0</f>
        <v>0</v>
      </c>
      <c r="BL745">
        <f t="shared" si="165"/>
        <v>0</v>
      </c>
      <c r="BM745">
        <f t="shared" si="166"/>
        <v>0</v>
      </c>
      <c r="BN745">
        <f t="shared" si="167"/>
        <v>0</v>
      </c>
      <c r="BO745">
        <f t="shared" si="168"/>
        <v>1</v>
      </c>
      <c r="BP745" s="37">
        <f>IF($F745="","",IFERROR(INDEX(Familias!$C$5:$C$300,MATCH($F745,Familias!$A$5:$A$300,0)),""))</f>
        <v>2100</v>
      </c>
      <c r="BQ745" s="37">
        <f t="shared" si="169"/>
        <v>9780</v>
      </c>
      <c r="BR745" s="36">
        <f t="shared" si="170"/>
        <v>6.8212999999999999</v>
      </c>
      <c r="BS745" s="36">
        <f t="shared" si="171"/>
        <v>0</v>
      </c>
      <c r="BT745" s="36">
        <f t="shared" si="172"/>
        <v>6.8212999999999999</v>
      </c>
      <c r="BU745" s="36">
        <f t="shared" si="173"/>
        <v>4.6570999999999998</v>
      </c>
      <c r="BV745" s="39">
        <f t="shared" si="174"/>
        <v>0.68272909855892572</v>
      </c>
      <c r="BW745" s="39">
        <f t="shared" si="175"/>
        <v>0.99948875255623726</v>
      </c>
      <c r="BX745" s="40">
        <f t="shared" si="176"/>
        <v>5.3317535545023701E-3</v>
      </c>
      <c r="BY745" s="40">
        <f t="shared" si="177"/>
        <v>0</v>
      </c>
      <c r="BZ745" t="str">
        <f t="shared" si="178"/>
        <v>Paradas no digitadas</v>
      </c>
      <c r="CA745">
        <f t="shared" si="179"/>
        <v>0</v>
      </c>
    </row>
    <row r="746" spans="1:80" x14ac:dyDescent="0.25">
      <c r="A746" s="35">
        <v>46263</v>
      </c>
      <c r="B746" s="36">
        <v>12</v>
      </c>
      <c r="C746" t="s">
        <v>113</v>
      </c>
      <c r="D746" t="s">
        <v>6</v>
      </c>
      <c r="E746" t="s">
        <v>126</v>
      </c>
      <c r="F746" t="s">
        <v>260</v>
      </c>
      <c r="G746">
        <v>5955</v>
      </c>
      <c r="H746">
        <v>2140110732</v>
      </c>
      <c r="I746" t="s">
        <v>262</v>
      </c>
      <c r="J746" s="37">
        <v>17700</v>
      </c>
      <c r="K746" s="37">
        <v>8</v>
      </c>
      <c r="M746">
        <v>5647</v>
      </c>
      <c r="P746">
        <v>34</v>
      </c>
      <c r="V746" t="s">
        <v>116</v>
      </c>
      <c r="Y746" s="38">
        <v>0.29166666666666669</v>
      </c>
      <c r="Z746" s="38">
        <v>0.79166666666666663</v>
      </c>
      <c r="AA746" t="s">
        <v>117</v>
      </c>
      <c r="AC746" t="s">
        <v>118</v>
      </c>
      <c r="AQ746">
        <v>0.25</v>
      </c>
      <c r="AR746">
        <v>1.5</v>
      </c>
      <c r="BC746">
        <v>0.5</v>
      </c>
      <c r="BI746">
        <v>0.66669999999999996</v>
      </c>
      <c r="BK746">
        <f>0</f>
        <v>0</v>
      </c>
      <c r="BL746">
        <f t="shared" si="165"/>
        <v>2.9167000000000001</v>
      </c>
      <c r="BM746">
        <f t="shared" si="166"/>
        <v>0</v>
      </c>
      <c r="BN746">
        <f t="shared" si="167"/>
        <v>0</v>
      </c>
      <c r="BO746">
        <f t="shared" si="168"/>
        <v>1</v>
      </c>
      <c r="BP746" s="37">
        <f>IF($F746="","",IFERROR(INDEX(Familias!$C$5:$C$300,MATCH($F746,Familias!$A$5:$A$300,0)),""))</f>
        <v>2100</v>
      </c>
      <c r="BQ746" s="37">
        <f t="shared" si="169"/>
        <v>17708</v>
      </c>
      <c r="BR746" s="36">
        <f t="shared" si="170"/>
        <v>12</v>
      </c>
      <c r="BS746" s="36">
        <f t="shared" si="171"/>
        <v>2.9167000000000001</v>
      </c>
      <c r="BT746" s="36">
        <f t="shared" si="172"/>
        <v>9.0832999999999995</v>
      </c>
      <c r="BU746" s="36">
        <f t="shared" si="173"/>
        <v>8.4323999999999995</v>
      </c>
      <c r="BV746" s="39">
        <f t="shared" si="174"/>
        <v>0.92834102143494102</v>
      </c>
      <c r="BW746" s="39">
        <f t="shared" si="175"/>
        <v>0.99954822679015132</v>
      </c>
      <c r="BX746" s="40">
        <f t="shared" si="176"/>
        <v>6.0208960510005315E-3</v>
      </c>
      <c r="BY746" s="40">
        <f t="shared" si="177"/>
        <v>0</v>
      </c>
      <c r="BZ746" t="str">
        <f t="shared" si="178"/>
        <v>OK</v>
      </c>
      <c r="CA746">
        <f t="shared" si="179"/>
        <v>1</v>
      </c>
    </row>
    <row r="747" spans="1:80" x14ac:dyDescent="0.25">
      <c r="A747" s="35">
        <v>46263</v>
      </c>
      <c r="B747" s="36">
        <v>12</v>
      </c>
      <c r="C747" t="s">
        <v>119</v>
      </c>
      <c r="D747" t="s">
        <v>6</v>
      </c>
      <c r="E747" t="s">
        <v>126</v>
      </c>
      <c r="F747" t="s">
        <v>260</v>
      </c>
      <c r="G747">
        <v>5955</v>
      </c>
      <c r="H747">
        <v>2140110732</v>
      </c>
      <c r="I747" t="s">
        <v>262</v>
      </c>
      <c r="J747" s="37">
        <v>14930</v>
      </c>
      <c r="K747" s="37">
        <v>8</v>
      </c>
      <c r="M747">
        <v>4612</v>
      </c>
      <c r="P747">
        <v>44</v>
      </c>
      <c r="V747" t="s">
        <v>120</v>
      </c>
      <c r="Y747" s="38">
        <v>0.79166666666666663</v>
      </c>
      <c r="Z747" s="38">
        <v>0.29166666666666669</v>
      </c>
      <c r="AA747" t="s">
        <v>161</v>
      </c>
      <c r="AB747" t="s">
        <v>162</v>
      </c>
      <c r="AC747" t="s">
        <v>118</v>
      </c>
      <c r="BK747">
        <f>0</f>
        <v>0</v>
      </c>
      <c r="BL747">
        <f t="shared" si="165"/>
        <v>0</v>
      </c>
      <c r="BM747">
        <f t="shared" si="166"/>
        <v>0</v>
      </c>
      <c r="BN747">
        <f t="shared" si="167"/>
        <v>0</v>
      </c>
      <c r="BO747">
        <f t="shared" si="168"/>
        <v>1</v>
      </c>
      <c r="BP747" s="37">
        <f>IF($F747="","",IFERROR(INDEX(Familias!$C$5:$C$300,MATCH($F747,Familias!$A$5:$A$300,0)),""))</f>
        <v>2100</v>
      </c>
      <c r="BQ747" s="37">
        <f t="shared" si="169"/>
        <v>14938</v>
      </c>
      <c r="BR747" s="36">
        <f t="shared" si="170"/>
        <v>12</v>
      </c>
      <c r="BS747" s="36">
        <f t="shared" si="171"/>
        <v>0</v>
      </c>
      <c r="BT747" s="36">
        <f t="shared" si="172"/>
        <v>12</v>
      </c>
      <c r="BU747" s="36">
        <f t="shared" si="173"/>
        <v>7.1132999999999997</v>
      </c>
      <c r="BV747" s="39">
        <f t="shared" si="174"/>
        <v>0.59277499999999994</v>
      </c>
      <c r="BW747" s="39">
        <f t="shared" si="175"/>
        <v>0.99946445307270049</v>
      </c>
      <c r="BX747" s="40">
        <f t="shared" si="176"/>
        <v>9.5403295750216832E-3</v>
      </c>
      <c r="BY747" s="40">
        <f t="shared" si="177"/>
        <v>0</v>
      </c>
      <c r="BZ747" t="str">
        <f t="shared" si="178"/>
        <v>Paradas no digitadas</v>
      </c>
      <c r="CA747">
        <f t="shared" si="179"/>
        <v>0</v>
      </c>
    </row>
    <row r="748" spans="1:80" x14ac:dyDescent="0.25">
      <c r="A748" s="35">
        <v>46265</v>
      </c>
      <c r="B748" s="36">
        <v>5.6719999999999997</v>
      </c>
      <c r="C748" t="s">
        <v>113</v>
      </c>
      <c r="D748" t="s">
        <v>6</v>
      </c>
      <c r="E748" t="s">
        <v>126</v>
      </c>
      <c r="F748" t="s">
        <v>260</v>
      </c>
      <c r="G748">
        <v>5955</v>
      </c>
      <c r="H748">
        <v>2140110732</v>
      </c>
      <c r="I748" t="s">
        <v>262</v>
      </c>
      <c r="J748" s="37">
        <v>7725</v>
      </c>
      <c r="K748" s="37">
        <v>6</v>
      </c>
      <c r="M748">
        <v>2468</v>
      </c>
      <c r="Q748">
        <v>28</v>
      </c>
      <c r="V748" t="s">
        <v>120</v>
      </c>
      <c r="Y748" s="38">
        <v>0.29166666666666669</v>
      </c>
      <c r="Z748" s="38">
        <v>0.52777777777777779</v>
      </c>
      <c r="AA748" t="s">
        <v>200</v>
      </c>
      <c r="AB748" t="s">
        <v>263</v>
      </c>
      <c r="AC748" t="s">
        <v>121</v>
      </c>
      <c r="AG748">
        <v>0.1182</v>
      </c>
      <c r="AQ748">
        <v>0.1182</v>
      </c>
      <c r="AR748">
        <v>0.35449999999999998</v>
      </c>
      <c r="BK748">
        <f>0</f>
        <v>0</v>
      </c>
      <c r="BL748">
        <f t="shared" si="165"/>
        <v>0.59089999999999998</v>
      </c>
      <c r="BM748">
        <f t="shared" si="166"/>
        <v>0</v>
      </c>
      <c r="BN748">
        <f t="shared" si="167"/>
        <v>0</v>
      </c>
      <c r="BO748">
        <f t="shared" si="168"/>
        <v>1</v>
      </c>
      <c r="BP748" s="37">
        <f>IF($F748="","",IFERROR(INDEX(Familias!$C$5:$C$300,MATCH($F748,Familias!$A$5:$A$300,0)),""))</f>
        <v>2100</v>
      </c>
      <c r="BQ748" s="37">
        <f t="shared" si="169"/>
        <v>7731</v>
      </c>
      <c r="BR748" s="36">
        <f t="shared" si="170"/>
        <v>5.6719999999999997</v>
      </c>
      <c r="BS748" s="36">
        <f t="shared" si="171"/>
        <v>0.59089999999999998</v>
      </c>
      <c r="BT748" s="36">
        <f t="shared" si="172"/>
        <v>5.0811000000000002</v>
      </c>
      <c r="BU748" s="36">
        <f t="shared" si="173"/>
        <v>3.6814</v>
      </c>
      <c r="BV748" s="39">
        <f t="shared" si="174"/>
        <v>0.72452815335262044</v>
      </c>
      <c r="BW748" s="39">
        <f t="shared" si="175"/>
        <v>0.99922390376406678</v>
      </c>
      <c r="BX748" s="40">
        <f t="shared" si="176"/>
        <v>0</v>
      </c>
      <c r="BY748" s="40">
        <f t="shared" si="177"/>
        <v>1.1345218800648298E-2</v>
      </c>
      <c r="BZ748" t="str">
        <f t="shared" si="178"/>
        <v>Paradas no digitadas</v>
      </c>
      <c r="CA748">
        <f t="shared" si="179"/>
        <v>0</v>
      </c>
    </row>
    <row r="749" spans="1:80" x14ac:dyDescent="0.25">
      <c r="A749" s="35">
        <v>46265</v>
      </c>
      <c r="B749" s="36">
        <v>6.3280000000000003</v>
      </c>
      <c r="C749" t="s">
        <v>113</v>
      </c>
      <c r="D749" t="s">
        <v>6</v>
      </c>
      <c r="E749" t="s">
        <v>126</v>
      </c>
      <c r="F749" t="s">
        <v>260</v>
      </c>
      <c r="G749">
        <v>6101</v>
      </c>
      <c r="H749">
        <v>2140110733</v>
      </c>
      <c r="I749" t="s">
        <v>264</v>
      </c>
      <c r="J749" s="37">
        <v>8625</v>
      </c>
      <c r="K749" s="37"/>
      <c r="M749">
        <v>2763</v>
      </c>
      <c r="Q749">
        <v>15</v>
      </c>
      <c r="V749" t="s">
        <v>120</v>
      </c>
      <c r="Y749" s="38">
        <v>0.52777777777777779</v>
      </c>
      <c r="Z749" s="38">
        <v>0.79166666666666663</v>
      </c>
      <c r="AA749" t="s">
        <v>200</v>
      </c>
      <c r="AC749" t="s">
        <v>121</v>
      </c>
      <c r="AG749">
        <v>0.1318</v>
      </c>
      <c r="AQ749">
        <v>0.1318</v>
      </c>
      <c r="AR749">
        <v>0.39550000000000002</v>
      </c>
      <c r="BK749">
        <f>0</f>
        <v>0</v>
      </c>
      <c r="BL749">
        <f t="shared" si="165"/>
        <v>0.65910000000000002</v>
      </c>
      <c r="BM749">
        <f t="shared" si="166"/>
        <v>0</v>
      </c>
      <c r="BN749">
        <f t="shared" si="167"/>
        <v>0</v>
      </c>
      <c r="BO749">
        <f t="shared" si="168"/>
        <v>1</v>
      </c>
      <c r="BP749" s="37">
        <f>IF($F749="","",IFERROR(INDEX(Familias!$C$5:$C$300,MATCH($F749,Familias!$A$5:$A$300,0)),""))</f>
        <v>2100</v>
      </c>
      <c r="BQ749" s="37">
        <f t="shared" si="169"/>
        <v>8625</v>
      </c>
      <c r="BR749" s="36">
        <f t="shared" si="170"/>
        <v>6.3280000000000003</v>
      </c>
      <c r="BS749" s="36">
        <f t="shared" si="171"/>
        <v>0.65910000000000002</v>
      </c>
      <c r="BT749" s="36">
        <f t="shared" si="172"/>
        <v>5.6688999999999998</v>
      </c>
      <c r="BU749" s="36">
        <f t="shared" si="173"/>
        <v>4.1071</v>
      </c>
      <c r="BV749" s="39">
        <f t="shared" si="174"/>
        <v>0.72449681596076843</v>
      </c>
      <c r="BW749" s="39">
        <f t="shared" si="175"/>
        <v>1</v>
      </c>
      <c r="BX749" s="40">
        <f t="shared" si="176"/>
        <v>0</v>
      </c>
      <c r="BY749" s="40">
        <f t="shared" si="177"/>
        <v>5.4288816503800215E-3</v>
      </c>
      <c r="BZ749" t="str">
        <f t="shared" si="178"/>
        <v>Paradas no digitadas</v>
      </c>
      <c r="CA749">
        <f t="shared" si="179"/>
        <v>0</v>
      </c>
    </row>
    <row r="750" spans="1:80" x14ac:dyDescent="0.25">
      <c r="A750" s="35">
        <v>46265</v>
      </c>
      <c r="B750" s="36">
        <v>10.816000000000001</v>
      </c>
      <c r="C750" t="s">
        <v>119</v>
      </c>
      <c r="D750" t="s">
        <v>6</v>
      </c>
      <c r="E750" t="s">
        <v>126</v>
      </c>
      <c r="F750" t="s">
        <v>260</v>
      </c>
      <c r="G750">
        <v>6101</v>
      </c>
      <c r="H750">
        <v>2140110733</v>
      </c>
      <c r="I750" t="s">
        <v>264</v>
      </c>
      <c r="J750" s="37">
        <v>14100</v>
      </c>
      <c r="K750" s="37">
        <v>6</v>
      </c>
      <c r="M750">
        <v>4599</v>
      </c>
      <c r="P750">
        <v>28</v>
      </c>
      <c r="Q750">
        <v>96</v>
      </c>
      <c r="V750" t="s">
        <v>116</v>
      </c>
      <c r="Y750" s="38">
        <v>0.79166666666666663</v>
      </c>
      <c r="Z750" s="38">
        <v>0.24236111111111111</v>
      </c>
      <c r="AA750" t="s">
        <v>117</v>
      </c>
      <c r="AC750" t="s">
        <v>121</v>
      </c>
      <c r="AE750">
        <v>0.75109999999999999</v>
      </c>
      <c r="AO750">
        <v>0.82620000000000005</v>
      </c>
      <c r="AR750">
        <v>0.67600000000000005</v>
      </c>
      <c r="BB750">
        <v>0.2253</v>
      </c>
      <c r="BI750">
        <v>0.3004</v>
      </c>
      <c r="BK750">
        <f>0</f>
        <v>0</v>
      </c>
      <c r="BL750">
        <f t="shared" si="165"/>
        <v>2.5537000000000001</v>
      </c>
      <c r="BM750">
        <f t="shared" si="166"/>
        <v>0.2253</v>
      </c>
      <c r="BN750">
        <f t="shared" si="167"/>
        <v>0</v>
      </c>
      <c r="BO750">
        <f t="shared" si="168"/>
        <v>1</v>
      </c>
      <c r="BP750" s="37">
        <f>IF($F750="","",IFERROR(INDEX(Familias!$C$5:$C$300,MATCH($F750,Familias!$A$5:$A$300,0)),""))</f>
        <v>2100</v>
      </c>
      <c r="BQ750" s="37">
        <f t="shared" si="169"/>
        <v>14106</v>
      </c>
      <c r="BR750" s="36">
        <f t="shared" si="170"/>
        <v>10.816000000000001</v>
      </c>
      <c r="BS750" s="36">
        <f t="shared" si="171"/>
        <v>2.7789999999999999</v>
      </c>
      <c r="BT750" s="36">
        <f t="shared" si="172"/>
        <v>8.0370000000000008</v>
      </c>
      <c r="BU750" s="36">
        <f t="shared" si="173"/>
        <v>6.7171000000000003</v>
      </c>
      <c r="BV750" s="39">
        <f t="shared" si="174"/>
        <v>0.83577205424909784</v>
      </c>
      <c r="BW750" s="39">
        <f t="shared" si="175"/>
        <v>0.99957464908549554</v>
      </c>
      <c r="BX750" s="40">
        <f t="shared" si="176"/>
        <v>6.0882800608828003E-3</v>
      </c>
      <c r="BY750" s="40">
        <f t="shared" si="177"/>
        <v>2.0874103065883887E-2</v>
      </c>
      <c r="BZ750" t="str">
        <f t="shared" si="178"/>
        <v>OK</v>
      </c>
      <c r="CA750">
        <f t="shared" si="179"/>
        <v>1</v>
      </c>
    </row>
    <row r="751" spans="1:80" x14ac:dyDescent="0.25">
      <c r="A751" s="35">
        <v>46265</v>
      </c>
      <c r="B751" s="36">
        <v>1.1839999999999999</v>
      </c>
      <c r="C751" t="s">
        <v>119</v>
      </c>
      <c r="D751" t="s">
        <v>6</v>
      </c>
      <c r="E751" t="s">
        <v>126</v>
      </c>
      <c r="F751" t="s">
        <v>144</v>
      </c>
      <c r="G751">
        <v>6119</v>
      </c>
      <c r="H751">
        <v>2140110524</v>
      </c>
      <c r="I751" t="s">
        <v>145</v>
      </c>
      <c r="J751" s="37">
        <v>1500</v>
      </c>
      <c r="K751" s="37"/>
      <c r="M751">
        <v>607</v>
      </c>
      <c r="Q751">
        <v>6</v>
      </c>
      <c r="R751">
        <v>20</v>
      </c>
      <c r="V751" t="s">
        <v>116</v>
      </c>
      <c r="Y751" s="38">
        <v>0.24236111111111111</v>
      </c>
      <c r="Z751" s="38">
        <v>0.29166666666666669</v>
      </c>
      <c r="AA751" t="s">
        <v>117</v>
      </c>
      <c r="AC751" t="s">
        <v>121</v>
      </c>
      <c r="AE751">
        <v>8.2199999999999995E-2</v>
      </c>
      <c r="AO751">
        <v>9.0399999999999994E-2</v>
      </c>
      <c r="AR751">
        <v>7.3999999999999996E-2</v>
      </c>
      <c r="BB751">
        <v>2.47E-2</v>
      </c>
      <c r="BI751">
        <v>3.2899999999999999E-2</v>
      </c>
      <c r="BK751">
        <f>0</f>
        <v>0</v>
      </c>
      <c r="BL751">
        <f t="shared" si="165"/>
        <v>0.27949999999999997</v>
      </c>
      <c r="BM751">
        <f t="shared" si="166"/>
        <v>2.47E-2</v>
      </c>
      <c r="BN751">
        <f t="shared" si="167"/>
        <v>0</v>
      </c>
      <c r="BO751">
        <f t="shared" si="168"/>
        <v>1</v>
      </c>
      <c r="BP751" s="37">
        <f>IF($F751="","",IFERROR(INDEX(Familias!$C$5:$C$300,MATCH($F751,Familias!$A$5:$A$300,0)),""))</f>
        <v>2040</v>
      </c>
      <c r="BQ751" s="37">
        <f t="shared" si="169"/>
        <v>1500</v>
      </c>
      <c r="BR751" s="36">
        <f t="shared" si="170"/>
        <v>1.1839999999999999</v>
      </c>
      <c r="BS751" s="36">
        <f t="shared" si="171"/>
        <v>0.30420000000000003</v>
      </c>
      <c r="BT751" s="36">
        <f t="shared" si="172"/>
        <v>0.87980000000000003</v>
      </c>
      <c r="BU751" s="36">
        <f t="shared" si="173"/>
        <v>0.73529999999999995</v>
      </c>
      <c r="BV751" s="39">
        <f t="shared" si="174"/>
        <v>0.83575812684701056</v>
      </c>
      <c r="BW751" s="39">
        <f t="shared" si="175"/>
        <v>1</v>
      </c>
      <c r="BX751" s="40">
        <f t="shared" si="176"/>
        <v>3.2948929159802305E-2</v>
      </c>
      <c r="BY751" s="40">
        <f t="shared" si="177"/>
        <v>9.8846787479406912E-3</v>
      </c>
      <c r="BZ751" t="str">
        <f t="shared" si="178"/>
        <v>OK</v>
      </c>
      <c r="CA751">
        <f t="shared" si="179"/>
        <v>1</v>
      </c>
    </row>
    <row r="752" spans="1:80" x14ac:dyDescent="0.25">
      <c r="A752" s="35">
        <v>46266</v>
      </c>
      <c r="B752" s="36">
        <v>8.1342999999999996</v>
      </c>
      <c r="C752" t="s">
        <v>113</v>
      </c>
      <c r="D752" t="s">
        <v>6</v>
      </c>
      <c r="E752" t="s">
        <v>126</v>
      </c>
      <c r="F752" t="s">
        <v>260</v>
      </c>
      <c r="G752">
        <v>6119</v>
      </c>
      <c r="H752">
        <v>2140110732</v>
      </c>
      <c r="I752" t="s">
        <v>262</v>
      </c>
      <c r="J752" s="37">
        <v>13550</v>
      </c>
      <c r="K752" s="37">
        <v>10</v>
      </c>
      <c r="M752">
        <v>4731</v>
      </c>
      <c r="P752">
        <v>12</v>
      </c>
      <c r="Q752">
        <v>24</v>
      </c>
      <c r="V752" t="s">
        <v>120</v>
      </c>
      <c r="Y752" s="38">
        <v>0.29166666666666669</v>
      </c>
      <c r="Z752" s="38">
        <v>0.63055555555555554</v>
      </c>
      <c r="AA752" t="s">
        <v>117</v>
      </c>
      <c r="AC752" t="s">
        <v>121</v>
      </c>
      <c r="AG752">
        <v>0.45190000000000002</v>
      </c>
      <c r="AQ752">
        <v>0.16950000000000001</v>
      </c>
      <c r="AR752">
        <v>0.50839999999999996</v>
      </c>
      <c r="BI752">
        <v>0.22600000000000001</v>
      </c>
      <c r="BK752">
        <f>0</f>
        <v>0</v>
      </c>
      <c r="BL752">
        <f t="shared" si="165"/>
        <v>1.3557999999999999</v>
      </c>
      <c r="BM752">
        <f t="shared" si="166"/>
        <v>0</v>
      </c>
      <c r="BN752">
        <f t="shared" si="167"/>
        <v>0</v>
      </c>
      <c r="BO752">
        <f t="shared" si="168"/>
        <v>1</v>
      </c>
      <c r="BP752" s="37">
        <f>IF($F752="","",IFERROR(INDEX(Familias!$C$5:$C$300,MATCH($F752,Familias!$A$5:$A$300,0)),""))</f>
        <v>2100</v>
      </c>
      <c r="BQ752" s="37">
        <f t="shared" si="169"/>
        <v>13560</v>
      </c>
      <c r="BR752" s="36">
        <f t="shared" si="170"/>
        <v>8.1342999999999996</v>
      </c>
      <c r="BS752" s="36">
        <f t="shared" si="171"/>
        <v>1.3557999999999999</v>
      </c>
      <c r="BT752" s="36">
        <f t="shared" si="172"/>
        <v>6.7785000000000002</v>
      </c>
      <c r="BU752" s="36">
        <f t="shared" si="173"/>
        <v>6.4570999999999996</v>
      </c>
      <c r="BV752" s="39">
        <f t="shared" si="174"/>
        <v>0.95258538024636707</v>
      </c>
      <c r="BW752" s="39">
        <f t="shared" si="175"/>
        <v>0.99926253687315636</v>
      </c>
      <c r="BX752" s="40">
        <f t="shared" si="176"/>
        <v>2.5364616360177552E-3</v>
      </c>
      <c r="BY752" s="40">
        <f t="shared" si="177"/>
        <v>5.0729232720355105E-3</v>
      </c>
      <c r="BZ752" t="str">
        <f t="shared" si="178"/>
        <v>OK</v>
      </c>
      <c r="CA752">
        <f t="shared" si="179"/>
        <v>1</v>
      </c>
    </row>
    <row r="753" spans="1:80" x14ac:dyDescent="0.25">
      <c r="A753" s="35">
        <v>46266</v>
      </c>
      <c r="B753" s="36">
        <v>3.8656999999999999</v>
      </c>
      <c r="C753" t="s">
        <v>113</v>
      </c>
      <c r="D753" t="s">
        <v>6</v>
      </c>
      <c r="E753" t="s">
        <v>126</v>
      </c>
      <c r="F753" t="s">
        <v>144</v>
      </c>
      <c r="G753">
        <v>6122</v>
      </c>
      <c r="H753">
        <v>2140110526</v>
      </c>
      <c r="I753" t="s">
        <v>146</v>
      </c>
      <c r="J753" s="37">
        <v>6250</v>
      </c>
      <c r="K753" s="37">
        <v>10</v>
      </c>
      <c r="M753">
        <v>2064</v>
      </c>
      <c r="Q753">
        <v>6</v>
      </c>
      <c r="V753" t="s">
        <v>120</v>
      </c>
      <c r="Y753" s="38">
        <v>0.63055555555555554</v>
      </c>
      <c r="Z753" s="38">
        <v>0.79166666666666663</v>
      </c>
      <c r="AA753" t="s">
        <v>117</v>
      </c>
      <c r="AC753" t="s">
        <v>121</v>
      </c>
      <c r="AG753">
        <v>0.21479999999999999</v>
      </c>
      <c r="AQ753">
        <v>8.0500000000000002E-2</v>
      </c>
      <c r="AR753">
        <v>0.24160000000000001</v>
      </c>
      <c r="BI753">
        <v>0.1074</v>
      </c>
      <c r="BK753">
        <f>0</f>
        <v>0</v>
      </c>
      <c r="BL753">
        <f t="shared" si="165"/>
        <v>0.64430000000000009</v>
      </c>
      <c r="BM753">
        <f t="shared" si="166"/>
        <v>0</v>
      </c>
      <c r="BN753">
        <f t="shared" si="167"/>
        <v>0</v>
      </c>
      <c r="BO753">
        <f t="shared" si="168"/>
        <v>1</v>
      </c>
      <c r="BP753" s="37">
        <f>IF($F753="","",IFERROR(INDEX(Familias!$C$5:$C$300,MATCH($F753,Familias!$A$5:$A$300,0)),""))</f>
        <v>2040</v>
      </c>
      <c r="BQ753" s="37">
        <f t="shared" si="169"/>
        <v>6260</v>
      </c>
      <c r="BR753" s="36">
        <f t="shared" si="170"/>
        <v>3.8656999999999999</v>
      </c>
      <c r="BS753" s="36">
        <f t="shared" si="171"/>
        <v>0.64429999999999998</v>
      </c>
      <c r="BT753" s="36">
        <f t="shared" si="172"/>
        <v>3.2214</v>
      </c>
      <c r="BU753" s="36">
        <f t="shared" si="173"/>
        <v>3.0686</v>
      </c>
      <c r="BV753" s="39">
        <f t="shared" si="174"/>
        <v>0.95256720680449491</v>
      </c>
      <c r="BW753" s="39">
        <f t="shared" si="175"/>
        <v>0.99840255591054317</v>
      </c>
      <c r="BX753" s="40">
        <f t="shared" si="176"/>
        <v>0</v>
      </c>
      <c r="BY753" s="40">
        <f t="shared" si="177"/>
        <v>2.9069767441860465E-3</v>
      </c>
      <c r="BZ753" t="str">
        <f t="shared" si="178"/>
        <v>OK</v>
      </c>
      <c r="CA753">
        <f t="shared" si="179"/>
        <v>1</v>
      </c>
    </row>
    <row r="754" spans="1:80" x14ac:dyDescent="0.25">
      <c r="A754" s="35">
        <v>46266</v>
      </c>
      <c r="B754" s="36">
        <v>1.8001</v>
      </c>
      <c r="C754" t="s">
        <v>119</v>
      </c>
      <c r="D754" t="s">
        <v>6</v>
      </c>
      <c r="E754" t="s">
        <v>126</v>
      </c>
      <c r="F754" t="s">
        <v>144</v>
      </c>
      <c r="G754">
        <v>6122</v>
      </c>
      <c r="H754">
        <v>2140110526</v>
      </c>
      <c r="I754" t="s">
        <v>146</v>
      </c>
      <c r="J754" s="37">
        <v>2475</v>
      </c>
      <c r="K754" s="37">
        <v>5</v>
      </c>
      <c r="M754">
        <v>825</v>
      </c>
      <c r="O754">
        <v>15</v>
      </c>
      <c r="Q754">
        <v>5</v>
      </c>
      <c r="V754" t="s">
        <v>116</v>
      </c>
      <c r="Y754" s="38">
        <v>0.79166666666666663</v>
      </c>
      <c r="Z754" s="38">
        <v>0.8666666666666667</v>
      </c>
      <c r="AA754" t="s">
        <v>117</v>
      </c>
      <c r="AC754" t="s">
        <v>121</v>
      </c>
      <c r="AG754">
        <v>8.7499999999999994E-2</v>
      </c>
      <c r="AR754">
        <v>0.1125</v>
      </c>
      <c r="BA754">
        <v>7.4999999999999997E-2</v>
      </c>
      <c r="BI754">
        <v>6.25E-2</v>
      </c>
      <c r="BK754">
        <f>0</f>
        <v>0</v>
      </c>
      <c r="BL754">
        <f t="shared" si="165"/>
        <v>0.26250000000000001</v>
      </c>
      <c r="BM754">
        <f t="shared" si="166"/>
        <v>7.4999999999999997E-2</v>
      </c>
      <c r="BN754">
        <f t="shared" si="167"/>
        <v>0</v>
      </c>
      <c r="BO754">
        <f t="shared" si="168"/>
        <v>1</v>
      </c>
      <c r="BP754" s="37">
        <f>IF($F754="","",IFERROR(INDEX(Familias!$C$5:$C$300,MATCH($F754,Familias!$A$5:$A$300,0)),""))</f>
        <v>2040</v>
      </c>
      <c r="BQ754" s="37">
        <f t="shared" si="169"/>
        <v>2480</v>
      </c>
      <c r="BR754" s="36">
        <f t="shared" si="170"/>
        <v>1.8001</v>
      </c>
      <c r="BS754" s="36">
        <f t="shared" si="171"/>
        <v>0.33750000000000002</v>
      </c>
      <c r="BT754" s="36">
        <f t="shared" si="172"/>
        <v>1.4625999999999999</v>
      </c>
      <c r="BU754" s="36">
        <f t="shared" si="173"/>
        <v>1.2157</v>
      </c>
      <c r="BV754" s="39">
        <f t="shared" si="174"/>
        <v>0.83119102967318481</v>
      </c>
      <c r="BW754" s="39">
        <f t="shared" si="175"/>
        <v>0.99798387096774188</v>
      </c>
      <c r="BX754" s="40">
        <f t="shared" si="176"/>
        <v>1.8181818181818181E-2</v>
      </c>
      <c r="BY754" s="40">
        <f t="shared" si="177"/>
        <v>6.0606060606060606E-3</v>
      </c>
      <c r="BZ754" t="str">
        <f t="shared" si="178"/>
        <v>OK</v>
      </c>
      <c r="CA754">
        <f t="shared" si="179"/>
        <v>1</v>
      </c>
    </row>
    <row r="755" spans="1:80" x14ac:dyDescent="0.25">
      <c r="A755" s="35">
        <v>46266</v>
      </c>
      <c r="B755" s="36">
        <v>10.1999</v>
      </c>
      <c r="C755" t="s">
        <v>119</v>
      </c>
      <c r="D755" t="s">
        <v>6</v>
      </c>
      <c r="E755" t="s">
        <v>126</v>
      </c>
      <c r="F755" t="s">
        <v>133</v>
      </c>
      <c r="G755">
        <v>5804</v>
      </c>
      <c r="H755">
        <v>2140110606</v>
      </c>
      <c r="I755" t="s">
        <v>141</v>
      </c>
      <c r="J755" s="37">
        <v>15975</v>
      </c>
      <c r="K755" s="37">
        <v>6</v>
      </c>
      <c r="M755">
        <v>5603</v>
      </c>
      <c r="O755">
        <v>45</v>
      </c>
      <c r="P755">
        <v>21</v>
      </c>
      <c r="Q755">
        <v>58</v>
      </c>
      <c r="R755">
        <v>29</v>
      </c>
      <c r="V755" t="s">
        <v>116</v>
      </c>
      <c r="Y755" s="38">
        <v>0.8666666666666667</v>
      </c>
      <c r="Z755" s="38">
        <v>0.29166666666666669</v>
      </c>
      <c r="AA755" t="s">
        <v>117</v>
      </c>
      <c r="AC755" t="s">
        <v>121</v>
      </c>
      <c r="AG755">
        <v>0.49580000000000002</v>
      </c>
      <c r="AR755">
        <v>0.63749999999999996</v>
      </c>
      <c r="BA755">
        <v>0.42499999999999999</v>
      </c>
      <c r="BI755">
        <v>0.35420000000000001</v>
      </c>
      <c r="BK755">
        <f>0</f>
        <v>0</v>
      </c>
      <c r="BL755">
        <f t="shared" si="165"/>
        <v>1.4875</v>
      </c>
      <c r="BM755">
        <f t="shared" si="166"/>
        <v>0.42499999999999999</v>
      </c>
      <c r="BN755">
        <f t="shared" si="167"/>
        <v>0</v>
      </c>
      <c r="BO755">
        <f t="shared" si="168"/>
        <v>1</v>
      </c>
      <c r="BP755" s="37">
        <f>IF($F755="","",IFERROR(INDEX(Familias!$C$5:$C$300,MATCH($F755,Familias!$A$5:$A$300,0)),""))</f>
        <v>2320</v>
      </c>
      <c r="BQ755" s="37">
        <f t="shared" si="169"/>
        <v>15981</v>
      </c>
      <c r="BR755" s="36">
        <f t="shared" si="170"/>
        <v>10.1999</v>
      </c>
      <c r="BS755" s="36">
        <f t="shared" si="171"/>
        <v>1.9125000000000001</v>
      </c>
      <c r="BT755" s="36">
        <f t="shared" si="172"/>
        <v>8.2873999999999999</v>
      </c>
      <c r="BU755" s="36">
        <f t="shared" si="173"/>
        <v>6.8883999999999999</v>
      </c>
      <c r="BV755" s="39">
        <f t="shared" si="174"/>
        <v>0.83118951661558516</v>
      </c>
      <c r="BW755" s="39">
        <f t="shared" si="175"/>
        <v>0.99962455415806273</v>
      </c>
      <c r="BX755" s="40">
        <f t="shared" si="176"/>
        <v>1.6955202570051758E-2</v>
      </c>
      <c r="BY755" s="40">
        <f t="shared" si="177"/>
        <v>1.0351597358557915E-2</v>
      </c>
      <c r="BZ755" t="str">
        <f t="shared" si="178"/>
        <v>OK</v>
      </c>
      <c r="CA755">
        <f t="shared" si="179"/>
        <v>1</v>
      </c>
    </row>
    <row r="756" spans="1:80" x14ac:dyDescent="0.25">
      <c r="A756" s="35">
        <v>46267</v>
      </c>
      <c r="B756" s="36">
        <v>12</v>
      </c>
      <c r="C756" t="s">
        <v>113</v>
      </c>
      <c r="D756" t="s">
        <v>6</v>
      </c>
      <c r="E756" t="s">
        <v>126</v>
      </c>
      <c r="F756" t="s">
        <v>133</v>
      </c>
      <c r="G756">
        <v>5804</v>
      </c>
      <c r="H756">
        <v>2140110606</v>
      </c>
      <c r="I756" t="s">
        <v>141</v>
      </c>
      <c r="J756" s="37">
        <v>21400</v>
      </c>
      <c r="K756" s="37">
        <v>5</v>
      </c>
      <c r="M756">
        <v>7403</v>
      </c>
      <c r="O756">
        <v>69</v>
      </c>
      <c r="Q756">
        <v>46</v>
      </c>
      <c r="V756" t="s">
        <v>120</v>
      </c>
      <c r="Y756" s="38">
        <v>0.29166666666666669</v>
      </c>
      <c r="Z756" s="38">
        <v>0.79166666666666663</v>
      </c>
      <c r="AA756" t="s">
        <v>117</v>
      </c>
      <c r="AC756" t="s">
        <v>118</v>
      </c>
      <c r="AQ756">
        <v>0.25</v>
      </c>
      <c r="AR756">
        <v>0.75</v>
      </c>
      <c r="BI756">
        <v>0.33329999999999999</v>
      </c>
      <c r="BK756">
        <f>0</f>
        <v>0</v>
      </c>
      <c r="BL756">
        <f t="shared" si="165"/>
        <v>1.3332999999999999</v>
      </c>
      <c r="BM756">
        <f t="shared" si="166"/>
        <v>0</v>
      </c>
      <c r="BN756">
        <f t="shared" si="167"/>
        <v>0</v>
      </c>
      <c r="BO756">
        <f t="shared" si="168"/>
        <v>1</v>
      </c>
      <c r="BP756" s="37">
        <f>IF($F756="","",IFERROR(INDEX(Familias!$C$5:$C$300,MATCH($F756,Familias!$A$5:$A$300,0)),""))</f>
        <v>2320</v>
      </c>
      <c r="BQ756" s="37">
        <f t="shared" si="169"/>
        <v>21405</v>
      </c>
      <c r="BR756" s="36">
        <f t="shared" si="170"/>
        <v>12</v>
      </c>
      <c r="BS756" s="36">
        <f t="shared" si="171"/>
        <v>1.3332999999999999</v>
      </c>
      <c r="BT756" s="36">
        <f t="shared" si="172"/>
        <v>10.666700000000001</v>
      </c>
      <c r="BU756" s="36">
        <f t="shared" si="173"/>
        <v>9.2263000000000002</v>
      </c>
      <c r="BV756" s="39">
        <f t="shared" si="174"/>
        <v>0.86496292199086877</v>
      </c>
      <c r="BW756" s="39">
        <f t="shared" si="175"/>
        <v>0.99976640971735575</v>
      </c>
      <c r="BX756" s="40">
        <f t="shared" si="176"/>
        <v>9.3205457247062008E-3</v>
      </c>
      <c r="BY756" s="40">
        <f t="shared" si="177"/>
        <v>6.2136971498041333E-3</v>
      </c>
      <c r="BZ756" t="str">
        <f t="shared" si="178"/>
        <v>OK</v>
      </c>
      <c r="CA756">
        <f t="shared" si="179"/>
        <v>1</v>
      </c>
    </row>
    <row r="757" spans="1:80" x14ac:dyDescent="0.25">
      <c r="A757" s="35">
        <v>46267</v>
      </c>
      <c r="B757" s="36">
        <v>12</v>
      </c>
      <c r="C757" t="s">
        <v>119</v>
      </c>
      <c r="D757" t="s">
        <v>6</v>
      </c>
      <c r="E757" t="s">
        <v>126</v>
      </c>
      <c r="F757" t="s">
        <v>133</v>
      </c>
      <c r="G757">
        <v>5804</v>
      </c>
      <c r="H757">
        <v>2140110606</v>
      </c>
      <c r="I757" t="s">
        <v>141</v>
      </c>
      <c r="J757" s="37">
        <v>20500</v>
      </c>
      <c r="K757" s="37">
        <v>10</v>
      </c>
      <c r="M757">
        <v>7101</v>
      </c>
      <c r="O757">
        <v>70</v>
      </c>
      <c r="P757">
        <v>32</v>
      </c>
      <c r="Q757">
        <v>79</v>
      </c>
      <c r="R757">
        <v>29</v>
      </c>
      <c r="V757" t="s">
        <v>116</v>
      </c>
      <c r="Y757" s="38">
        <v>0.79166666666666663</v>
      </c>
      <c r="Z757" s="38">
        <v>0.29166666666666669</v>
      </c>
      <c r="AA757" t="s">
        <v>117</v>
      </c>
      <c r="AC757" t="s">
        <v>118</v>
      </c>
      <c r="AQ757">
        <v>0.16669999999999999</v>
      </c>
      <c r="AR757">
        <v>0.75</v>
      </c>
      <c r="BA757">
        <v>0.16669999999999999</v>
      </c>
      <c r="BI757">
        <v>0.33329999999999999</v>
      </c>
      <c r="BK757">
        <f>0</f>
        <v>0</v>
      </c>
      <c r="BL757">
        <f t="shared" si="165"/>
        <v>1.25</v>
      </c>
      <c r="BM757">
        <f t="shared" si="166"/>
        <v>0.16669999999999999</v>
      </c>
      <c r="BN757">
        <f t="shared" si="167"/>
        <v>0</v>
      </c>
      <c r="BO757">
        <f t="shared" si="168"/>
        <v>1</v>
      </c>
      <c r="BP757" s="37">
        <f>IF($F757="","",IFERROR(INDEX(Familias!$C$5:$C$300,MATCH($F757,Familias!$A$5:$A$300,0)),""))</f>
        <v>2320</v>
      </c>
      <c r="BQ757" s="37">
        <f t="shared" si="169"/>
        <v>20510</v>
      </c>
      <c r="BR757" s="36">
        <f t="shared" si="170"/>
        <v>12</v>
      </c>
      <c r="BS757" s="36">
        <f t="shared" si="171"/>
        <v>1.4167000000000001</v>
      </c>
      <c r="BT757" s="36">
        <f t="shared" si="172"/>
        <v>10.583299999999999</v>
      </c>
      <c r="BU757" s="36">
        <f t="shared" si="173"/>
        <v>8.8405000000000005</v>
      </c>
      <c r="BV757" s="39">
        <f t="shared" si="174"/>
        <v>0.8353254655920177</v>
      </c>
      <c r="BW757" s="39">
        <f t="shared" si="175"/>
        <v>0.99951243295953196</v>
      </c>
      <c r="BX757" s="40">
        <f t="shared" si="176"/>
        <v>1.8448105900577383E-2</v>
      </c>
      <c r="BY757" s="40">
        <f t="shared" si="177"/>
        <v>1.1125193634699338E-2</v>
      </c>
      <c r="BZ757" t="str">
        <f t="shared" si="178"/>
        <v>OK</v>
      </c>
      <c r="CA757">
        <f t="shared" si="179"/>
        <v>1</v>
      </c>
    </row>
    <row r="758" spans="1:80" x14ac:dyDescent="0.25">
      <c r="A758" s="35">
        <v>46268</v>
      </c>
      <c r="B758" s="36">
        <v>12</v>
      </c>
      <c r="C758" t="s">
        <v>113</v>
      </c>
      <c r="D758" t="s">
        <v>6</v>
      </c>
      <c r="E758" t="s">
        <v>126</v>
      </c>
      <c r="F758" t="s">
        <v>133</v>
      </c>
      <c r="G758">
        <v>5804</v>
      </c>
      <c r="H758">
        <v>2140110606</v>
      </c>
      <c r="I758" t="s">
        <v>141</v>
      </c>
      <c r="J758" s="37">
        <v>22150</v>
      </c>
      <c r="K758" s="37">
        <v>10</v>
      </c>
      <c r="M758">
        <v>7649</v>
      </c>
      <c r="O758">
        <v>48</v>
      </c>
      <c r="Q758">
        <v>35</v>
      </c>
      <c r="V758" t="s">
        <v>120</v>
      </c>
      <c r="Y758" s="38">
        <v>0.29166666666666669</v>
      </c>
      <c r="Z758" s="38">
        <v>0.79166666666666663</v>
      </c>
      <c r="AA758" t="s">
        <v>117</v>
      </c>
      <c r="AC758" t="s">
        <v>118</v>
      </c>
      <c r="AQ758">
        <v>0.25</v>
      </c>
      <c r="AR758">
        <v>0.75</v>
      </c>
      <c r="BI758">
        <v>0.33329999999999999</v>
      </c>
      <c r="BK758">
        <f>0</f>
        <v>0</v>
      </c>
      <c r="BL758">
        <f t="shared" si="165"/>
        <v>1.3332999999999999</v>
      </c>
      <c r="BM758">
        <f t="shared" si="166"/>
        <v>0</v>
      </c>
      <c r="BN758">
        <f t="shared" si="167"/>
        <v>0</v>
      </c>
      <c r="BO758">
        <f t="shared" si="168"/>
        <v>1</v>
      </c>
      <c r="BP758" s="37">
        <f>IF($F758="","",IFERROR(INDEX(Familias!$C$5:$C$300,MATCH($F758,Familias!$A$5:$A$300,0)),""))</f>
        <v>2320</v>
      </c>
      <c r="BQ758" s="37">
        <f t="shared" si="169"/>
        <v>22160</v>
      </c>
      <c r="BR758" s="36">
        <f t="shared" si="170"/>
        <v>12</v>
      </c>
      <c r="BS758" s="36">
        <f t="shared" si="171"/>
        <v>1.3332999999999999</v>
      </c>
      <c r="BT758" s="36">
        <f t="shared" si="172"/>
        <v>10.666700000000001</v>
      </c>
      <c r="BU758" s="36">
        <f t="shared" si="173"/>
        <v>9.5517000000000003</v>
      </c>
      <c r="BV758" s="39">
        <f t="shared" si="174"/>
        <v>0.89546907665913544</v>
      </c>
      <c r="BW758" s="39">
        <f t="shared" si="175"/>
        <v>0.99954873646209386</v>
      </c>
      <c r="BX758" s="40">
        <f t="shared" si="176"/>
        <v>6.2753301085109164E-3</v>
      </c>
      <c r="BY758" s="40">
        <f t="shared" si="177"/>
        <v>4.5757615374558769E-3</v>
      </c>
      <c r="BZ758" t="str">
        <f t="shared" si="178"/>
        <v>OK</v>
      </c>
      <c r="CA758">
        <f t="shared" si="179"/>
        <v>1</v>
      </c>
    </row>
    <row r="759" spans="1:80" x14ac:dyDescent="0.25">
      <c r="A759" s="35">
        <v>46268</v>
      </c>
      <c r="B759" s="36">
        <v>12</v>
      </c>
      <c r="C759" t="s">
        <v>119</v>
      </c>
      <c r="D759" t="s">
        <v>6</v>
      </c>
      <c r="E759" t="s">
        <v>126</v>
      </c>
      <c r="F759" t="s">
        <v>133</v>
      </c>
      <c r="G759">
        <v>5804</v>
      </c>
      <c r="H759">
        <v>2140110606</v>
      </c>
      <c r="I759" t="s">
        <v>141</v>
      </c>
      <c r="J759" s="37">
        <v>21275</v>
      </c>
      <c r="K759" s="37">
        <v>6</v>
      </c>
      <c r="M759">
        <v>7234</v>
      </c>
      <c r="O759">
        <v>35</v>
      </c>
      <c r="P759">
        <v>33</v>
      </c>
      <c r="V759" t="s">
        <v>116</v>
      </c>
      <c r="Y759" s="38">
        <v>0.79166666666666663</v>
      </c>
      <c r="Z759" s="38">
        <v>0.29166666666666669</v>
      </c>
      <c r="AA759" t="s">
        <v>117</v>
      </c>
      <c r="AC759" t="s">
        <v>118</v>
      </c>
      <c r="AQ759">
        <v>0.16669999999999999</v>
      </c>
      <c r="AR759">
        <v>0.75</v>
      </c>
      <c r="BA759">
        <v>0.33329999999999999</v>
      </c>
      <c r="BI759">
        <v>0.33329999999999999</v>
      </c>
      <c r="BK759">
        <f>0</f>
        <v>0</v>
      </c>
      <c r="BL759">
        <f t="shared" si="165"/>
        <v>1.25</v>
      </c>
      <c r="BM759">
        <f t="shared" si="166"/>
        <v>0.33329999999999999</v>
      </c>
      <c r="BN759">
        <f t="shared" si="167"/>
        <v>0</v>
      </c>
      <c r="BO759">
        <f t="shared" si="168"/>
        <v>1</v>
      </c>
      <c r="BP759" s="37">
        <f>IF($F759="","",IFERROR(INDEX(Familias!$C$5:$C$300,MATCH($F759,Familias!$A$5:$A$300,0)),""))</f>
        <v>2320</v>
      </c>
      <c r="BQ759" s="37">
        <f t="shared" si="169"/>
        <v>21281</v>
      </c>
      <c r="BR759" s="36">
        <f t="shared" si="170"/>
        <v>12</v>
      </c>
      <c r="BS759" s="36">
        <f t="shared" si="171"/>
        <v>1.5832999999999999</v>
      </c>
      <c r="BT759" s="36">
        <f t="shared" si="172"/>
        <v>10.416700000000001</v>
      </c>
      <c r="BU759" s="36">
        <f t="shared" si="173"/>
        <v>9.1728000000000005</v>
      </c>
      <c r="BV759" s="39">
        <f t="shared" si="174"/>
        <v>0.88058598212485717</v>
      </c>
      <c r="BW759" s="39">
        <f t="shared" si="175"/>
        <v>0.99971805836191907</v>
      </c>
      <c r="BX759" s="40">
        <f t="shared" si="176"/>
        <v>9.4000552944429085E-3</v>
      </c>
      <c r="BY759" s="40">
        <f t="shared" si="177"/>
        <v>0</v>
      </c>
      <c r="BZ759" t="str">
        <f t="shared" si="178"/>
        <v>OK</v>
      </c>
      <c r="CA759">
        <f t="shared" si="179"/>
        <v>1</v>
      </c>
    </row>
    <row r="760" spans="1:80" x14ac:dyDescent="0.25">
      <c r="A760" s="35">
        <v>46269</v>
      </c>
      <c r="B760" s="36">
        <v>12</v>
      </c>
      <c r="C760" t="s">
        <v>113</v>
      </c>
      <c r="D760" t="s">
        <v>6</v>
      </c>
      <c r="E760" t="s">
        <v>126</v>
      </c>
      <c r="F760" t="s">
        <v>133</v>
      </c>
      <c r="G760">
        <v>5804</v>
      </c>
      <c r="H760">
        <v>2140110606</v>
      </c>
      <c r="I760" t="s">
        <v>141</v>
      </c>
      <c r="J760" s="37">
        <v>22650</v>
      </c>
      <c r="K760" s="37">
        <v>10</v>
      </c>
      <c r="M760">
        <v>7680</v>
      </c>
      <c r="O760">
        <v>43</v>
      </c>
      <c r="Q760">
        <v>59</v>
      </c>
      <c r="V760" t="s">
        <v>120</v>
      </c>
      <c r="Y760" s="38">
        <v>0.29166666666666669</v>
      </c>
      <c r="Z760" s="38">
        <v>0.79166666666666663</v>
      </c>
      <c r="AA760" t="s">
        <v>117</v>
      </c>
      <c r="AC760" t="s">
        <v>118</v>
      </c>
      <c r="AQ760">
        <v>0.16669999999999999</v>
      </c>
      <c r="AR760">
        <v>0.75</v>
      </c>
      <c r="BI760">
        <v>0.33329999999999999</v>
      </c>
      <c r="BK760">
        <f>0</f>
        <v>0</v>
      </c>
      <c r="BL760">
        <f t="shared" si="165"/>
        <v>1.25</v>
      </c>
      <c r="BM760">
        <f t="shared" si="166"/>
        <v>0</v>
      </c>
      <c r="BN760">
        <f t="shared" si="167"/>
        <v>0</v>
      </c>
      <c r="BO760">
        <f t="shared" si="168"/>
        <v>1</v>
      </c>
      <c r="BP760" s="37">
        <f>IF($F760="","",IFERROR(INDEX(Familias!$C$5:$C$300,MATCH($F760,Familias!$A$5:$A$300,0)),""))</f>
        <v>2320</v>
      </c>
      <c r="BQ760" s="37">
        <f t="shared" si="169"/>
        <v>22660</v>
      </c>
      <c r="BR760" s="36">
        <f t="shared" si="170"/>
        <v>12</v>
      </c>
      <c r="BS760" s="36">
        <f t="shared" si="171"/>
        <v>1.25</v>
      </c>
      <c r="BT760" s="36">
        <f t="shared" si="172"/>
        <v>10.75</v>
      </c>
      <c r="BU760" s="36">
        <f t="shared" si="173"/>
        <v>9.7672000000000008</v>
      </c>
      <c r="BV760" s="39">
        <f t="shared" si="174"/>
        <v>0.90857674418604661</v>
      </c>
      <c r="BW760" s="39">
        <f t="shared" si="175"/>
        <v>0.99955869373345096</v>
      </c>
      <c r="BX760" s="40">
        <f t="shared" si="176"/>
        <v>5.5989583333333334E-3</v>
      </c>
      <c r="BY760" s="40">
        <f t="shared" si="177"/>
        <v>7.6822916666666663E-3</v>
      </c>
      <c r="BZ760" t="str">
        <f t="shared" si="178"/>
        <v>OK</v>
      </c>
      <c r="CA760">
        <f t="shared" si="179"/>
        <v>1</v>
      </c>
    </row>
    <row r="761" spans="1:80" x14ac:dyDescent="0.25">
      <c r="A761" s="35">
        <v>46269</v>
      </c>
      <c r="B761" s="36">
        <v>12</v>
      </c>
      <c r="C761" t="s">
        <v>119</v>
      </c>
      <c r="D761" t="s">
        <v>6</v>
      </c>
      <c r="E761" t="s">
        <v>126</v>
      </c>
      <c r="F761" t="s">
        <v>133</v>
      </c>
      <c r="G761">
        <v>5804</v>
      </c>
      <c r="H761">
        <v>2140110606</v>
      </c>
      <c r="I761" t="s">
        <v>141</v>
      </c>
      <c r="J761" s="37">
        <v>21525</v>
      </c>
      <c r="K761" s="37">
        <v>5</v>
      </c>
      <c r="M761">
        <v>7409</v>
      </c>
      <c r="O761">
        <v>51</v>
      </c>
      <c r="P761">
        <v>29</v>
      </c>
      <c r="Q761">
        <v>90</v>
      </c>
      <c r="V761" t="s">
        <v>116</v>
      </c>
      <c r="Y761" s="38">
        <v>0.79166666666666663</v>
      </c>
      <c r="Z761" s="38">
        <v>0.29166666666666669</v>
      </c>
      <c r="AA761" t="s">
        <v>117</v>
      </c>
      <c r="AC761" t="s">
        <v>118</v>
      </c>
      <c r="AQ761">
        <v>0.16669999999999999</v>
      </c>
      <c r="AR761">
        <v>0.33329999999999999</v>
      </c>
      <c r="BI761">
        <v>0.33329999999999999</v>
      </c>
      <c r="BK761">
        <f>0</f>
        <v>0</v>
      </c>
      <c r="BL761">
        <f t="shared" si="165"/>
        <v>0.83329999999999993</v>
      </c>
      <c r="BM761">
        <f t="shared" si="166"/>
        <v>0</v>
      </c>
      <c r="BN761">
        <f t="shared" si="167"/>
        <v>0</v>
      </c>
      <c r="BO761">
        <f t="shared" si="168"/>
        <v>1</v>
      </c>
      <c r="BP761" s="37">
        <f>IF($F761="","",IFERROR(INDEX(Familias!$C$5:$C$300,MATCH($F761,Familias!$A$5:$A$300,0)),""))</f>
        <v>2320</v>
      </c>
      <c r="BQ761" s="37">
        <f t="shared" si="169"/>
        <v>21530</v>
      </c>
      <c r="BR761" s="36">
        <f t="shared" si="170"/>
        <v>12</v>
      </c>
      <c r="BS761" s="36">
        <f t="shared" si="171"/>
        <v>0.83330000000000004</v>
      </c>
      <c r="BT761" s="36">
        <f t="shared" si="172"/>
        <v>11.166700000000001</v>
      </c>
      <c r="BU761" s="36">
        <f t="shared" si="173"/>
        <v>9.2802000000000007</v>
      </c>
      <c r="BV761" s="39">
        <f t="shared" si="174"/>
        <v>0.8310602057904305</v>
      </c>
      <c r="BW761" s="39">
        <f t="shared" si="175"/>
        <v>0.99976776590803529</v>
      </c>
      <c r="BX761" s="40">
        <f t="shared" si="176"/>
        <v>1.0797678499122689E-2</v>
      </c>
      <c r="BY761" s="40">
        <f t="shared" si="177"/>
        <v>1.2147388311513024E-2</v>
      </c>
      <c r="BZ761" t="str">
        <f t="shared" si="178"/>
        <v>OK</v>
      </c>
      <c r="CA761">
        <f t="shared" si="179"/>
        <v>1</v>
      </c>
    </row>
    <row r="762" spans="1:80" x14ac:dyDescent="0.25">
      <c r="A762" s="35">
        <v>46270</v>
      </c>
      <c r="B762" s="36">
        <v>12</v>
      </c>
      <c r="C762" t="s">
        <v>113</v>
      </c>
      <c r="D762" t="s">
        <v>6</v>
      </c>
      <c r="E762" t="s">
        <v>126</v>
      </c>
      <c r="F762" t="s">
        <v>133</v>
      </c>
      <c r="G762">
        <v>5804</v>
      </c>
      <c r="H762">
        <v>2140110606</v>
      </c>
      <c r="I762" t="s">
        <v>141</v>
      </c>
      <c r="J762" s="37">
        <v>21000</v>
      </c>
      <c r="K762" s="37">
        <v>3</v>
      </c>
      <c r="M762">
        <v>7233</v>
      </c>
      <c r="O762">
        <v>59</v>
      </c>
      <c r="Q762">
        <v>27</v>
      </c>
      <c r="V762" t="s">
        <v>120</v>
      </c>
      <c r="Y762" s="38">
        <v>0.29166666666666669</v>
      </c>
      <c r="Z762" s="38">
        <v>0.79166666666666663</v>
      </c>
      <c r="AA762" t="s">
        <v>200</v>
      </c>
      <c r="AB762" t="s">
        <v>265</v>
      </c>
      <c r="AC762" t="s">
        <v>118</v>
      </c>
      <c r="AQ762">
        <v>0.25</v>
      </c>
      <c r="AR762">
        <v>0.75</v>
      </c>
      <c r="BI762">
        <v>0.33329999999999999</v>
      </c>
      <c r="BK762">
        <f>0</f>
        <v>0</v>
      </c>
      <c r="BL762">
        <f t="shared" si="165"/>
        <v>1.3332999999999999</v>
      </c>
      <c r="BM762">
        <f t="shared" si="166"/>
        <v>0</v>
      </c>
      <c r="BN762">
        <f t="shared" si="167"/>
        <v>0</v>
      </c>
      <c r="BO762">
        <f t="shared" si="168"/>
        <v>1</v>
      </c>
      <c r="BP762" s="37">
        <f>IF($F762="","",IFERROR(INDEX(Familias!$C$5:$C$300,MATCH($F762,Familias!$A$5:$A$300,0)),""))</f>
        <v>2320</v>
      </c>
      <c r="BQ762" s="37">
        <f t="shared" si="169"/>
        <v>21003</v>
      </c>
      <c r="BR762" s="36">
        <f t="shared" si="170"/>
        <v>12</v>
      </c>
      <c r="BS762" s="36">
        <f t="shared" si="171"/>
        <v>1.3332999999999999</v>
      </c>
      <c r="BT762" s="36">
        <f t="shared" si="172"/>
        <v>10.666700000000001</v>
      </c>
      <c r="BU762" s="36">
        <f t="shared" si="173"/>
        <v>9.0530000000000008</v>
      </c>
      <c r="BV762" s="39">
        <f t="shared" si="174"/>
        <v>0.84871609776219448</v>
      </c>
      <c r="BW762" s="39">
        <f t="shared" si="175"/>
        <v>0.99985716326239105</v>
      </c>
      <c r="BX762" s="40">
        <f t="shared" si="176"/>
        <v>8.1570579289368169E-3</v>
      </c>
      <c r="BY762" s="40">
        <f t="shared" si="177"/>
        <v>3.7328909166321027E-3</v>
      </c>
      <c r="BZ762" t="str">
        <f t="shared" si="178"/>
        <v>Paradas no digitadas</v>
      </c>
      <c r="CA762">
        <f t="shared" si="179"/>
        <v>0</v>
      </c>
    </row>
    <row r="763" spans="1:80" x14ac:dyDescent="0.25">
      <c r="A763" s="35">
        <v>46270</v>
      </c>
      <c r="B763" s="36">
        <v>12</v>
      </c>
      <c r="C763" t="s">
        <v>119</v>
      </c>
      <c r="D763" t="s">
        <v>6</v>
      </c>
      <c r="E763" t="s">
        <v>126</v>
      </c>
      <c r="F763" t="s">
        <v>133</v>
      </c>
      <c r="G763">
        <v>5804</v>
      </c>
      <c r="H763">
        <v>2140110606</v>
      </c>
      <c r="I763" t="s">
        <v>141</v>
      </c>
      <c r="J763" s="37">
        <v>17925</v>
      </c>
      <c r="K763" s="37">
        <v>8</v>
      </c>
      <c r="M763">
        <v>6100</v>
      </c>
      <c r="O763">
        <v>40</v>
      </c>
      <c r="P763">
        <v>34</v>
      </c>
      <c r="V763" t="s">
        <v>116</v>
      </c>
      <c r="Y763" s="38">
        <v>0.79166666666666663</v>
      </c>
      <c r="Z763" s="38">
        <v>0.29166666666666669</v>
      </c>
      <c r="AA763" t="s">
        <v>117</v>
      </c>
      <c r="AC763" t="s">
        <v>118</v>
      </c>
      <c r="AR763">
        <v>0.33329999999999999</v>
      </c>
      <c r="BC763">
        <v>2</v>
      </c>
      <c r="BI763">
        <v>0.33329999999999999</v>
      </c>
      <c r="BK763">
        <f>0</f>
        <v>0</v>
      </c>
      <c r="BL763">
        <f t="shared" si="165"/>
        <v>2.6665999999999999</v>
      </c>
      <c r="BM763">
        <f t="shared" si="166"/>
        <v>0</v>
      </c>
      <c r="BN763">
        <f t="shared" si="167"/>
        <v>0</v>
      </c>
      <c r="BO763">
        <f t="shared" si="168"/>
        <v>1</v>
      </c>
      <c r="BP763" s="37">
        <f>IF($F763="","",IFERROR(INDEX(Familias!$C$5:$C$300,MATCH($F763,Familias!$A$5:$A$300,0)),""))</f>
        <v>2320</v>
      </c>
      <c r="BQ763" s="37">
        <f t="shared" si="169"/>
        <v>17933</v>
      </c>
      <c r="BR763" s="36">
        <f t="shared" si="170"/>
        <v>12</v>
      </c>
      <c r="BS763" s="36">
        <f t="shared" si="171"/>
        <v>2.6665999999999999</v>
      </c>
      <c r="BT763" s="36">
        <f t="shared" si="172"/>
        <v>9.3333999999999993</v>
      </c>
      <c r="BU763" s="36">
        <f t="shared" si="173"/>
        <v>7.7297000000000002</v>
      </c>
      <c r="BV763" s="39">
        <f t="shared" si="174"/>
        <v>0.82817622731266216</v>
      </c>
      <c r="BW763" s="39">
        <f t="shared" si="175"/>
        <v>0.99955389505381143</v>
      </c>
      <c r="BX763" s="40">
        <f t="shared" si="176"/>
        <v>1.2131147540983607E-2</v>
      </c>
      <c r="BY763" s="40">
        <f t="shared" si="177"/>
        <v>0</v>
      </c>
      <c r="BZ763" t="str">
        <f t="shared" si="178"/>
        <v>OK</v>
      </c>
      <c r="CA763">
        <f t="shared" si="179"/>
        <v>1</v>
      </c>
    </row>
    <row r="764" spans="1:80" x14ac:dyDescent="0.25">
      <c r="A764" s="35">
        <v>46272</v>
      </c>
      <c r="B764" s="36">
        <v>12</v>
      </c>
      <c r="C764" t="s">
        <v>113</v>
      </c>
      <c r="D764" t="s">
        <v>6</v>
      </c>
      <c r="E764" t="s">
        <v>126</v>
      </c>
      <c r="F764" t="s">
        <v>133</v>
      </c>
      <c r="G764">
        <v>5803</v>
      </c>
      <c r="H764">
        <v>2140110637</v>
      </c>
      <c r="I764" t="s">
        <v>142</v>
      </c>
      <c r="J764" s="37">
        <v>15175</v>
      </c>
      <c r="K764" s="37">
        <v>8</v>
      </c>
      <c r="M764">
        <v>5210</v>
      </c>
      <c r="O764">
        <v>39</v>
      </c>
      <c r="P764">
        <v>21</v>
      </c>
      <c r="Q764">
        <v>22</v>
      </c>
      <c r="R764">
        <v>65</v>
      </c>
      <c r="V764" t="s">
        <v>120</v>
      </c>
      <c r="Y764" s="38">
        <v>0.29166666666666669</v>
      </c>
      <c r="Z764" s="38">
        <v>0.79166666666666663</v>
      </c>
      <c r="AA764" t="s">
        <v>117</v>
      </c>
      <c r="AC764" t="s">
        <v>118</v>
      </c>
      <c r="AO764">
        <v>0.25</v>
      </c>
      <c r="AQ764">
        <v>0.16669999999999999</v>
      </c>
      <c r="AR764">
        <v>0.75</v>
      </c>
      <c r="BA764">
        <v>3.6667000000000001</v>
      </c>
      <c r="BK764">
        <f>0</f>
        <v>0</v>
      </c>
      <c r="BL764">
        <f t="shared" si="165"/>
        <v>1.1667000000000001</v>
      </c>
      <c r="BM764">
        <f t="shared" si="166"/>
        <v>3.6667000000000001</v>
      </c>
      <c r="BN764">
        <f t="shared" si="167"/>
        <v>0</v>
      </c>
      <c r="BO764">
        <f t="shared" si="168"/>
        <v>1</v>
      </c>
      <c r="BP764" s="37">
        <f>IF($F764="","",IFERROR(INDEX(Familias!$C$5:$C$300,MATCH($F764,Familias!$A$5:$A$300,0)),""))</f>
        <v>2320</v>
      </c>
      <c r="BQ764" s="37">
        <f t="shared" si="169"/>
        <v>15183</v>
      </c>
      <c r="BR764" s="36">
        <f t="shared" si="170"/>
        <v>12</v>
      </c>
      <c r="BS764" s="36">
        <f t="shared" si="171"/>
        <v>4.8334000000000001</v>
      </c>
      <c r="BT764" s="36">
        <f t="shared" si="172"/>
        <v>7.1665999999999999</v>
      </c>
      <c r="BU764" s="36">
        <f t="shared" si="173"/>
        <v>6.5444000000000004</v>
      </c>
      <c r="BV764" s="39">
        <f t="shared" si="174"/>
        <v>0.91318058772639754</v>
      </c>
      <c r="BW764" s="39">
        <f t="shared" si="175"/>
        <v>0.99947309490877956</v>
      </c>
      <c r="BX764" s="40">
        <f t="shared" si="176"/>
        <v>2.3992322456813819E-2</v>
      </c>
      <c r="BY764" s="40">
        <f t="shared" si="177"/>
        <v>4.2226487523992322E-3</v>
      </c>
      <c r="BZ764" t="str">
        <f t="shared" si="178"/>
        <v>OK</v>
      </c>
      <c r="CA764">
        <f t="shared" si="179"/>
        <v>1</v>
      </c>
    </row>
    <row r="765" spans="1:80" x14ac:dyDescent="0.25">
      <c r="A765" s="35">
        <v>46272</v>
      </c>
      <c r="B765" s="36">
        <v>12</v>
      </c>
      <c r="C765" t="s">
        <v>119</v>
      </c>
      <c r="D765" t="s">
        <v>6</v>
      </c>
      <c r="E765" t="s">
        <v>126</v>
      </c>
      <c r="F765" t="s">
        <v>133</v>
      </c>
      <c r="G765">
        <v>5803</v>
      </c>
      <c r="H765">
        <v>2140110637</v>
      </c>
      <c r="I765" t="s">
        <v>142</v>
      </c>
      <c r="J765" s="37">
        <v>20725</v>
      </c>
      <c r="K765" s="37">
        <v>10</v>
      </c>
      <c r="M765">
        <v>7096</v>
      </c>
      <c r="O765">
        <v>66</v>
      </c>
      <c r="Q765">
        <v>27</v>
      </c>
      <c r="V765" t="s">
        <v>116</v>
      </c>
      <c r="Y765" s="38">
        <v>0.79166666666666663</v>
      </c>
      <c r="Z765" s="38">
        <v>0.29166666666666669</v>
      </c>
      <c r="AA765" t="s">
        <v>117</v>
      </c>
      <c r="AC765" t="s">
        <v>118</v>
      </c>
      <c r="AQ765">
        <v>0.16669999999999999</v>
      </c>
      <c r="AR765">
        <v>0.33329999999999999</v>
      </c>
      <c r="BI765">
        <v>0.33329999999999999</v>
      </c>
      <c r="BK765">
        <f>0</f>
        <v>0</v>
      </c>
      <c r="BL765">
        <f t="shared" si="165"/>
        <v>0.83329999999999993</v>
      </c>
      <c r="BM765">
        <f t="shared" si="166"/>
        <v>0</v>
      </c>
      <c r="BN765">
        <f t="shared" si="167"/>
        <v>0</v>
      </c>
      <c r="BO765">
        <f t="shared" si="168"/>
        <v>1</v>
      </c>
      <c r="BP765" s="37">
        <f>IF($F765="","",IFERROR(INDEX(Familias!$C$5:$C$300,MATCH($F765,Familias!$A$5:$A$300,0)),""))</f>
        <v>2320</v>
      </c>
      <c r="BQ765" s="37">
        <f t="shared" si="169"/>
        <v>20735</v>
      </c>
      <c r="BR765" s="36">
        <f t="shared" si="170"/>
        <v>12</v>
      </c>
      <c r="BS765" s="36">
        <f t="shared" si="171"/>
        <v>0.83330000000000004</v>
      </c>
      <c r="BT765" s="36">
        <f t="shared" si="172"/>
        <v>11.166700000000001</v>
      </c>
      <c r="BU765" s="36">
        <f t="shared" si="173"/>
        <v>8.9375</v>
      </c>
      <c r="BV765" s="39">
        <f t="shared" si="174"/>
        <v>0.80037074516195472</v>
      </c>
      <c r="BW765" s="39">
        <f t="shared" si="175"/>
        <v>0.99951772365565472</v>
      </c>
      <c r="BX765" s="40">
        <f t="shared" si="176"/>
        <v>9.3010146561443071E-3</v>
      </c>
      <c r="BY765" s="40">
        <f t="shared" si="177"/>
        <v>3.8049605411499435E-3</v>
      </c>
      <c r="BZ765" t="str">
        <f t="shared" si="178"/>
        <v>OK</v>
      </c>
      <c r="CA765">
        <f t="shared" si="179"/>
        <v>1</v>
      </c>
    </row>
    <row r="766" spans="1:80" x14ac:dyDescent="0.25">
      <c r="A766" s="35">
        <v>46273</v>
      </c>
      <c r="B766" s="36">
        <v>12</v>
      </c>
      <c r="C766" t="s">
        <v>113</v>
      </c>
      <c r="D766" t="s">
        <v>6</v>
      </c>
      <c r="E766" t="s">
        <v>126</v>
      </c>
      <c r="F766" t="s">
        <v>133</v>
      </c>
      <c r="G766">
        <v>5803</v>
      </c>
      <c r="H766">
        <v>2140110637</v>
      </c>
      <c r="I766" t="s">
        <v>142</v>
      </c>
      <c r="J766" s="37">
        <v>21075</v>
      </c>
      <c r="K766" s="37">
        <v>8</v>
      </c>
      <c r="M766">
        <v>7167</v>
      </c>
      <c r="O766">
        <v>50</v>
      </c>
      <c r="P766">
        <v>39</v>
      </c>
      <c r="V766" t="s">
        <v>116</v>
      </c>
      <c r="Y766" s="38">
        <v>0.29166666666666669</v>
      </c>
      <c r="Z766" s="38">
        <v>0.79166666666666663</v>
      </c>
      <c r="AA766" t="s">
        <v>117</v>
      </c>
      <c r="AC766" t="s">
        <v>118</v>
      </c>
      <c r="AO766">
        <v>0.5</v>
      </c>
      <c r="AQ766">
        <v>0.25</v>
      </c>
      <c r="AR766">
        <v>0.75</v>
      </c>
      <c r="BI766">
        <v>0.33329999999999999</v>
      </c>
      <c r="BK766">
        <f>0</f>
        <v>0</v>
      </c>
      <c r="BL766">
        <f t="shared" si="165"/>
        <v>1.8332999999999999</v>
      </c>
      <c r="BM766">
        <f t="shared" si="166"/>
        <v>0</v>
      </c>
      <c r="BN766">
        <f t="shared" si="167"/>
        <v>0</v>
      </c>
      <c r="BO766">
        <f t="shared" si="168"/>
        <v>1</v>
      </c>
      <c r="BP766" s="37">
        <f>IF($F766="","",IFERROR(INDEX(Familias!$C$5:$C$300,MATCH($F766,Familias!$A$5:$A$300,0)),""))</f>
        <v>2320</v>
      </c>
      <c r="BQ766" s="37">
        <f t="shared" si="169"/>
        <v>21083</v>
      </c>
      <c r="BR766" s="36">
        <f t="shared" si="170"/>
        <v>12</v>
      </c>
      <c r="BS766" s="36">
        <f t="shared" si="171"/>
        <v>1.8332999999999999</v>
      </c>
      <c r="BT766" s="36">
        <f t="shared" si="172"/>
        <v>10.166700000000001</v>
      </c>
      <c r="BU766" s="36">
        <f t="shared" si="173"/>
        <v>9.0875000000000004</v>
      </c>
      <c r="BV766" s="39">
        <f t="shared" si="174"/>
        <v>0.89384952836220211</v>
      </c>
      <c r="BW766" s="39">
        <f t="shared" si="175"/>
        <v>0.9996205473604326</v>
      </c>
      <c r="BX766" s="40">
        <f t="shared" si="176"/>
        <v>1.2418027068508442E-2</v>
      </c>
      <c r="BY766" s="40">
        <f t="shared" si="177"/>
        <v>0</v>
      </c>
      <c r="BZ766" t="str">
        <f t="shared" si="178"/>
        <v>OK</v>
      </c>
      <c r="CA766">
        <f t="shared" si="179"/>
        <v>1</v>
      </c>
    </row>
    <row r="767" spans="1:80" x14ac:dyDescent="0.25">
      <c r="A767" s="35">
        <v>46273</v>
      </c>
      <c r="B767" s="36">
        <v>10.085699999999999</v>
      </c>
      <c r="C767" t="s">
        <v>119</v>
      </c>
      <c r="D767" t="s">
        <v>6</v>
      </c>
      <c r="E767" t="s">
        <v>126</v>
      </c>
      <c r="F767" t="s">
        <v>133</v>
      </c>
      <c r="G767">
        <v>6207</v>
      </c>
      <c r="H767">
        <v>2140110677</v>
      </c>
      <c r="I767" t="s">
        <v>134</v>
      </c>
      <c r="J767" s="37">
        <v>17250</v>
      </c>
      <c r="K767" s="37">
        <v>5</v>
      </c>
      <c r="M767">
        <v>5895</v>
      </c>
      <c r="O767">
        <v>56</v>
      </c>
      <c r="P767">
        <v>3</v>
      </c>
      <c r="Q767">
        <v>39</v>
      </c>
      <c r="R767">
        <v>20</v>
      </c>
      <c r="V767" t="s">
        <v>120</v>
      </c>
      <c r="Y767" s="38">
        <v>0.79166666666666663</v>
      </c>
      <c r="Z767" s="38">
        <v>0.21180555555555561</v>
      </c>
      <c r="AA767" t="s">
        <v>117</v>
      </c>
      <c r="AC767" t="s">
        <v>136</v>
      </c>
      <c r="AQ767">
        <v>0.42020000000000002</v>
      </c>
      <c r="AR767">
        <v>0.63039999999999996</v>
      </c>
      <c r="BI767">
        <v>0.26619999999999999</v>
      </c>
      <c r="BK767">
        <f>0</f>
        <v>0</v>
      </c>
      <c r="BL767">
        <f t="shared" si="165"/>
        <v>1.3168</v>
      </c>
      <c r="BM767">
        <f t="shared" si="166"/>
        <v>0</v>
      </c>
      <c r="BN767">
        <f t="shared" si="167"/>
        <v>0</v>
      </c>
      <c r="BO767">
        <f t="shared" si="168"/>
        <v>1</v>
      </c>
      <c r="BP767" s="37">
        <f>IF($F767="","",IFERROR(INDEX(Familias!$C$5:$C$300,MATCH($F767,Familias!$A$5:$A$300,0)),""))</f>
        <v>2320</v>
      </c>
      <c r="BQ767" s="37">
        <f t="shared" si="169"/>
        <v>17255</v>
      </c>
      <c r="BR767" s="36">
        <f t="shared" si="170"/>
        <v>10.085699999999999</v>
      </c>
      <c r="BS767" s="36">
        <f t="shared" si="171"/>
        <v>1.3168</v>
      </c>
      <c r="BT767" s="36">
        <f t="shared" si="172"/>
        <v>8.7689000000000004</v>
      </c>
      <c r="BU767" s="36">
        <f t="shared" si="173"/>
        <v>7.4375</v>
      </c>
      <c r="BV767" s="39">
        <f t="shared" si="174"/>
        <v>0.84816795721242111</v>
      </c>
      <c r="BW767" s="39">
        <f t="shared" si="175"/>
        <v>0.99971022891915384</v>
      </c>
      <c r="BX767" s="40">
        <f t="shared" si="176"/>
        <v>1.3401187446988974E-2</v>
      </c>
      <c r="BY767" s="40">
        <f t="shared" si="177"/>
        <v>6.6157760814249365E-3</v>
      </c>
      <c r="BZ767" t="str">
        <f t="shared" si="178"/>
        <v>OK</v>
      </c>
      <c r="CA767">
        <f t="shared" si="179"/>
        <v>1</v>
      </c>
    </row>
    <row r="768" spans="1:80" x14ac:dyDescent="0.25">
      <c r="A768" s="35">
        <v>46273</v>
      </c>
      <c r="B768" s="36">
        <v>1.885</v>
      </c>
      <c r="C768" t="s">
        <v>119</v>
      </c>
      <c r="D768" t="s">
        <v>6</v>
      </c>
      <c r="E768" t="s">
        <v>126</v>
      </c>
      <c r="F768" t="s">
        <v>133</v>
      </c>
      <c r="G768">
        <v>6244</v>
      </c>
      <c r="H768">
        <v>2140110679</v>
      </c>
      <c r="I768" t="s">
        <v>137</v>
      </c>
      <c r="J768" s="37">
        <v>3225</v>
      </c>
      <c r="K768" s="37">
        <v>0</v>
      </c>
      <c r="M768">
        <v>1197</v>
      </c>
      <c r="O768">
        <v>5</v>
      </c>
      <c r="Q768">
        <v>8</v>
      </c>
      <c r="V768" t="s">
        <v>120</v>
      </c>
      <c r="Y768" s="38">
        <v>0.21180555555555561</v>
      </c>
      <c r="Z768" s="38">
        <v>0.2902777777777778</v>
      </c>
      <c r="AA768" t="s">
        <v>117</v>
      </c>
      <c r="AC768" t="s">
        <v>136</v>
      </c>
      <c r="AQ768">
        <v>7.85E-2</v>
      </c>
      <c r="AR768">
        <v>0.1178</v>
      </c>
      <c r="BI768">
        <v>4.9700000000000001E-2</v>
      </c>
      <c r="BK768">
        <f>0</f>
        <v>0</v>
      </c>
      <c r="BL768">
        <f t="shared" si="165"/>
        <v>0.246</v>
      </c>
      <c r="BM768">
        <f t="shared" si="166"/>
        <v>0</v>
      </c>
      <c r="BN768">
        <f t="shared" si="167"/>
        <v>0</v>
      </c>
      <c r="BO768">
        <f t="shared" si="168"/>
        <v>1</v>
      </c>
      <c r="BP768" s="37">
        <f>IF($F768="","",IFERROR(INDEX(Familias!$C$5:$C$300,MATCH($F768,Familias!$A$5:$A$300,0)),""))</f>
        <v>2320</v>
      </c>
      <c r="BQ768" s="37">
        <f t="shared" si="169"/>
        <v>3225</v>
      </c>
      <c r="BR768" s="36">
        <f t="shared" si="170"/>
        <v>1.885</v>
      </c>
      <c r="BS768" s="36">
        <f t="shared" si="171"/>
        <v>0.246</v>
      </c>
      <c r="BT768" s="36">
        <f t="shared" si="172"/>
        <v>1.639</v>
      </c>
      <c r="BU768" s="36">
        <f t="shared" si="173"/>
        <v>1.3900999999999999</v>
      </c>
      <c r="BV768" s="39">
        <f t="shared" si="174"/>
        <v>0.84813910921293467</v>
      </c>
      <c r="BW768" s="39">
        <f t="shared" si="175"/>
        <v>1</v>
      </c>
      <c r="BX768" s="40">
        <f t="shared" si="176"/>
        <v>4.1771094402673348E-3</v>
      </c>
      <c r="BY768" s="40">
        <f t="shared" si="177"/>
        <v>6.6833751044277356E-3</v>
      </c>
      <c r="BZ768" t="str">
        <f t="shared" si="178"/>
        <v>OK</v>
      </c>
      <c r="CA768">
        <f t="shared" si="179"/>
        <v>1</v>
      </c>
    </row>
    <row r="769" spans="1:80" x14ac:dyDescent="0.25">
      <c r="A769" s="35">
        <v>46273</v>
      </c>
      <c r="B769" s="36">
        <v>2.92E-2</v>
      </c>
      <c r="C769" t="s">
        <v>119</v>
      </c>
      <c r="D769" t="s">
        <v>6</v>
      </c>
      <c r="E769" t="s">
        <v>126</v>
      </c>
      <c r="F769" t="s">
        <v>133</v>
      </c>
      <c r="G769">
        <v>5803</v>
      </c>
      <c r="H769">
        <v>2140110637</v>
      </c>
      <c r="I769" t="s">
        <v>142</v>
      </c>
      <c r="J769" s="37">
        <v>50</v>
      </c>
      <c r="K769" s="37">
        <v>0</v>
      </c>
      <c r="V769" t="s">
        <v>120</v>
      </c>
      <c r="Y769" s="38">
        <v>0.2902777777777778</v>
      </c>
      <c r="Z769" s="38">
        <v>0.29166666666666669</v>
      </c>
      <c r="AA769" t="s">
        <v>117</v>
      </c>
      <c r="AC769" t="s">
        <v>136</v>
      </c>
      <c r="AQ769">
        <v>1.1999999999999999E-3</v>
      </c>
      <c r="AR769">
        <v>1.8E-3</v>
      </c>
      <c r="BI769">
        <v>8.0000000000000004E-4</v>
      </c>
      <c r="BK769">
        <f>0</f>
        <v>0</v>
      </c>
      <c r="BL769">
        <f t="shared" si="165"/>
        <v>3.8E-3</v>
      </c>
      <c r="BM769">
        <f t="shared" si="166"/>
        <v>0</v>
      </c>
      <c r="BN769">
        <f t="shared" si="167"/>
        <v>0</v>
      </c>
      <c r="BO769">
        <f t="shared" si="168"/>
        <v>1</v>
      </c>
      <c r="BP769" s="37">
        <f>IF($F769="","",IFERROR(INDEX(Familias!$C$5:$C$300,MATCH($F769,Familias!$A$5:$A$300,0)),""))</f>
        <v>2320</v>
      </c>
      <c r="BQ769" s="37">
        <f t="shared" si="169"/>
        <v>50</v>
      </c>
      <c r="BR769" s="36">
        <f t="shared" si="170"/>
        <v>2.92E-2</v>
      </c>
      <c r="BS769" s="36">
        <f t="shared" si="171"/>
        <v>3.8E-3</v>
      </c>
      <c r="BT769" s="36">
        <f t="shared" si="172"/>
        <v>2.5399999999999999E-2</v>
      </c>
      <c r="BU769" s="36">
        <f t="shared" si="173"/>
        <v>2.1600000000000001E-2</v>
      </c>
      <c r="BV769" s="39">
        <f t="shared" si="174"/>
        <v>0.85039370078740162</v>
      </c>
      <c r="BW769" s="39">
        <f t="shared" si="175"/>
        <v>1</v>
      </c>
      <c r="BX769" s="40" t="str">
        <f t="shared" si="176"/>
        <v/>
      </c>
      <c r="BY769" s="40" t="str">
        <f t="shared" si="177"/>
        <v/>
      </c>
      <c r="BZ769" t="str">
        <f t="shared" si="178"/>
        <v>OK</v>
      </c>
      <c r="CA769">
        <f t="shared" si="179"/>
        <v>1</v>
      </c>
    </row>
    <row r="770" spans="1:80" x14ac:dyDescent="0.25">
      <c r="A770" s="35">
        <v>46274</v>
      </c>
      <c r="B770" s="36">
        <v>5.9736000000000002</v>
      </c>
      <c r="C770" t="s">
        <v>113</v>
      </c>
      <c r="D770" t="s">
        <v>6</v>
      </c>
      <c r="E770" t="s">
        <v>126</v>
      </c>
      <c r="F770" t="s">
        <v>133</v>
      </c>
      <c r="G770">
        <v>6244</v>
      </c>
      <c r="H770">
        <v>2140110679</v>
      </c>
      <c r="I770" t="s">
        <v>137</v>
      </c>
      <c r="J770" s="37">
        <v>8825</v>
      </c>
      <c r="K770" s="37">
        <v>5</v>
      </c>
      <c r="M770">
        <v>3020</v>
      </c>
      <c r="O770">
        <v>43</v>
      </c>
      <c r="P770">
        <v>20</v>
      </c>
      <c r="R770">
        <v>25</v>
      </c>
      <c r="V770" t="s">
        <v>116</v>
      </c>
      <c r="Y770" s="38">
        <v>0.29166666666666669</v>
      </c>
      <c r="Z770" s="38">
        <v>0.54027777777777775</v>
      </c>
      <c r="AA770" t="s">
        <v>117</v>
      </c>
      <c r="AC770" t="s">
        <v>121</v>
      </c>
      <c r="AJ770">
        <v>0.24890000000000001</v>
      </c>
      <c r="AO770">
        <v>0.1245</v>
      </c>
      <c r="AQ770">
        <v>0.45629999999999998</v>
      </c>
      <c r="BI770">
        <v>0.16589999999999999</v>
      </c>
      <c r="BJ770">
        <v>0.87119999999999997</v>
      </c>
      <c r="BK770">
        <f>0</f>
        <v>0</v>
      </c>
      <c r="BL770">
        <f t="shared" ref="BL770:BL827" si="180">N(AD770)+N(AE770)+N(AF770)+N(AG770)+N(AH770)+N(AI770)+N(AJ770)+N(AK770)+N(AL770)+N(AM770)+N(AN770)+N(AO770)+N(AP770)+N(AQ770)+N(AR770)+N(AS770)+N(AT770)+N(AU770)+N(AW770)+N(AX770)+N(AY770)+N(BC770)+N(BE770)+N(BF770)+N(BH770)+N(BI770)+N(BJ770)</f>
        <v>1.8668</v>
      </c>
      <c r="BM770">
        <f t="shared" ref="BM770:BM827" si="181">N(AZ770)+N(BA770)+N(BB770)+N(BD770)</f>
        <v>0</v>
      </c>
      <c r="BN770">
        <f t="shared" ref="BN770:BN827" si="182">N(AV770)+N(BG770)</f>
        <v>0</v>
      </c>
      <c r="BO770">
        <f t="shared" ref="BO770:BO827" si="183">IF($A770="","",IF(WEEKDAY($A770,2)=7,0,1))</f>
        <v>1</v>
      </c>
      <c r="BP770" s="37">
        <f>IF($F770="","",IFERROR(INDEX(Familias!$C$5:$C$300,MATCH($F770,Familias!$A$5:$A$300,0)),""))</f>
        <v>2320</v>
      </c>
      <c r="BQ770" s="37">
        <f t="shared" ref="BQ770:BQ827" si="184">IF(AND($J770="",$K770=""),"",N($J770)+N($K770))</f>
        <v>8830</v>
      </c>
      <c r="BR770" s="36">
        <f t="shared" ref="BR770:BR827" si="185">IF($A770="","",ROUND(N($B770),4))</f>
        <v>5.9736000000000002</v>
      </c>
      <c r="BS770" s="36">
        <f t="shared" ref="BS770:BS827" si="186">IF($A770="","",ROUND(SUM($AD770:$BJ770),4))</f>
        <v>1.8668</v>
      </c>
      <c r="BT770" s="36">
        <f t="shared" ref="BT770:BT827" si="187">IF($A770="","",ROUND(MAX(0,$BR770-$BS770),4))</f>
        <v>4.1067999999999998</v>
      </c>
      <c r="BU770" s="36">
        <f t="shared" ref="BU770:BU827" si="188">IF(OR($BQ770="",$BP770="",N($BP770)=0),"",ROUND($BQ770/$BP770,4))</f>
        <v>3.806</v>
      </c>
      <c r="BV770" s="39">
        <f t="shared" ref="BV770:BV827" si="189">IF(OR($BU770="",N($BT770)=0),"",$BU770/$BT770)</f>
        <v>0.92675562481737617</v>
      </c>
      <c r="BW770" s="39">
        <f t="shared" ref="BW770:BW827" si="190">IF(N($BQ770)&gt;0,N($J770)/$BQ770,"")</f>
        <v>0.99943374858437151</v>
      </c>
      <c r="BX770" s="40">
        <f t="shared" ref="BX770:BX827" si="191">IF(N($M770)&gt;0,(N($P770)+N($O770)+N($R770))/$M770,"")</f>
        <v>2.9139072847682121E-2</v>
      </c>
      <c r="BY770" s="40">
        <f t="shared" ref="BY770:BY827" si="192">IF(N($M770)&gt;0,N($Q770)/$M770,"")</f>
        <v>0</v>
      </c>
      <c r="BZ770" t="str">
        <f t="shared" ref="BZ770:BZ827" si="193">IF($A770="","",IF($BO770=0,"Domingo",IF($AA770&lt;&gt;"Sí","Paradas no digitadas",IF($BQ770="",IF(N($BT770)&gt;0,"Sin producción","Parada total"),IF($F770="","Sin familia",IF($BP770="","Familia sin estándar",IF(AND($BV770&lt;&gt;"",N($BV770)&gt;1.1),"Revisar rendimiento","OK")))))))</f>
        <v>OK</v>
      </c>
      <c r="CA770">
        <f t="shared" ref="CA770:CA827" si="194">IF(OR($BU770="",$BO770&lt;&gt;1,$AA770&lt;&gt;"Sí"),0,1)</f>
        <v>1</v>
      </c>
    </row>
    <row r="771" spans="1:80" x14ac:dyDescent="0.25">
      <c r="A771" s="35">
        <v>46274</v>
      </c>
      <c r="B771" s="36">
        <v>6.0263999999999998</v>
      </c>
      <c r="C771" t="s">
        <v>113</v>
      </c>
      <c r="D771" t="s">
        <v>6</v>
      </c>
      <c r="E771" t="s">
        <v>126</v>
      </c>
      <c r="F771" t="s">
        <v>133</v>
      </c>
      <c r="G771">
        <v>6251</v>
      </c>
      <c r="H771">
        <v>2140110680</v>
      </c>
      <c r="I771" t="s">
        <v>138</v>
      </c>
      <c r="J771" s="37">
        <v>8900</v>
      </c>
      <c r="K771" s="37">
        <v>8</v>
      </c>
      <c r="M771">
        <v>3027</v>
      </c>
      <c r="O771">
        <v>23</v>
      </c>
      <c r="P771">
        <v>13</v>
      </c>
      <c r="V771" t="s">
        <v>116</v>
      </c>
      <c r="Y771" s="38">
        <v>0.54027777777777775</v>
      </c>
      <c r="Z771" s="38">
        <v>0.79166666666666663</v>
      </c>
      <c r="AA771" t="s">
        <v>117</v>
      </c>
      <c r="AC771" t="s">
        <v>121</v>
      </c>
      <c r="AJ771">
        <v>0.25109999999999999</v>
      </c>
      <c r="AO771">
        <v>0.1255</v>
      </c>
      <c r="AQ771">
        <v>0.46029999999999999</v>
      </c>
      <c r="BI771">
        <v>0.16739999999999999</v>
      </c>
      <c r="BJ771">
        <v>0.87880000000000003</v>
      </c>
      <c r="BK771">
        <f>0</f>
        <v>0</v>
      </c>
      <c r="BL771">
        <f t="shared" si="180"/>
        <v>1.8831</v>
      </c>
      <c r="BM771">
        <f t="shared" si="181"/>
        <v>0</v>
      </c>
      <c r="BN771">
        <f t="shared" si="182"/>
        <v>0</v>
      </c>
      <c r="BO771">
        <f t="shared" si="183"/>
        <v>1</v>
      </c>
      <c r="BP771" s="37">
        <f>IF($F771="","",IFERROR(INDEX(Familias!$C$5:$C$300,MATCH($F771,Familias!$A$5:$A$300,0)),""))</f>
        <v>2320</v>
      </c>
      <c r="BQ771" s="37">
        <f t="shared" si="184"/>
        <v>8908</v>
      </c>
      <c r="BR771" s="36">
        <f t="shared" si="185"/>
        <v>6.0263999999999998</v>
      </c>
      <c r="BS771" s="36">
        <f t="shared" si="186"/>
        <v>1.8831</v>
      </c>
      <c r="BT771" s="36">
        <f t="shared" si="187"/>
        <v>4.1433</v>
      </c>
      <c r="BU771" s="36">
        <f t="shared" si="188"/>
        <v>3.8397000000000001</v>
      </c>
      <c r="BV771" s="39">
        <f t="shared" si="189"/>
        <v>0.92672507421620454</v>
      </c>
      <c r="BW771" s="39">
        <f t="shared" si="190"/>
        <v>0.99910193084867538</v>
      </c>
      <c r="BX771" s="40">
        <f t="shared" si="191"/>
        <v>1.1892963330029732E-2</v>
      </c>
      <c r="BY771" s="40">
        <f t="shared" si="192"/>
        <v>0</v>
      </c>
      <c r="BZ771" t="str">
        <f t="shared" si="193"/>
        <v>OK</v>
      </c>
      <c r="CA771">
        <f t="shared" si="194"/>
        <v>1</v>
      </c>
    </row>
    <row r="772" spans="1:80" x14ac:dyDescent="0.25">
      <c r="A772" s="35">
        <v>46274</v>
      </c>
      <c r="B772" s="36">
        <v>1.7643</v>
      </c>
      <c r="C772" t="s">
        <v>119</v>
      </c>
      <c r="D772" t="s">
        <v>6</v>
      </c>
      <c r="E772" t="s">
        <v>126</v>
      </c>
      <c r="F772" t="s">
        <v>133</v>
      </c>
      <c r="G772">
        <v>6251</v>
      </c>
      <c r="H772">
        <v>2140110680</v>
      </c>
      <c r="I772" t="s">
        <v>138</v>
      </c>
      <c r="J772" s="37">
        <v>3100</v>
      </c>
      <c r="K772" s="37"/>
      <c r="M772">
        <v>1135</v>
      </c>
      <c r="O772">
        <v>13</v>
      </c>
      <c r="Q772">
        <v>14</v>
      </c>
      <c r="V772" t="s">
        <v>120</v>
      </c>
      <c r="Y772" s="38">
        <v>0.79166666666666663</v>
      </c>
      <c r="Z772" s="38">
        <v>0.86527777777777781</v>
      </c>
      <c r="AA772" t="s">
        <v>117</v>
      </c>
      <c r="AC772" t="s">
        <v>136</v>
      </c>
      <c r="AO772">
        <v>6.13E-2</v>
      </c>
      <c r="AQ772">
        <v>2.2299000000000002</v>
      </c>
      <c r="AR772">
        <v>0.1103</v>
      </c>
      <c r="BI772">
        <v>4.9000000000000002E-2</v>
      </c>
      <c r="BK772">
        <f>0</f>
        <v>0</v>
      </c>
      <c r="BL772">
        <f t="shared" si="180"/>
        <v>2.4505000000000003</v>
      </c>
      <c r="BM772">
        <f t="shared" si="181"/>
        <v>0</v>
      </c>
      <c r="BN772">
        <f t="shared" si="182"/>
        <v>0</v>
      </c>
      <c r="BO772">
        <f t="shared" si="183"/>
        <v>1</v>
      </c>
      <c r="BP772" s="37">
        <f>IF($F772="","",IFERROR(INDEX(Familias!$C$5:$C$300,MATCH($F772,Familias!$A$5:$A$300,0)),""))</f>
        <v>2320</v>
      </c>
      <c r="BQ772" s="37">
        <f t="shared" si="184"/>
        <v>3100</v>
      </c>
      <c r="BR772" s="36">
        <f t="shared" si="185"/>
        <v>1.7643</v>
      </c>
      <c r="BS772" s="36">
        <f t="shared" si="186"/>
        <v>2.4504999999999999</v>
      </c>
      <c r="BT772" s="36">
        <f t="shared" si="187"/>
        <v>0</v>
      </c>
      <c r="BU772" s="36">
        <f t="shared" si="188"/>
        <v>1.3362000000000001</v>
      </c>
      <c r="BV772" s="39" t="str">
        <f t="shared" si="189"/>
        <v/>
      </c>
      <c r="BW772" s="39">
        <f t="shared" si="190"/>
        <v>1</v>
      </c>
      <c r="BX772" s="40">
        <f t="shared" si="191"/>
        <v>1.145374449339207E-2</v>
      </c>
      <c r="BY772" s="40">
        <f t="shared" si="192"/>
        <v>1.2334801762114538E-2</v>
      </c>
      <c r="BZ772" t="str">
        <f t="shared" si="193"/>
        <v>OK</v>
      </c>
      <c r="CA772">
        <f t="shared" si="194"/>
        <v>1</v>
      </c>
    </row>
    <row r="773" spans="1:80" x14ac:dyDescent="0.25">
      <c r="A773" s="35">
        <v>46274</v>
      </c>
      <c r="B773" s="36">
        <v>4.3110999999999997</v>
      </c>
      <c r="C773" t="s">
        <v>119</v>
      </c>
      <c r="D773" t="s">
        <v>6</v>
      </c>
      <c r="E773" t="s">
        <v>126</v>
      </c>
      <c r="F773" t="s">
        <v>133</v>
      </c>
      <c r="G773">
        <v>6274</v>
      </c>
      <c r="H773">
        <v>2140110678</v>
      </c>
      <c r="I773" t="s">
        <v>135</v>
      </c>
      <c r="J773" s="37">
        <v>7575</v>
      </c>
      <c r="K773" s="37"/>
      <c r="M773">
        <v>1700</v>
      </c>
      <c r="O773">
        <v>11</v>
      </c>
      <c r="Q773">
        <v>6</v>
      </c>
      <c r="V773" t="s">
        <v>120</v>
      </c>
      <c r="Y773" s="38">
        <v>0.86527777777777781</v>
      </c>
      <c r="Z773" s="38">
        <v>4.5138888888888888E-2</v>
      </c>
      <c r="AA773" t="s">
        <v>117</v>
      </c>
      <c r="AC773" t="s">
        <v>136</v>
      </c>
      <c r="AO773">
        <v>0.1497</v>
      </c>
      <c r="AQ773">
        <v>5.4488000000000003</v>
      </c>
      <c r="AR773">
        <v>0.26939999999999997</v>
      </c>
      <c r="BI773">
        <v>0.1198</v>
      </c>
      <c r="BK773">
        <f>0</f>
        <v>0</v>
      </c>
      <c r="BL773">
        <f t="shared" si="180"/>
        <v>5.9877000000000002</v>
      </c>
      <c r="BM773">
        <f t="shared" si="181"/>
        <v>0</v>
      </c>
      <c r="BN773">
        <f t="shared" si="182"/>
        <v>0</v>
      </c>
      <c r="BO773">
        <f t="shared" si="183"/>
        <v>1</v>
      </c>
      <c r="BP773" s="37">
        <f>IF($F773="","",IFERROR(INDEX(Familias!$C$5:$C$300,MATCH($F773,Familias!$A$5:$A$300,0)),""))</f>
        <v>2320</v>
      </c>
      <c r="BQ773" s="37">
        <f t="shared" si="184"/>
        <v>7575</v>
      </c>
      <c r="BR773" s="36">
        <f t="shared" si="185"/>
        <v>4.3110999999999997</v>
      </c>
      <c r="BS773" s="36">
        <f t="shared" si="186"/>
        <v>5.9877000000000002</v>
      </c>
      <c r="BT773" s="36">
        <f t="shared" si="187"/>
        <v>0</v>
      </c>
      <c r="BU773" s="36">
        <f t="shared" si="188"/>
        <v>3.2650999999999999</v>
      </c>
      <c r="BV773" s="39" t="str">
        <f t="shared" si="189"/>
        <v/>
      </c>
      <c r="BW773" s="39">
        <f t="shared" si="190"/>
        <v>1</v>
      </c>
      <c r="BX773" s="40">
        <f t="shared" si="191"/>
        <v>6.4705882352941177E-3</v>
      </c>
      <c r="BY773" s="40">
        <f t="shared" si="192"/>
        <v>3.5294117647058825E-3</v>
      </c>
      <c r="BZ773" t="str">
        <f t="shared" si="193"/>
        <v>OK</v>
      </c>
      <c r="CA773">
        <f t="shared" si="194"/>
        <v>1</v>
      </c>
    </row>
    <row r="774" spans="1:80" x14ac:dyDescent="0.25">
      <c r="A774" s="35">
        <v>46274</v>
      </c>
      <c r="B774" s="36">
        <v>5.9245999999999999</v>
      </c>
      <c r="C774" t="s">
        <v>119</v>
      </c>
      <c r="D774" t="s">
        <v>6</v>
      </c>
      <c r="E774" t="s">
        <v>126</v>
      </c>
      <c r="F774" t="s">
        <v>133</v>
      </c>
      <c r="G774">
        <v>6294</v>
      </c>
      <c r="H774">
        <v>2140110604</v>
      </c>
      <c r="I774" t="s">
        <v>139</v>
      </c>
      <c r="J774" s="37">
        <v>10400</v>
      </c>
      <c r="K774" s="37">
        <v>10</v>
      </c>
      <c r="M774">
        <v>3672</v>
      </c>
      <c r="O774">
        <v>18</v>
      </c>
      <c r="Q774">
        <v>12</v>
      </c>
      <c r="V774" t="s">
        <v>120</v>
      </c>
      <c r="Y774" s="38">
        <v>4.5138888888888888E-2</v>
      </c>
      <c r="Z774" s="38">
        <v>0.29166666666666669</v>
      </c>
      <c r="AA774" t="s">
        <v>117</v>
      </c>
      <c r="AC774" t="s">
        <v>136</v>
      </c>
      <c r="AO774">
        <v>0.20569999999999999</v>
      </c>
      <c r="AQ774">
        <v>7.4880000000000004</v>
      </c>
      <c r="AR774">
        <v>0.37030000000000002</v>
      </c>
      <c r="BI774">
        <v>0.1646</v>
      </c>
      <c r="BK774">
        <f>0</f>
        <v>0</v>
      </c>
      <c r="BL774">
        <f t="shared" si="180"/>
        <v>8.2286000000000001</v>
      </c>
      <c r="BM774">
        <f t="shared" si="181"/>
        <v>0</v>
      </c>
      <c r="BN774">
        <f t="shared" si="182"/>
        <v>0</v>
      </c>
      <c r="BO774">
        <f t="shared" si="183"/>
        <v>1</v>
      </c>
      <c r="BP774" s="37">
        <f>IF($F774="","",IFERROR(INDEX(Familias!$C$5:$C$300,MATCH($F774,Familias!$A$5:$A$300,0)),""))</f>
        <v>2320</v>
      </c>
      <c r="BQ774" s="37">
        <f t="shared" si="184"/>
        <v>10410</v>
      </c>
      <c r="BR774" s="36">
        <f t="shared" si="185"/>
        <v>5.9245999999999999</v>
      </c>
      <c r="BS774" s="36">
        <f t="shared" si="186"/>
        <v>8.2286000000000001</v>
      </c>
      <c r="BT774" s="36">
        <f t="shared" si="187"/>
        <v>0</v>
      </c>
      <c r="BU774" s="36">
        <f t="shared" si="188"/>
        <v>4.4870999999999999</v>
      </c>
      <c r="BV774" s="39" t="str">
        <f t="shared" si="189"/>
        <v/>
      </c>
      <c r="BW774" s="39">
        <f t="shared" si="190"/>
        <v>0.99903938520653213</v>
      </c>
      <c r="BX774" s="40">
        <f t="shared" si="191"/>
        <v>4.9019607843137254E-3</v>
      </c>
      <c r="BY774" s="40">
        <f t="shared" si="192"/>
        <v>3.2679738562091504E-3</v>
      </c>
      <c r="BZ774" t="str">
        <f t="shared" si="193"/>
        <v>OK</v>
      </c>
      <c r="CA774">
        <f t="shared" si="194"/>
        <v>1</v>
      </c>
    </row>
    <row r="775" spans="1:80" x14ac:dyDescent="0.25">
      <c r="A775" s="35">
        <v>46275</v>
      </c>
      <c r="B775" s="36">
        <v>12</v>
      </c>
      <c r="C775" t="s">
        <v>113</v>
      </c>
      <c r="D775" t="s">
        <v>6</v>
      </c>
      <c r="E775" t="s">
        <v>126</v>
      </c>
      <c r="F775" t="s">
        <v>133</v>
      </c>
      <c r="G775">
        <v>6294</v>
      </c>
      <c r="H775">
        <v>2140110604</v>
      </c>
      <c r="I775" t="s">
        <v>139</v>
      </c>
      <c r="J775" s="37">
        <v>22900</v>
      </c>
      <c r="K775" s="37">
        <v>6</v>
      </c>
      <c r="M775">
        <v>7891</v>
      </c>
      <c r="O775">
        <v>43</v>
      </c>
      <c r="P775">
        <v>27</v>
      </c>
      <c r="Q775">
        <v>72</v>
      </c>
      <c r="V775" t="s">
        <v>116</v>
      </c>
      <c r="Y775" s="38">
        <v>0.29166666666666669</v>
      </c>
      <c r="Z775" s="38">
        <v>0.79166666666666663</v>
      </c>
      <c r="AA775" t="s">
        <v>117</v>
      </c>
      <c r="AC775" t="s">
        <v>118</v>
      </c>
      <c r="AQ775">
        <v>0.16669999999999999</v>
      </c>
      <c r="AR775">
        <v>0.75</v>
      </c>
      <c r="BI775">
        <v>0.33329999999999999</v>
      </c>
      <c r="BK775">
        <f>0</f>
        <v>0</v>
      </c>
      <c r="BL775">
        <f t="shared" si="180"/>
        <v>1.25</v>
      </c>
      <c r="BM775">
        <f t="shared" si="181"/>
        <v>0</v>
      </c>
      <c r="BN775">
        <f t="shared" si="182"/>
        <v>0</v>
      </c>
      <c r="BO775">
        <f t="shared" si="183"/>
        <v>1</v>
      </c>
      <c r="BP775" s="37">
        <f>IF($F775="","",IFERROR(INDEX(Familias!$C$5:$C$300,MATCH($F775,Familias!$A$5:$A$300,0)),""))</f>
        <v>2320</v>
      </c>
      <c r="BQ775" s="37">
        <f t="shared" si="184"/>
        <v>22906</v>
      </c>
      <c r="BR775" s="36">
        <f t="shared" si="185"/>
        <v>12</v>
      </c>
      <c r="BS775" s="36">
        <f t="shared" si="186"/>
        <v>1.25</v>
      </c>
      <c r="BT775" s="36">
        <f t="shared" si="187"/>
        <v>10.75</v>
      </c>
      <c r="BU775" s="36">
        <f t="shared" si="188"/>
        <v>9.8733000000000004</v>
      </c>
      <c r="BV775" s="39">
        <f t="shared" si="189"/>
        <v>0.91844651162790703</v>
      </c>
      <c r="BW775" s="39">
        <f t="shared" si="190"/>
        <v>0.99973805989697018</v>
      </c>
      <c r="BX775" s="40">
        <f t="shared" si="191"/>
        <v>8.8708655430236975E-3</v>
      </c>
      <c r="BY775" s="40">
        <f t="shared" si="192"/>
        <v>9.1243188442529464E-3</v>
      </c>
      <c r="BZ775" t="str">
        <f t="shared" si="193"/>
        <v>OK</v>
      </c>
      <c r="CA775">
        <f t="shared" si="194"/>
        <v>1</v>
      </c>
    </row>
    <row r="776" spans="1:80" x14ac:dyDescent="0.25">
      <c r="A776" s="35">
        <v>46275</v>
      </c>
      <c r="B776" s="36">
        <v>12</v>
      </c>
      <c r="C776" t="s">
        <v>119</v>
      </c>
      <c r="D776" t="s">
        <v>6</v>
      </c>
      <c r="E776" t="s">
        <v>126</v>
      </c>
      <c r="F776" t="s">
        <v>133</v>
      </c>
      <c r="G776">
        <v>6294</v>
      </c>
      <c r="H776">
        <v>2140110604</v>
      </c>
      <c r="I776" t="s">
        <v>139</v>
      </c>
      <c r="J776" s="37">
        <v>21650</v>
      </c>
      <c r="K776" s="37">
        <v>8</v>
      </c>
      <c r="M776">
        <v>7363</v>
      </c>
      <c r="O776">
        <v>40</v>
      </c>
      <c r="P776">
        <v>27</v>
      </c>
      <c r="V776" t="s">
        <v>120</v>
      </c>
      <c r="Y776" s="38">
        <v>0.79166666666666663</v>
      </c>
      <c r="Z776" s="38">
        <v>0.29166666666666669</v>
      </c>
      <c r="AA776" t="s">
        <v>117</v>
      </c>
      <c r="AC776" t="s">
        <v>118</v>
      </c>
      <c r="AQ776">
        <v>0.16669999999999999</v>
      </c>
      <c r="AR776">
        <v>0.75</v>
      </c>
      <c r="BI776">
        <v>0.33329999999999999</v>
      </c>
      <c r="BK776">
        <f>0</f>
        <v>0</v>
      </c>
      <c r="BL776">
        <f t="shared" si="180"/>
        <v>1.25</v>
      </c>
      <c r="BM776">
        <f t="shared" si="181"/>
        <v>0</v>
      </c>
      <c r="BN776">
        <f t="shared" si="182"/>
        <v>0</v>
      </c>
      <c r="BO776">
        <f t="shared" si="183"/>
        <v>1</v>
      </c>
      <c r="BP776" s="37">
        <f>IF($F776="","",IFERROR(INDEX(Familias!$C$5:$C$300,MATCH($F776,Familias!$A$5:$A$300,0)),""))</f>
        <v>2320</v>
      </c>
      <c r="BQ776" s="37">
        <f t="shared" si="184"/>
        <v>21658</v>
      </c>
      <c r="BR776" s="36">
        <f t="shared" si="185"/>
        <v>12</v>
      </c>
      <c r="BS776" s="36">
        <f t="shared" si="186"/>
        <v>1.25</v>
      </c>
      <c r="BT776" s="36">
        <f t="shared" si="187"/>
        <v>10.75</v>
      </c>
      <c r="BU776" s="36">
        <f t="shared" si="188"/>
        <v>9.3353000000000002</v>
      </c>
      <c r="BV776" s="39">
        <f t="shared" si="189"/>
        <v>0.86840000000000006</v>
      </c>
      <c r="BW776" s="39">
        <f t="shared" si="190"/>
        <v>0.99963062147936099</v>
      </c>
      <c r="BX776" s="40">
        <f t="shared" si="191"/>
        <v>9.0995518131196523E-3</v>
      </c>
      <c r="BY776" s="40">
        <f t="shared" si="192"/>
        <v>0</v>
      </c>
      <c r="BZ776" t="str">
        <f t="shared" si="193"/>
        <v>OK</v>
      </c>
      <c r="CA776">
        <f t="shared" si="194"/>
        <v>1</v>
      </c>
    </row>
    <row r="777" spans="1:80" x14ac:dyDescent="0.25">
      <c r="A777" s="35">
        <v>46276</v>
      </c>
      <c r="B777" s="36">
        <v>3.7789000000000001</v>
      </c>
      <c r="C777" t="s">
        <v>113</v>
      </c>
      <c r="D777" t="s">
        <v>6</v>
      </c>
      <c r="E777" t="s">
        <v>126</v>
      </c>
      <c r="F777" t="s">
        <v>133</v>
      </c>
      <c r="G777">
        <v>6206</v>
      </c>
      <c r="H777">
        <v>2140110690</v>
      </c>
      <c r="I777" t="s">
        <v>215</v>
      </c>
      <c r="J777" s="37">
        <v>7025</v>
      </c>
      <c r="K777" s="37">
        <v>0</v>
      </c>
      <c r="M777">
        <v>1984</v>
      </c>
      <c r="O777">
        <v>19</v>
      </c>
      <c r="P777">
        <v>9</v>
      </c>
      <c r="V777" t="s">
        <v>116</v>
      </c>
      <c r="Y777" s="38">
        <v>0.29166666666666669</v>
      </c>
      <c r="Z777" s="38">
        <v>0.44930555555555562</v>
      </c>
      <c r="AA777" t="s">
        <v>117</v>
      </c>
      <c r="AC777" t="s">
        <v>121</v>
      </c>
      <c r="AO777">
        <v>7.8700000000000006E-2</v>
      </c>
      <c r="AQ777">
        <v>5.2499999999999998E-2</v>
      </c>
      <c r="AR777">
        <v>0.23619999999999999</v>
      </c>
      <c r="BI777">
        <v>0.105</v>
      </c>
      <c r="BK777">
        <f>0</f>
        <v>0</v>
      </c>
      <c r="BL777">
        <f t="shared" si="180"/>
        <v>0.47239999999999999</v>
      </c>
      <c r="BM777">
        <f t="shared" si="181"/>
        <v>0</v>
      </c>
      <c r="BN777">
        <f t="shared" si="182"/>
        <v>0</v>
      </c>
      <c r="BO777">
        <f t="shared" si="183"/>
        <v>1</v>
      </c>
      <c r="BP777" s="37">
        <f>IF($F777="","",IFERROR(INDEX(Familias!$C$5:$C$300,MATCH($F777,Familias!$A$5:$A$300,0)),""))</f>
        <v>2320</v>
      </c>
      <c r="BQ777" s="37">
        <f t="shared" si="184"/>
        <v>7025</v>
      </c>
      <c r="BR777" s="36">
        <f t="shared" si="185"/>
        <v>3.7789000000000001</v>
      </c>
      <c r="BS777" s="36">
        <f t="shared" si="186"/>
        <v>0.47239999999999999</v>
      </c>
      <c r="BT777" s="36">
        <f t="shared" si="187"/>
        <v>3.3065000000000002</v>
      </c>
      <c r="BU777" s="36">
        <f t="shared" si="188"/>
        <v>3.028</v>
      </c>
      <c r="BV777" s="39">
        <f t="shared" si="189"/>
        <v>0.91577196431271735</v>
      </c>
      <c r="BW777" s="39">
        <f t="shared" si="190"/>
        <v>1</v>
      </c>
      <c r="BX777" s="40">
        <f t="shared" si="191"/>
        <v>1.4112903225806451E-2</v>
      </c>
      <c r="BY777" s="40">
        <f t="shared" si="192"/>
        <v>0</v>
      </c>
      <c r="BZ777" t="str">
        <f t="shared" si="193"/>
        <v>OK</v>
      </c>
      <c r="CA777">
        <f t="shared" si="194"/>
        <v>1</v>
      </c>
    </row>
    <row r="778" spans="1:80" x14ac:dyDescent="0.25">
      <c r="A778" s="35">
        <v>46276</v>
      </c>
      <c r="B778" s="36">
        <v>8.2210999999999999</v>
      </c>
      <c r="C778" t="s">
        <v>113</v>
      </c>
      <c r="D778" t="s">
        <v>6</v>
      </c>
      <c r="E778" t="s">
        <v>126</v>
      </c>
      <c r="F778" t="s">
        <v>133</v>
      </c>
      <c r="G778">
        <v>6294</v>
      </c>
      <c r="H778">
        <v>2140110604</v>
      </c>
      <c r="I778" t="s">
        <v>139</v>
      </c>
      <c r="J778" s="37">
        <v>15275</v>
      </c>
      <c r="K778" s="37">
        <v>8</v>
      </c>
      <c r="M778">
        <v>5659</v>
      </c>
      <c r="O778">
        <v>36</v>
      </c>
      <c r="P778">
        <v>12</v>
      </c>
      <c r="Q778">
        <v>92</v>
      </c>
      <c r="V778" t="s">
        <v>116</v>
      </c>
      <c r="Y778" s="38">
        <v>0.44930555555555562</v>
      </c>
      <c r="Z778" s="38">
        <v>0.79166666666666663</v>
      </c>
      <c r="AA778" t="s">
        <v>117</v>
      </c>
      <c r="AC778" t="s">
        <v>121</v>
      </c>
      <c r="AO778">
        <v>0.17130000000000001</v>
      </c>
      <c r="AQ778">
        <v>0.1142</v>
      </c>
      <c r="AR778">
        <v>0.51380000000000003</v>
      </c>
      <c r="BI778">
        <v>0.22839999999999999</v>
      </c>
      <c r="BK778">
        <f>0</f>
        <v>0</v>
      </c>
      <c r="BL778">
        <f t="shared" si="180"/>
        <v>1.0277000000000001</v>
      </c>
      <c r="BM778">
        <f t="shared" si="181"/>
        <v>0</v>
      </c>
      <c r="BN778">
        <f t="shared" si="182"/>
        <v>0</v>
      </c>
      <c r="BO778">
        <f t="shared" si="183"/>
        <v>1</v>
      </c>
      <c r="BP778" s="37">
        <f>IF($F778="","",IFERROR(INDEX(Familias!$C$5:$C$300,MATCH($F778,Familias!$A$5:$A$300,0)),""))</f>
        <v>2320</v>
      </c>
      <c r="BQ778" s="37">
        <f t="shared" si="184"/>
        <v>15283</v>
      </c>
      <c r="BR778" s="36">
        <f t="shared" si="185"/>
        <v>8.2210999999999999</v>
      </c>
      <c r="BS778" s="36">
        <f t="shared" si="186"/>
        <v>1.0277000000000001</v>
      </c>
      <c r="BT778" s="36">
        <f t="shared" si="187"/>
        <v>7.1933999999999996</v>
      </c>
      <c r="BU778" s="36">
        <f t="shared" si="188"/>
        <v>6.5875000000000004</v>
      </c>
      <c r="BV778" s="39">
        <f t="shared" si="189"/>
        <v>0.91577001139933834</v>
      </c>
      <c r="BW778" s="39">
        <f t="shared" si="190"/>
        <v>0.99947654256363283</v>
      </c>
      <c r="BX778" s="40">
        <f t="shared" si="191"/>
        <v>8.4820639688990996E-3</v>
      </c>
      <c r="BY778" s="40">
        <f t="shared" si="192"/>
        <v>1.6257289273723274E-2</v>
      </c>
      <c r="BZ778" t="str">
        <f t="shared" si="193"/>
        <v>OK</v>
      </c>
      <c r="CA778">
        <f t="shared" si="194"/>
        <v>1</v>
      </c>
    </row>
    <row r="779" spans="1:80" x14ac:dyDescent="0.25">
      <c r="A779" s="35">
        <v>46276</v>
      </c>
      <c r="B779" s="36">
        <v>12</v>
      </c>
      <c r="C779" t="s">
        <v>119</v>
      </c>
      <c r="D779" t="s">
        <v>6</v>
      </c>
      <c r="E779" t="s">
        <v>126</v>
      </c>
      <c r="F779" t="s">
        <v>133</v>
      </c>
      <c r="G779">
        <v>6294</v>
      </c>
      <c r="H779">
        <v>2140110604</v>
      </c>
      <c r="I779" t="s">
        <v>139</v>
      </c>
      <c r="J779" s="37">
        <v>21675</v>
      </c>
      <c r="K779" s="37">
        <v>15</v>
      </c>
      <c r="M779">
        <v>7393</v>
      </c>
      <c r="O779">
        <v>36</v>
      </c>
      <c r="P779">
        <v>27</v>
      </c>
      <c r="V779" t="s">
        <v>120</v>
      </c>
      <c r="Y779" s="38">
        <v>0.79166666666666663</v>
      </c>
      <c r="Z779" s="38">
        <v>0.29166666666666669</v>
      </c>
      <c r="AA779" t="s">
        <v>117</v>
      </c>
      <c r="AC779" t="s">
        <v>118</v>
      </c>
      <c r="AQ779">
        <v>0.16669999999999999</v>
      </c>
      <c r="AR779">
        <v>0.75</v>
      </c>
      <c r="BI779">
        <v>0.33329999999999999</v>
      </c>
      <c r="BK779">
        <f>0</f>
        <v>0</v>
      </c>
      <c r="BL779">
        <f t="shared" si="180"/>
        <v>1.25</v>
      </c>
      <c r="BM779">
        <f t="shared" si="181"/>
        <v>0</v>
      </c>
      <c r="BN779">
        <f t="shared" si="182"/>
        <v>0</v>
      </c>
      <c r="BO779">
        <f t="shared" si="183"/>
        <v>1</v>
      </c>
      <c r="BP779" s="37">
        <f>IF($F779="","",IFERROR(INDEX(Familias!$C$5:$C$300,MATCH($F779,Familias!$A$5:$A$300,0)),""))</f>
        <v>2320</v>
      </c>
      <c r="BQ779" s="37">
        <f t="shared" si="184"/>
        <v>21690</v>
      </c>
      <c r="BR779" s="36">
        <f t="shared" si="185"/>
        <v>12</v>
      </c>
      <c r="BS779" s="36">
        <f t="shared" si="186"/>
        <v>1.25</v>
      </c>
      <c r="BT779" s="36">
        <f t="shared" si="187"/>
        <v>10.75</v>
      </c>
      <c r="BU779" s="36">
        <f t="shared" si="188"/>
        <v>9.3491</v>
      </c>
      <c r="BV779" s="39">
        <f t="shared" si="189"/>
        <v>0.86968372093023261</v>
      </c>
      <c r="BW779" s="39">
        <f t="shared" si="190"/>
        <v>0.99930843706777317</v>
      </c>
      <c r="BX779" s="40">
        <f t="shared" si="191"/>
        <v>8.521574462329231E-3</v>
      </c>
      <c r="BY779" s="40">
        <f t="shared" si="192"/>
        <v>0</v>
      </c>
      <c r="BZ779" t="str">
        <f t="shared" si="193"/>
        <v>OK</v>
      </c>
      <c r="CA779">
        <f t="shared" si="194"/>
        <v>1</v>
      </c>
    </row>
    <row r="780" spans="1:80" x14ac:dyDescent="0.25">
      <c r="A780" s="35">
        <v>46277</v>
      </c>
      <c r="B780" s="36">
        <v>12</v>
      </c>
      <c r="C780" t="s">
        <v>113</v>
      </c>
      <c r="D780" t="s">
        <v>6</v>
      </c>
      <c r="E780" t="s">
        <v>126</v>
      </c>
      <c r="F780" t="s">
        <v>133</v>
      </c>
      <c r="G780">
        <v>6294</v>
      </c>
      <c r="H780">
        <v>2140110604</v>
      </c>
      <c r="I780" t="s">
        <v>139</v>
      </c>
      <c r="J780" s="37">
        <v>21800</v>
      </c>
      <c r="K780" s="37">
        <v>8</v>
      </c>
      <c r="M780">
        <v>7358</v>
      </c>
      <c r="O780">
        <v>56</v>
      </c>
      <c r="P780">
        <v>32</v>
      </c>
      <c r="V780" t="s">
        <v>116</v>
      </c>
      <c r="Y780" s="38">
        <v>0.29166666666666669</v>
      </c>
      <c r="Z780" s="38">
        <v>0.79166666666666663</v>
      </c>
      <c r="AA780" t="s">
        <v>117</v>
      </c>
      <c r="AC780" t="s">
        <v>118</v>
      </c>
      <c r="AQ780">
        <v>0.16669999999999999</v>
      </c>
      <c r="AR780">
        <v>0.75</v>
      </c>
      <c r="BI780">
        <v>0.33329999999999999</v>
      </c>
      <c r="BK780">
        <f>0</f>
        <v>0</v>
      </c>
      <c r="BL780">
        <f t="shared" si="180"/>
        <v>1.25</v>
      </c>
      <c r="BM780">
        <f t="shared" si="181"/>
        <v>0</v>
      </c>
      <c r="BN780">
        <f t="shared" si="182"/>
        <v>0</v>
      </c>
      <c r="BO780">
        <f t="shared" si="183"/>
        <v>1</v>
      </c>
      <c r="BP780" s="37">
        <f>IF($F780="","",IFERROR(INDEX(Familias!$C$5:$C$300,MATCH($F780,Familias!$A$5:$A$300,0)),""))</f>
        <v>2320</v>
      </c>
      <c r="BQ780" s="37">
        <f t="shared" si="184"/>
        <v>21808</v>
      </c>
      <c r="BR780" s="36">
        <f t="shared" si="185"/>
        <v>12</v>
      </c>
      <c r="BS780" s="36">
        <f t="shared" si="186"/>
        <v>1.25</v>
      </c>
      <c r="BT780" s="36">
        <f t="shared" si="187"/>
        <v>10.75</v>
      </c>
      <c r="BU780" s="36">
        <f t="shared" si="188"/>
        <v>9.4</v>
      </c>
      <c r="BV780" s="39">
        <f t="shared" si="189"/>
        <v>0.87441860465116283</v>
      </c>
      <c r="BW780" s="39">
        <f t="shared" si="190"/>
        <v>0.99963316214233311</v>
      </c>
      <c r="BX780" s="40">
        <f t="shared" si="191"/>
        <v>1.1959771677086164E-2</v>
      </c>
      <c r="BY780" s="40">
        <f t="shared" si="192"/>
        <v>0</v>
      </c>
      <c r="BZ780" t="str">
        <f t="shared" si="193"/>
        <v>OK</v>
      </c>
      <c r="CA780">
        <f t="shared" si="194"/>
        <v>1</v>
      </c>
    </row>
    <row r="781" spans="1:80" x14ac:dyDescent="0.25">
      <c r="A781" s="35">
        <v>46277</v>
      </c>
      <c r="B781" s="36">
        <v>12</v>
      </c>
      <c r="C781" t="s">
        <v>119</v>
      </c>
      <c r="D781" t="s">
        <v>6</v>
      </c>
      <c r="E781" t="s">
        <v>126</v>
      </c>
      <c r="F781" t="s">
        <v>133</v>
      </c>
      <c r="G781">
        <v>6294</v>
      </c>
      <c r="H781">
        <v>2140110604</v>
      </c>
      <c r="I781" t="s">
        <v>139</v>
      </c>
      <c r="J781" s="37">
        <v>17550</v>
      </c>
      <c r="K781" s="37">
        <v>5</v>
      </c>
      <c r="M781">
        <v>5920</v>
      </c>
      <c r="O781">
        <v>42</v>
      </c>
      <c r="P781">
        <v>21</v>
      </c>
      <c r="V781" t="s">
        <v>120</v>
      </c>
      <c r="Y781" s="38">
        <v>0.79166666666666663</v>
      </c>
      <c r="Z781" s="38">
        <v>0.29166666666666669</v>
      </c>
      <c r="AA781" t="s">
        <v>117</v>
      </c>
      <c r="AC781" t="s">
        <v>118</v>
      </c>
      <c r="AR781">
        <v>0.75</v>
      </c>
      <c r="BC781">
        <v>1.6667000000000001</v>
      </c>
      <c r="BK781">
        <f>0</f>
        <v>0</v>
      </c>
      <c r="BL781">
        <f t="shared" si="180"/>
        <v>2.4167000000000001</v>
      </c>
      <c r="BM781">
        <f t="shared" si="181"/>
        <v>0</v>
      </c>
      <c r="BN781">
        <f t="shared" si="182"/>
        <v>0</v>
      </c>
      <c r="BO781">
        <f t="shared" si="183"/>
        <v>1</v>
      </c>
      <c r="BP781" s="37">
        <f>IF($F781="","",IFERROR(INDEX(Familias!$C$5:$C$300,MATCH($F781,Familias!$A$5:$A$300,0)),""))</f>
        <v>2320</v>
      </c>
      <c r="BQ781" s="37">
        <f t="shared" si="184"/>
        <v>17555</v>
      </c>
      <c r="BR781" s="36">
        <f t="shared" si="185"/>
        <v>12</v>
      </c>
      <c r="BS781" s="36">
        <f t="shared" si="186"/>
        <v>2.4167000000000001</v>
      </c>
      <c r="BT781" s="36">
        <f t="shared" si="187"/>
        <v>9.5832999999999995</v>
      </c>
      <c r="BU781" s="36">
        <f t="shared" si="188"/>
        <v>7.5667999999999997</v>
      </c>
      <c r="BV781" s="39">
        <f t="shared" si="189"/>
        <v>0.78958187680652803</v>
      </c>
      <c r="BW781" s="39">
        <f t="shared" si="190"/>
        <v>0.99971518086015376</v>
      </c>
      <c r="BX781" s="40">
        <f t="shared" si="191"/>
        <v>1.0641891891891892E-2</v>
      </c>
      <c r="BY781" s="40">
        <f t="shared" si="192"/>
        <v>0</v>
      </c>
      <c r="BZ781" t="str">
        <f t="shared" si="193"/>
        <v>OK</v>
      </c>
      <c r="CA781">
        <f t="shared" si="194"/>
        <v>1</v>
      </c>
    </row>
    <row r="782" spans="1:80" x14ac:dyDescent="0.25">
      <c r="A782" s="35">
        <v>46279</v>
      </c>
      <c r="B782" s="36">
        <v>12</v>
      </c>
      <c r="C782" t="s">
        <v>113</v>
      </c>
      <c r="D782" t="s">
        <v>6</v>
      </c>
      <c r="E782" t="s">
        <v>126</v>
      </c>
      <c r="F782" t="s">
        <v>133</v>
      </c>
      <c r="G782">
        <v>6294</v>
      </c>
      <c r="H782">
        <v>2140110604</v>
      </c>
      <c r="I782" t="s">
        <v>139</v>
      </c>
      <c r="J782" s="37">
        <v>20125</v>
      </c>
      <c r="K782" s="37">
        <v>10</v>
      </c>
      <c r="M782">
        <v>7093</v>
      </c>
      <c r="O782">
        <v>45</v>
      </c>
      <c r="P782">
        <v>21</v>
      </c>
      <c r="Q782">
        <v>111</v>
      </c>
      <c r="V782" t="s">
        <v>120</v>
      </c>
      <c r="Y782" s="38">
        <v>0.29166666666666669</v>
      </c>
      <c r="Z782" s="38">
        <v>0.79166666666666663</v>
      </c>
      <c r="AA782" t="s">
        <v>117</v>
      </c>
      <c r="AC782" t="s">
        <v>118</v>
      </c>
      <c r="AO782">
        <v>0.5</v>
      </c>
      <c r="AQ782">
        <v>0.16669999999999999</v>
      </c>
      <c r="AR782">
        <v>0.75</v>
      </c>
      <c r="BI782">
        <v>1</v>
      </c>
      <c r="BK782">
        <f>0</f>
        <v>0</v>
      </c>
      <c r="BL782">
        <f t="shared" si="180"/>
        <v>2.4167000000000001</v>
      </c>
      <c r="BM782">
        <f t="shared" si="181"/>
        <v>0</v>
      </c>
      <c r="BN782">
        <f t="shared" si="182"/>
        <v>0</v>
      </c>
      <c r="BO782">
        <f t="shared" si="183"/>
        <v>1</v>
      </c>
      <c r="BP782" s="37">
        <f>IF($F782="","",IFERROR(INDEX(Familias!$C$5:$C$300,MATCH($F782,Familias!$A$5:$A$300,0)),""))</f>
        <v>2320</v>
      </c>
      <c r="BQ782" s="37">
        <f t="shared" si="184"/>
        <v>20135</v>
      </c>
      <c r="BR782" s="36">
        <f t="shared" si="185"/>
        <v>12</v>
      </c>
      <c r="BS782" s="36">
        <f t="shared" si="186"/>
        <v>2.4167000000000001</v>
      </c>
      <c r="BT782" s="36">
        <f t="shared" si="187"/>
        <v>9.5832999999999995</v>
      </c>
      <c r="BU782" s="36">
        <f t="shared" si="188"/>
        <v>8.6789000000000005</v>
      </c>
      <c r="BV782" s="39">
        <f t="shared" si="189"/>
        <v>0.90562749783477514</v>
      </c>
      <c r="BW782" s="39">
        <f t="shared" si="190"/>
        <v>0.99950335237149246</v>
      </c>
      <c r="BX782" s="40">
        <f t="shared" si="191"/>
        <v>9.304948540814888E-3</v>
      </c>
      <c r="BY782" s="40">
        <f t="shared" si="192"/>
        <v>1.564923163682504E-2</v>
      </c>
      <c r="BZ782" t="str">
        <f t="shared" si="193"/>
        <v>OK</v>
      </c>
      <c r="CA782">
        <f t="shared" si="194"/>
        <v>1</v>
      </c>
    </row>
    <row r="783" spans="1:80" x14ac:dyDescent="0.25">
      <c r="A783" s="35">
        <v>46279</v>
      </c>
      <c r="B783" s="36">
        <v>12</v>
      </c>
      <c r="C783" t="s">
        <v>119</v>
      </c>
      <c r="D783" t="s">
        <v>6</v>
      </c>
      <c r="E783" t="s">
        <v>126</v>
      </c>
      <c r="F783" t="s">
        <v>133</v>
      </c>
      <c r="G783">
        <v>6294</v>
      </c>
      <c r="H783">
        <v>2140110604</v>
      </c>
      <c r="I783" t="s">
        <v>139</v>
      </c>
      <c r="J783" s="37">
        <v>20000</v>
      </c>
      <c r="K783" s="37">
        <v>10</v>
      </c>
      <c r="M783">
        <v>7321</v>
      </c>
      <c r="O783">
        <v>82</v>
      </c>
      <c r="P783">
        <v>32</v>
      </c>
      <c r="Q783">
        <v>71</v>
      </c>
      <c r="V783" t="s">
        <v>116</v>
      </c>
      <c r="Y783" s="38">
        <v>0.79166666666666663</v>
      </c>
      <c r="Z783" s="38">
        <v>0.29166666666666669</v>
      </c>
      <c r="AA783" t="s">
        <v>117</v>
      </c>
      <c r="AC783" t="s">
        <v>118</v>
      </c>
      <c r="AO783">
        <v>0.25</v>
      </c>
      <c r="AQ783">
        <v>0.16669999999999999</v>
      </c>
      <c r="AR783">
        <v>0.75</v>
      </c>
      <c r="BI783">
        <v>0.33329999999999999</v>
      </c>
      <c r="BK783">
        <f>0</f>
        <v>0</v>
      </c>
      <c r="BL783">
        <f t="shared" si="180"/>
        <v>1.5</v>
      </c>
      <c r="BM783">
        <f t="shared" si="181"/>
        <v>0</v>
      </c>
      <c r="BN783">
        <f t="shared" si="182"/>
        <v>0</v>
      </c>
      <c r="BO783">
        <f t="shared" si="183"/>
        <v>1</v>
      </c>
      <c r="BP783" s="37">
        <f>IF($F783="","",IFERROR(INDEX(Familias!$C$5:$C$300,MATCH($F783,Familias!$A$5:$A$300,0)),""))</f>
        <v>2320</v>
      </c>
      <c r="BQ783" s="37">
        <f t="shared" si="184"/>
        <v>20010</v>
      </c>
      <c r="BR783" s="36">
        <f t="shared" si="185"/>
        <v>12</v>
      </c>
      <c r="BS783" s="36">
        <f t="shared" si="186"/>
        <v>1.5</v>
      </c>
      <c r="BT783" s="36">
        <f t="shared" si="187"/>
        <v>10.5</v>
      </c>
      <c r="BU783" s="36">
        <f t="shared" si="188"/>
        <v>8.625</v>
      </c>
      <c r="BV783" s="39">
        <f t="shared" si="189"/>
        <v>0.8214285714285714</v>
      </c>
      <c r="BW783" s="39">
        <f t="shared" si="190"/>
        <v>0.99950024987506247</v>
      </c>
      <c r="BX783" s="40">
        <f t="shared" si="191"/>
        <v>1.5571643218139598E-2</v>
      </c>
      <c r="BY783" s="40">
        <f t="shared" si="192"/>
        <v>9.698128670946592E-3</v>
      </c>
      <c r="BZ783" t="str">
        <f t="shared" si="193"/>
        <v>OK</v>
      </c>
      <c r="CA783">
        <f t="shared" si="194"/>
        <v>1</v>
      </c>
    </row>
    <row r="784" spans="1:80" x14ac:dyDescent="0.25">
      <c r="A784" s="35">
        <v>46280</v>
      </c>
      <c r="B784" s="36">
        <v>4.2088999999999999</v>
      </c>
      <c r="C784" t="s">
        <v>113</v>
      </c>
      <c r="D784" t="s">
        <v>6</v>
      </c>
      <c r="E784" t="s">
        <v>126</v>
      </c>
      <c r="F784" t="s">
        <v>133</v>
      </c>
      <c r="G784">
        <v>6243</v>
      </c>
      <c r="H784">
        <v>2140110691</v>
      </c>
      <c r="I784" t="s">
        <v>221</v>
      </c>
      <c r="J784" s="37">
        <v>4500</v>
      </c>
      <c r="K784" s="37"/>
      <c r="M784">
        <v>2700</v>
      </c>
      <c r="O784">
        <v>42</v>
      </c>
      <c r="Q784">
        <v>9</v>
      </c>
      <c r="V784" t="s">
        <v>120</v>
      </c>
      <c r="Y784" s="38">
        <v>0.29166666666666669</v>
      </c>
      <c r="Z784" s="38">
        <v>0.46736111111111112</v>
      </c>
      <c r="AA784" t="s">
        <v>117</v>
      </c>
      <c r="AC784" t="s">
        <v>121</v>
      </c>
      <c r="AM784">
        <v>0.1754</v>
      </c>
      <c r="AQ784">
        <v>5.8500000000000003E-2</v>
      </c>
      <c r="BB784">
        <v>1.0522</v>
      </c>
      <c r="BI784">
        <v>0.1169</v>
      </c>
      <c r="BK784">
        <f>0</f>
        <v>0</v>
      </c>
      <c r="BL784">
        <f t="shared" si="180"/>
        <v>0.3508</v>
      </c>
      <c r="BM784">
        <f t="shared" si="181"/>
        <v>1.0522</v>
      </c>
      <c r="BN784">
        <f t="shared" si="182"/>
        <v>0</v>
      </c>
      <c r="BO784">
        <f t="shared" si="183"/>
        <v>1</v>
      </c>
      <c r="BP784" s="37">
        <f>IF($F784="","",IFERROR(INDEX(Familias!$C$5:$C$300,MATCH($F784,Familias!$A$5:$A$300,0)),""))</f>
        <v>2320</v>
      </c>
      <c r="BQ784" s="37">
        <f t="shared" si="184"/>
        <v>4500</v>
      </c>
      <c r="BR784" s="36">
        <f t="shared" si="185"/>
        <v>4.2088999999999999</v>
      </c>
      <c r="BS784" s="36">
        <f t="shared" si="186"/>
        <v>1.403</v>
      </c>
      <c r="BT784" s="36">
        <f t="shared" si="187"/>
        <v>2.8058999999999998</v>
      </c>
      <c r="BU784" s="36">
        <f t="shared" si="188"/>
        <v>1.9397</v>
      </c>
      <c r="BV784" s="39">
        <f t="shared" si="189"/>
        <v>0.6912933461634414</v>
      </c>
      <c r="BW784" s="39">
        <f t="shared" si="190"/>
        <v>1</v>
      </c>
      <c r="BX784" s="40">
        <f t="shared" si="191"/>
        <v>1.5555555555555555E-2</v>
      </c>
      <c r="BY784" s="40">
        <f t="shared" si="192"/>
        <v>3.3333333333333335E-3</v>
      </c>
      <c r="BZ784" t="str">
        <f t="shared" si="193"/>
        <v>OK</v>
      </c>
      <c r="CA784">
        <f t="shared" si="194"/>
        <v>1</v>
      </c>
    </row>
    <row r="785" spans="1:80" x14ac:dyDescent="0.25">
      <c r="A785" s="35">
        <v>46280</v>
      </c>
      <c r="B785" s="36">
        <v>7.7911000000000001</v>
      </c>
      <c r="C785" t="s">
        <v>113</v>
      </c>
      <c r="D785" t="s">
        <v>6</v>
      </c>
      <c r="E785" t="s">
        <v>126</v>
      </c>
      <c r="F785" t="s">
        <v>133</v>
      </c>
      <c r="G785">
        <v>6294</v>
      </c>
      <c r="H785">
        <v>2140110604</v>
      </c>
      <c r="I785" t="s">
        <v>139</v>
      </c>
      <c r="J785" s="37">
        <v>8325</v>
      </c>
      <c r="K785" s="37">
        <v>5</v>
      </c>
      <c r="M785">
        <v>1972</v>
      </c>
      <c r="O785">
        <v>20</v>
      </c>
      <c r="Q785">
        <v>6</v>
      </c>
      <c r="V785" t="s">
        <v>120</v>
      </c>
      <c r="Y785" s="38">
        <v>0.46736111111111112</v>
      </c>
      <c r="Z785" s="38">
        <v>0.79166666666666663</v>
      </c>
      <c r="AA785" t="s">
        <v>117</v>
      </c>
      <c r="AC785" t="s">
        <v>121</v>
      </c>
      <c r="AM785">
        <v>0.3246</v>
      </c>
      <c r="AQ785">
        <v>0.1082</v>
      </c>
      <c r="BB785">
        <v>1.9478</v>
      </c>
      <c r="BI785">
        <v>0.21640000000000001</v>
      </c>
      <c r="BK785">
        <f>0</f>
        <v>0</v>
      </c>
      <c r="BL785">
        <f t="shared" si="180"/>
        <v>0.6492</v>
      </c>
      <c r="BM785">
        <f t="shared" si="181"/>
        <v>1.9478</v>
      </c>
      <c r="BN785">
        <f t="shared" si="182"/>
        <v>0</v>
      </c>
      <c r="BO785">
        <f t="shared" si="183"/>
        <v>1</v>
      </c>
      <c r="BP785" s="37">
        <f>IF($F785="","",IFERROR(INDEX(Familias!$C$5:$C$300,MATCH($F785,Familias!$A$5:$A$300,0)),""))</f>
        <v>2320</v>
      </c>
      <c r="BQ785" s="37">
        <f t="shared" si="184"/>
        <v>8330</v>
      </c>
      <c r="BR785" s="36">
        <f t="shared" si="185"/>
        <v>7.7911000000000001</v>
      </c>
      <c r="BS785" s="36">
        <f t="shared" si="186"/>
        <v>2.597</v>
      </c>
      <c r="BT785" s="36">
        <f t="shared" si="187"/>
        <v>5.1940999999999997</v>
      </c>
      <c r="BU785" s="36">
        <f t="shared" si="188"/>
        <v>3.5905</v>
      </c>
      <c r="BV785" s="39">
        <f t="shared" si="189"/>
        <v>0.69126508923586383</v>
      </c>
      <c r="BW785" s="39">
        <f t="shared" si="190"/>
        <v>0.99939975990396157</v>
      </c>
      <c r="BX785" s="40">
        <f t="shared" si="191"/>
        <v>1.0141987829614604E-2</v>
      </c>
      <c r="BY785" s="40">
        <f t="shared" si="192"/>
        <v>3.0425963488843813E-3</v>
      </c>
      <c r="BZ785" t="str">
        <f t="shared" si="193"/>
        <v>OK</v>
      </c>
      <c r="CA785">
        <f t="shared" si="194"/>
        <v>1</v>
      </c>
    </row>
    <row r="786" spans="1:80" x14ac:dyDescent="0.25">
      <c r="A786" s="35">
        <v>46280</v>
      </c>
      <c r="B786" s="36">
        <v>3.6509999999999998</v>
      </c>
      <c r="C786" t="s">
        <v>119</v>
      </c>
      <c r="D786" t="s">
        <v>6</v>
      </c>
      <c r="E786" t="s">
        <v>126</v>
      </c>
      <c r="F786" t="s">
        <v>133</v>
      </c>
      <c r="G786">
        <v>6294</v>
      </c>
      <c r="H786">
        <v>2140110604</v>
      </c>
      <c r="I786" t="s">
        <v>139</v>
      </c>
      <c r="J786" s="37">
        <v>6325</v>
      </c>
      <c r="K786" s="37">
        <v>5</v>
      </c>
      <c r="M786">
        <v>2196</v>
      </c>
      <c r="O786">
        <v>12</v>
      </c>
      <c r="P786">
        <v>6</v>
      </c>
      <c r="Q786">
        <v>15</v>
      </c>
      <c r="V786" t="s">
        <v>116</v>
      </c>
      <c r="Y786" s="38">
        <v>0.79166666666666663</v>
      </c>
      <c r="Z786" s="38">
        <v>0.94374999999999998</v>
      </c>
      <c r="AA786" t="s">
        <v>117</v>
      </c>
      <c r="AC786" t="s">
        <v>121</v>
      </c>
      <c r="AE786">
        <v>0.22819999999999999</v>
      </c>
      <c r="AQ786">
        <v>5.0700000000000002E-2</v>
      </c>
      <c r="AR786">
        <v>0.22819999999999999</v>
      </c>
      <c r="BI786">
        <v>0.1014</v>
      </c>
      <c r="BK786">
        <f>0</f>
        <v>0</v>
      </c>
      <c r="BL786">
        <f t="shared" si="180"/>
        <v>0.60850000000000004</v>
      </c>
      <c r="BM786">
        <f t="shared" si="181"/>
        <v>0</v>
      </c>
      <c r="BN786">
        <f t="shared" si="182"/>
        <v>0</v>
      </c>
      <c r="BO786">
        <f t="shared" si="183"/>
        <v>1</v>
      </c>
      <c r="BP786" s="37">
        <f>IF($F786="","",IFERROR(INDEX(Familias!$C$5:$C$300,MATCH($F786,Familias!$A$5:$A$300,0)),""))</f>
        <v>2320</v>
      </c>
      <c r="BQ786" s="37">
        <f t="shared" si="184"/>
        <v>6330</v>
      </c>
      <c r="BR786" s="36">
        <f t="shared" si="185"/>
        <v>3.6509999999999998</v>
      </c>
      <c r="BS786" s="36">
        <f t="shared" si="186"/>
        <v>0.60850000000000004</v>
      </c>
      <c r="BT786" s="36">
        <f t="shared" si="187"/>
        <v>3.0425</v>
      </c>
      <c r="BU786" s="36">
        <f t="shared" si="188"/>
        <v>2.7284000000000002</v>
      </c>
      <c r="BV786" s="39">
        <f t="shared" si="189"/>
        <v>0.89676253081347579</v>
      </c>
      <c r="BW786" s="39">
        <f t="shared" si="190"/>
        <v>0.99921011058451814</v>
      </c>
      <c r="BX786" s="40">
        <f t="shared" si="191"/>
        <v>8.1967213114754103E-3</v>
      </c>
      <c r="BY786" s="40">
        <f t="shared" si="192"/>
        <v>6.8306010928961746E-3</v>
      </c>
      <c r="BZ786" t="str">
        <f t="shared" si="193"/>
        <v>OK</v>
      </c>
      <c r="CA786">
        <f t="shared" si="194"/>
        <v>1</v>
      </c>
    </row>
    <row r="787" spans="1:80" x14ac:dyDescent="0.25">
      <c r="A787" s="35">
        <v>46280</v>
      </c>
      <c r="B787" s="36">
        <v>8.3490000000000002</v>
      </c>
      <c r="C787" t="s">
        <v>119</v>
      </c>
      <c r="D787" t="s">
        <v>6</v>
      </c>
      <c r="E787" t="s">
        <v>126</v>
      </c>
      <c r="F787" t="s">
        <v>133</v>
      </c>
      <c r="G787">
        <v>6356</v>
      </c>
      <c r="H787">
        <v>2140110694</v>
      </c>
      <c r="I787" t="s">
        <v>143</v>
      </c>
      <c r="J787" s="37">
        <v>14475</v>
      </c>
      <c r="K787" s="37"/>
      <c r="M787">
        <v>4948</v>
      </c>
      <c r="O787">
        <v>20</v>
      </c>
      <c r="P787">
        <v>17</v>
      </c>
      <c r="Q787">
        <v>20</v>
      </c>
      <c r="R787">
        <v>37</v>
      </c>
      <c r="V787" t="s">
        <v>116</v>
      </c>
      <c r="Y787" s="38">
        <v>0.94374999999999998</v>
      </c>
      <c r="Z787" s="38">
        <v>0.29166666666666669</v>
      </c>
      <c r="AA787" t="s">
        <v>117</v>
      </c>
      <c r="AC787" t="s">
        <v>121</v>
      </c>
      <c r="AE787">
        <v>0.52180000000000004</v>
      </c>
      <c r="AQ787">
        <v>0.11600000000000001</v>
      </c>
      <c r="AR787">
        <v>0.52180000000000004</v>
      </c>
      <c r="BI787">
        <v>0.2319</v>
      </c>
      <c r="BK787">
        <f>0</f>
        <v>0</v>
      </c>
      <c r="BL787">
        <f t="shared" si="180"/>
        <v>1.3915000000000002</v>
      </c>
      <c r="BM787">
        <f t="shared" si="181"/>
        <v>0</v>
      </c>
      <c r="BN787">
        <f t="shared" si="182"/>
        <v>0</v>
      </c>
      <c r="BO787">
        <f t="shared" si="183"/>
        <v>1</v>
      </c>
      <c r="BP787" s="37">
        <f>IF($F787="","",IFERROR(INDEX(Familias!$C$5:$C$300,MATCH($F787,Familias!$A$5:$A$300,0)),""))</f>
        <v>2320</v>
      </c>
      <c r="BQ787" s="37">
        <f t="shared" si="184"/>
        <v>14475</v>
      </c>
      <c r="BR787" s="36">
        <f t="shared" si="185"/>
        <v>8.3490000000000002</v>
      </c>
      <c r="BS787" s="36">
        <f t="shared" si="186"/>
        <v>1.3915</v>
      </c>
      <c r="BT787" s="36">
        <f t="shared" si="187"/>
        <v>6.9574999999999996</v>
      </c>
      <c r="BU787" s="36">
        <f t="shared" si="188"/>
        <v>6.2392000000000003</v>
      </c>
      <c r="BV787" s="39">
        <f t="shared" si="189"/>
        <v>0.89675889328063252</v>
      </c>
      <c r="BW787" s="39">
        <f t="shared" si="190"/>
        <v>1</v>
      </c>
      <c r="BX787" s="40">
        <f t="shared" si="191"/>
        <v>1.4955537590945837E-2</v>
      </c>
      <c r="BY787" s="40">
        <f t="shared" si="192"/>
        <v>4.0420371867421184E-3</v>
      </c>
      <c r="BZ787" t="str">
        <f t="shared" si="193"/>
        <v>OK</v>
      </c>
      <c r="CA787">
        <f t="shared" si="194"/>
        <v>1</v>
      </c>
    </row>
    <row r="788" spans="1:80" x14ac:dyDescent="0.25">
      <c r="A788" s="35">
        <v>46281</v>
      </c>
      <c r="B788" s="36">
        <v>2.5703999999999998</v>
      </c>
      <c r="C788" t="s">
        <v>113</v>
      </c>
      <c r="D788" t="s">
        <v>6</v>
      </c>
      <c r="E788" t="s">
        <v>126</v>
      </c>
      <c r="F788" t="s">
        <v>133</v>
      </c>
      <c r="G788">
        <v>4050</v>
      </c>
      <c r="H788">
        <v>2140110694</v>
      </c>
      <c r="I788" t="s">
        <v>143</v>
      </c>
      <c r="J788" s="37">
        <v>4050</v>
      </c>
      <c r="K788" s="37"/>
      <c r="M788">
        <v>1354</v>
      </c>
      <c r="O788">
        <v>42</v>
      </c>
      <c r="P788">
        <v>6</v>
      </c>
      <c r="V788" t="s">
        <v>120</v>
      </c>
      <c r="Y788" s="38">
        <v>0.29166666666666669</v>
      </c>
      <c r="Z788" s="38">
        <v>0.39861111111111108</v>
      </c>
      <c r="AA788" t="s">
        <v>117</v>
      </c>
      <c r="AC788" t="s">
        <v>121</v>
      </c>
      <c r="AG788">
        <v>0.2142</v>
      </c>
      <c r="AQ788">
        <v>3.5700000000000003E-2</v>
      </c>
      <c r="AR788">
        <v>0.16070000000000001</v>
      </c>
      <c r="BI788">
        <v>7.1400000000000005E-2</v>
      </c>
      <c r="BK788">
        <f>0</f>
        <v>0</v>
      </c>
      <c r="BL788">
        <f t="shared" si="180"/>
        <v>0.48200000000000004</v>
      </c>
      <c r="BM788">
        <f t="shared" si="181"/>
        <v>0</v>
      </c>
      <c r="BN788">
        <f t="shared" si="182"/>
        <v>0</v>
      </c>
      <c r="BO788">
        <f t="shared" si="183"/>
        <v>1</v>
      </c>
      <c r="BP788" s="37">
        <f>IF($F788="","",IFERROR(INDEX(Familias!$C$5:$C$300,MATCH($F788,Familias!$A$5:$A$300,0)),""))</f>
        <v>2320</v>
      </c>
      <c r="BQ788" s="37">
        <f t="shared" si="184"/>
        <v>4050</v>
      </c>
      <c r="BR788" s="36">
        <f t="shared" si="185"/>
        <v>2.5703999999999998</v>
      </c>
      <c r="BS788" s="36">
        <f t="shared" si="186"/>
        <v>0.48199999999999998</v>
      </c>
      <c r="BT788" s="36">
        <f t="shared" si="187"/>
        <v>2.0884</v>
      </c>
      <c r="BU788" s="36">
        <f t="shared" si="188"/>
        <v>1.7457</v>
      </c>
      <c r="BV788" s="39">
        <f t="shared" si="189"/>
        <v>0.83590308370044053</v>
      </c>
      <c r="BW788" s="39">
        <f t="shared" si="190"/>
        <v>1</v>
      </c>
      <c r="BX788" s="40">
        <f t="shared" si="191"/>
        <v>3.5450516986706058E-2</v>
      </c>
      <c r="BY788" s="40">
        <f t="shared" si="192"/>
        <v>0</v>
      </c>
      <c r="BZ788" t="str">
        <f t="shared" si="193"/>
        <v>OK</v>
      </c>
      <c r="CA788">
        <f t="shared" si="194"/>
        <v>1</v>
      </c>
    </row>
    <row r="789" spans="1:80" x14ac:dyDescent="0.25">
      <c r="A789" s="35">
        <v>46281</v>
      </c>
      <c r="B789" s="36">
        <v>9.4296000000000006</v>
      </c>
      <c r="C789" t="s">
        <v>113</v>
      </c>
      <c r="D789" t="s">
        <v>6</v>
      </c>
      <c r="E789" t="s">
        <v>126</v>
      </c>
      <c r="F789" t="s">
        <v>127</v>
      </c>
      <c r="G789">
        <v>6359</v>
      </c>
      <c r="H789">
        <v>2140110674</v>
      </c>
      <c r="I789" t="s">
        <v>130</v>
      </c>
      <c r="J789" s="37">
        <v>15675</v>
      </c>
      <c r="K789" s="37">
        <v>15</v>
      </c>
      <c r="M789">
        <v>5695</v>
      </c>
      <c r="O789">
        <v>66</v>
      </c>
      <c r="P789">
        <v>15</v>
      </c>
      <c r="Q789">
        <v>136</v>
      </c>
      <c r="R789">
        <v>28</v>
      </c>
      <c r="V789" t="s">
        <v>120</v>
      </c>
      <c r="Y789" s="38">
        <v>0.39861111111111108</v>
      </c>
      <c r="Z789" s="38">
        <v>0.79166666666666663</v>
      </c>
      <c r="AA789" t="s">
        <v>117</v>
      </c>
      <c r="AC789" t="s">
        <v>121</v>
      </c>
      <c r="AG789">
        <v>0.78580000000000005</v>
      </c>
      <c r="AQ789">
        <v>0.13100000000000001</v>
      </c>
      <c r="AR789">
        <v>0.58930000000000005</v>
      </c>
      <c r="BI789">
        <v>0.26190000000000002</v>
      </c>
      <c r="BK789">
        <f>0</f>
        <v>0</v>
      </c>
      <c r="BL789">
        <f t="shared" si="180"/>
        <v>1.768</v>
      </c>
      <c r="BM789">
        <f t="shared" si="181"/>
        <v>0</v>
      </c>
      <c r="BN789">
        <f t="shared" si="182"/>
        <v>0</v>
      </c>
      <c r="BO789">
        <f t="shared" si="183"/>
        <v>1</v>
      </c>
      <c r="BP789" s="37">
        <f>IF($F789="","",IFERROR(INDEX(Familias!$C$5:$C$300,MATCH($F789,Familias!$A$5:$A$300,0)),""))</f>
        <v>2450</v>
      </c>
      <c r="BQ789" s="37">
        <f t="shared" si="184"/>
        <v>15690</v>
      </c>
      <c r="BR789" s="36">
        <f t="shared" si="185"/>
        <v>9.4296000000000006</v>
      </c>
      <c r="BS789" s="36">
        <f t="shared" si="186"/>
        <v>1.768</v>
      </c>
      <c r="BT789" s="36">
        <f t="shared" si="187"/>
        <v>7.6616</v>
      </c>
      <c r="BU789" s="36">
        <f t="shared" si="188"/>
        <v>6.4040999999999997</v>
      </c>
      <c r="BV789" s="39">
        <f t="shared" si="189"/>
        <v>0.83586979221050428</v>
      </c>
      <c r="BW789" s="39">
        <f t="shared" si="190"/>
        <v>0.99904397705544934</v>
      </c>
      <c r="BX789" s="40">
        <f t="shared" si="191"/>
        <v>1.9139596136962249E-2</v>
      </c>
      <c r="BY789" s="40">
        <f t="shared" si="192"/>
        <v>2.3880597014925373E-2</v>
      </c>
      <c r="BZ789" t="str">
        <f t="shared" si="193"/>
        <v>OK</v>
      </c>
      <c r="CA789">
        <f t="shared" si="194"/>
        <v>1</v>
      </c>
    </row>
    <row r="790" spans="1:80" x14ac:dyDescent="0.25">
      <c r="A790" s="35">
        <v>46281</v>
      </c>
      <c r="B790" s="36">
        <v>12</v>
      </c>
      <c r="C790" t="s">
        <v>119</v>
      </c>
      <c r="D790" t="s">
        <v>6</v>
      </c>
      <c r="E790" t="s">
        <v>126</v>
      </c>
      <c r="F790" t="s">
        <v>127</v>
      </c>
      <c r="G790">
        <v>6359</v>
      </c>
      <c r="H790">
        <v>2140110674</v>
      </c>
      <c r="I790" t="s">
        <v>130</v>
      </c>
      <c r="J790" s="37">
        <v>20250</v>
      </c>
      <c r="K790" s="37">
        <v>6</v>
      </c>
      <c r="M790">
        <v>7396</v>
      </c>
      <c r="O790">
        <v>52</v>
      </c>
      <c r="P790">
        <v>32</v>
      </c>
      <c r="Q790">
        <v>18</v>
      </c>
      <c r="V790" t="s">
        <v>116</v>
      </c>
      <c r="Y790" s="38">
        <v>0.79166666666666663</v>
      </c>
      <c r="Z790" s="38">
        <v>0.29166666666666669</v>
      </c>
      <c r="AA790" t="s">
        <v>117</v>
      </c>
      <c r="AC790" t="s">
        <v>118</v>
      </c>
      <c r="AJ790">
        <v>0.5</v>
      </c>
      <c r="AQ790">
        <v>0.16669999999999999</v>
      </c>
      <c r="AR790">
        <v>0.75</v>
      </c>
      <c r="BI790">
        <v>0.33329999999999999</v>
      </c>
      <c r="BK790">
        <f>0</f>
        <v>0</v>
      </c>
      <c r="BL790">
        <f t="shared" si="180"/>
        <v>1.75</v>
      </c>
      <c r="BM790">
        <f t="shared" si="181"/>
        <v>0</v>
      </c>
      <c r="BN790">
        <f t="shared" si="182"/>
        <v>0</v>
      </c>
      <c r="BO790">
        <f t="shared" si="183"/>
        <v>1</v>
      </c>
      <c r="BP790" s="37">
        <f>IF($F790="","",IFERROR(INDEX(Familias!$C$5:$C$300,MATCH($F790,Familias!$A$5:$A$300,0)),""))</f>
        <v>2450</v>
      </c>
      <c r="BQ790" s="37">
        <f t="shared" si="184"/>
        <v>20256</v>
      </c>
      <c r="BR790" s="36">
        <f t="shared" si="185"/>
        <v>12</v>
      </c>
      <c r="BS790" s="36">
        <f t="shared" si="186"/>
        <v>1.75</v>
      </c>
      <c r="BT790" s="36">
        <f t="shared" si="187"/>
        <v>10.25</v>
      </c>
      <c r="BU790" s="36">
        <f t="shared" si="188"/>
        <v>8.2677999999999994</v>
      </c>
      <c r="BV790" s="39">
        <f t="shared" si="189"/>
        <v>0.80661463414634138</v>
      </c>
      <c r="BW790" s="39">
        <f t="shared" si="190"/>
        <v>0.9997037914691943</v>
      </c>
      <c r="BX790" s="40">
        <f t="shared" si="191"/>
        <v>1.1357490535424553E-2</v>
      </c>
      <c r="BY790" s="40">
        <f t="shared" si="192"/>
        <v>2.4337479718766902E-3</v>
      </c>
      <c r="BZ790" t="str">
        <f t="shared" si="193"/>
        <v>OK</v>
      </c>
      <c r="CA790">
        <f t="shared" si="194"/>
        <v>1</v>
      </c>
    </row>
    <row r="791" spans="1:80" x14ac:dyDescent="0.25">
      <c r="A791" s="35">
        <v>46282</v>
      </c>
      <c r="B791" s="36">
        <v>12</v>
      </c>
      <c r="C791" t="s">
        <v>113</v>
      </c>
      <c r="D791" t="s">
        <v>6</v>
      </c>
      <c r="E791" t="s">
        <v>126</v>
      </c>
      <c r="F791" t="s">
        <v>127</v>
      </c>
      <c r="G791">
        <v>6359</v>
      </c>
      <c r="H791">
        <v>2140110674</v>
      </c>
      <c r="I791" t="s">
        <v>130</v>
      </c>
      <c r="J791" s="37">
        <v>11850</v>
      </c>
      <c r="K791" s="37">
        <v>15</v>
      </c>
      <c r="M791">
        <v>4539</v>
      </c>
      <c r="O791">
        <v>46</v>
      </c>
      <c r="P791">
        <v>15</v>
      </c>
      <c r="V791" t="s">
        <v>120</v>
      </c>
      <c r="Y791" s="38">
        <v>0.29166666666666669</v>
      </c>
      <c r="Z791" s="38">
        <v>0.79166666666666663</v>
      </c>
      <c r="AA791" t="s">
        <v>117</v>
      </c>
      <c r="AC791" t="s">
        <v>118</v>
      </c>
      <c r="AK791">
        <v>0.16669999999999999</v>
      </c>
      <c r="AM791">
        <v>0.33329999999999999</v>
      </c>
      <c r="AQ791">
        <v>0.16669999999999999</v>
      </c>
      <c r="AR791">
        <v>0.75</v>
      </c>
      <c r="BI791">
        <v>0.33329999999999999</v>
      </c>
      <c r="BK791">
        <f>0</f>
        <v>0</v>
      </c>
      <c r="BL791">
        <f t="shared" si="180"/>
        <v>1.75</v>
      </c>
      <c r="BM791">
        <f t="shared" si="181"/>
        <v>0</v>
      </c>
      <c r="BN791">
        <f t="shared" si="182"/>
        <v>0</v>
      </c>
      <c r="BO791">
        <f t="shared" si="183"/>
        <v>1</v>
      </c>
      <c r="BP791" s="37">
        <f>IF($F791="","",IFERROR(INDEX(Familias!$C$5:$C$300,MATCH($F791,Familias!$A$5:$A$300,0)),""))</f>
        <v>2450</v>
      </c>
      <c r="BQ791" s="37">
        <f t="shared" si="184"/>
        <v>11865</v>
      </c>
      <c r="BR791" s="36">
        <f t="shared" si="185"/>
        <v>12</v>
      </c>
      <c r="BS791" s="36">
        <f t="shared" si="186"/>
        <v>1.75</v>
      </c>
      <c r="BT791" s="36">
        <f t="shared" si="187"/>
        <v>10.25</v>
      </c>
      <c r="BU791" s="36">
        <f t="shared" si="188"/>
        <v>4.8429000000000002</v>
      </c>
      <c r="BV791" s="39">
        <f t="shared" si="189"/>
        <v>0.47247804878048782</v>
      </c>
      <c r="BW791" s="39">
        <f t="shared" si="190"/>
        <v>0.99873577749683939</v>
      </c>
      <c r="BX791" s="40">
        <f t="shared" si="191"/>
        <v>1.3439083498567966E-2</v>
      </c>
      <c r="BY791" s="40">
        <f t="shared" si="192"/>
        <v>0</v>
      </c>
      <c r="BZ791" t="str">
        <f t="shared" si="193"/>
        <v>OK</v>
      </c>
      <c r="CA791">
        <f t="shared" si="194"/>
        <v>1</v>
      </c>
    </row>
    <row r="792" spans="1:80" x14ac:dyDescent="0.25">
      <c r="A792" s="35">
        <v>46282</v>
      </c>
      <c r="B792" s="36">
        <v>12</v>
      </c>
      <c r="C792" t="s">
        <v>119</v>
      </c>
      <c r="D792" t="s">
        <v>6</v>
      </c>
      <c r="E792" t="s">
        <v>126</v>
      </c>
      <c r="F792" t="s">
        <v>127</v>
      </c>
      <c r="G792">
        <v>6357</v>
      </c>
      <c r="H792">
        <v>2140110673</v>
      </c>
      <c r="I792" t="s">
        <v>129</v>
      </c>
      <c r="J792" s="37">
        <v>19125</v>
      </c>
      <c r="K792" s="37">
        <v>5</v>
      </c>
      <c r="M792">
        <v>7062</v>
      </c>
      <c r="O792">
        <v>45</v>
      </c>
      <c r="P792">
        <v>34</v>
      </c>
      <c r="Q792">
        <v>12</v>
      </c>
      <c r="V792" t="s">
        <v>116</v>
      </c>
      <c r="Y792" s="38">
        <v>0.79166666666666663</v>
      </c>
      <c r="Z792" s="38">
        <v>0.29166666666666669</v>
      </c>
      <c r="AA792" t="s">
        <v>117</v>
      </c>
      <c r="AC792" t="s">
        <v>118</v>
      </c>
      <c r="AE792">
        <v>1</v>
      </c>
      <c r="AQ792">
        <v>0.16669999999999999</v>
      </c>
      <c r="AR792">
        <v>0.75</v>
      </c>
      <c r="BJ792">
        <v>0.33329999999999999</v>
      </c>
      <c r="BK792">
        <f>0</f>
        <v>0</v>
      </c>
      <c r="BL792">
        <f t="shared" si="180"/>
        <v>2.25</v>
      </c>
      <c r="BM792">
        <f t="shared" si="181"/>
        <v>0</v>
      </c>
      <c r="BN792">
        <f t="shared" si="182"/>
        <v>0</v>
      </c>
      <c r="BO792">
        <f t="shared" si="183"/>
        <v>1</v>
      </c>
      <c r="BP792" s="37">
        <f>IF($F792="","",IFERROR(INDEX(Familias!$C$5:$C$300,MATCH($F792,Familias!$A$5:$A$300,0)),""))</f>
        <v>2450</v>
      </c>
      <c r="BQ792" s="37">
        <f t="shared" si="184"/>
        <v>19130</v>
      </c>
      <c r="BR792" s="36">
        <f t="shared" si="185"/>
        <v>12</v>
      </c>
      <c r="BS792" s="36">
        <f t="shared" si="186"/>
        <v>2.25</v>
      </c>
      <c r="BT792" s="36">
        <f t="shared" si="187"/>
        <v>9.75</v>
      </c>
      <c r="BU792" s="36">
        <f t="shared" si="188"/>
        <v>7.8082000000000003</v>
      </c>
      <c r="BV792" s="39">
        <f t="shared" si="189"/>
        <v>0.80084102564102566</v>
      </c>
      <c r="BW792" s="39">
        <f t="shared" si="190"/>
        <v>0.99973863042341871</v>
      </c>
      <c r="BX792" s="40">
        <f t="shared" si="191"/>
        <v>1.1186632681959784E-2</v>
      </c>
      <c r="BY792" s="40">
        <f t="shared" si="192"/>
        <v>1.6992353440951572E-3</v>
      </c>
      <c r="BZ792" t="str">
        <f t="shared" si="193"/>
        <v>OK</v>
      </c>
      <c r="CA792">
        <f t="shared" si="194"/>
        <v>1</v>
      </c>
    </row>
    <row r="793" spans="1:80" x14ac:dyDescent="0.25">
      <c r="A793" s="35">
        <v>46283</v>
      </c>
      <c r="B793" s="36">
        <v>12</v>
      </c>
      <c r="C793" t="s">
        <v>113</v>
      </c>
      <c r="D793" t="s">
        <v>6</v>
      </c>
      <c r="E793" t="s">
        <v>126</v>
      </c>
      <c r="F793" t="s">
        <v>127</v>
      </c>
      <c r="G793">
        <v>6357</v>
      </c>
      <c r="H793">
        <v>2140110673</v>
      </c>
      <c r="I793" t="s">
        <v>129</v>
      </c>
      <c r="J793" s="37">
        <v>19775</v>
      </c>
      <c r="K793" s="37">
        <v>10</v>
      </c>
      <c r="M793">
        <v>7200</v>
      </c>
      <c r="O793">
        <v>68</v>
      </c>
      <c r="P793">
        <v>27</v>
      </c>
      <c r="V793" t="s">
        <v>120</v>
      </c>
      <c r="Y793" s="38">
        <v>0.29166666666666669</v>
      </c>
      <c r="Z793" s="38">
        <v>0.79166666666666663</v>
      </c>
      <c r="AA793" t="s">
        <v>117</v>
      </c>
      <c r="AC793" t="s">
        <v>118</v>
      </c>
      <c r="AO793">
        <v>1</v>
      </c>
      <c r="AQ793">
        <v>0.16669999999999999</v>
      </c>
      <c r="AR793">
        <v>0.75</v>
      </c>
      <c r="BI793">
        <v>0.33329999999999999</v>
      </c>
      <c r="BK793">
        <f>0</f>
        <v>0</v>
      </c>
      <c r="BL793">
        <f t="shared" si="180"/>
        <v>2.25</v>
      </c>
      <c r="BM793">
        <f t="shared" si="181"/>
        <v>0</v>
      </c>
      <c r="BN793">
        <f t="shared" si="182"/>
        <v>0</v>
      </c>
      <c r="BO793">
        <f t="shared" si="183"/>
        <v>1</v>
      </c>
      <c r="BP793" s="37">
        <f>IF($F793="","",IFERROR(INDEX(Familias!$C$5:$C$300,MATCH($F793,Familias!$A$5:$A$300,0)),""))</f>
        <v>2450</v>
      </c>
      <c r="BQ793" s="37">
        <f t="shared" si="184"/>
        <v>19785</v>
      </c>
      <c r="BR793" s="36">
        <f t="shared" si="185"/>
        <v>12</v>
      </c>
      <c r="BS793" s="36">
        <f t="shared" si="186"/>
        <v>2.25</v>
      </c>
      <c r="BT793" s="36">
        <f t="shared" si="187"/>
        <v>9.75</v>
      </c>
      <c r="BU793" s="36">
        <f t="shared" si="188"/>
        <v>8.0754999999999999</v>
      </c>
      <c r="BV793" s="39">
        <f t="shared" si="189"/>
        <v>0.82825641025641028</v>
      </c>
      <c r="BW793" s="39">
        <f t="shared" si="190"/>
        <v>0.99949456659085167</v>
      </c>
      <c r="BX793" s="40">
        <f t="shared" si="191"/>
        <v>1.3194444444444444E-2</v>
      </c>
      <c r="BY793" s="40">
        <f t="shared" si="192"/>
        <v>0</v>
      </c>
      <c r="BZ793" t="str">
        <f t="shared" si="193"/>
        <v>OK</v>
      </c>
      <c r="CA793">
        <f t="shared" si="194"/>
        <v>1</v>
      </c>
    </row>
    <row r="794" spans="1:80" x14ac:dyDescent="0.25">
      <c r="A794" s="35">
        <v>46283</v>
      </c>
      <c r="B794" s="36">
        <v>0.79039999999999999</v>
      </c>
      <c r="C794" t="s">
        <v>119</v>
      </c>
      <c r="D794" t="s">
        <v>6</v>
      </c>
      <c r="E794" t="s">
        <v>126</v>
      </c>
      <c r="F794" t="s">
        <v>127</v>
      </c>
      <c r="G794">
        <v>6357</v>
      </c>
      <c r="H794">
        <v>2140110673</v>
      </c>
      <c r="I794" t="s">
        <v>129</v>
      </c>
      <c r="J794" s="37">
        <v>1150</v>
      </c>
      <c r="K794" s="37"/>
      <c r="M794">
        <v>353</v>
      </c>
      <c r="O794">
        <v>15</v>
      </c>
      <c r="V794" t="s">
        <v>116</v>
      </c>
      <c r="Y794" s="38">
        <v>0.79166666666666663</v>
      </c>
      <c r="Z794" s="38">
        <v>0.82430555555555551</v>
      </c>
      <c r="AA794" t="s">
        <v>200</v>
      </c>
      <c r="AB794" t="s">
        <v>266</v>
      </c>
      <c r="AC794" t="s">
        <v>121</v>
      </c>
      <c r="BK794">
        <f>0</f>
        <v>0</v>
      </c>
      <c r="BL794">
        <f t="shared" si="180"/>
        <v>0</v>
      </c>
      <c r="BM794">
        <f t="shared" si="181"/>
        <v>0</v>
      </c>
      <c r="BN794">
        <f t="shared" si="182"/>
        <v>0</v>
      </c>
      <c r="BO794">
        <f t="shared" si="183"/>
        <v>1</v>
      </c>
      <c r="BP794" s="37">
        <f>IF($F794="","",IFERROR(INDEX(Familias!$C$5:$C$300,MATCH($F794,Familias!$A$5:$A$300,0)),""))</f>
        <v>2450</v>
      </c>
      <c r="BQ794" s="37">
        <f t="shared" si="184"/>
        <v>1150</v>
      </c>
      <c r="BR794" s="36">
        <f t="shared" si="185"/>
        <v>0.79039999999999999</v>
      </c>
      <c r="BS794" s="36">
        <f t="shared" si="186"/>
        <v>0</v>
      </c>
      <c r="BT794" s="36">
        <f t="shared" si="187"/>
        <v>0.79039999999999999</v>
      </c>
      <c r="BU794" s="36">
        <f t="shared" si="188"/>
        <v>0.46939999999999998</v>
      </c>
      <c r="BV794" s="39">
        <f t="shared" si="189"/>
        <v>0.59387651821862342</v>
      </c>
      <c r="BW794" s="39">
        <f t="shared" si="190"/>
        <v>1</v>
      </c>
      <c r="BX794" s="40">
        <f t="shared" si="191"/>
        <v>4.2492917847025496E-2</v>
      </c>
      <c r="BY794" s="40">
        <f t="shared" si="192"/>
        <v>0</v>
      </c>
      <c r="BZ794" t="str">
        <f t="shared" si="193"/>
        <v>Paradas no digitadas</v>
      </c>
      <c r="CA794">
        <f t="shared" si="194"/>
        <v>0</v>
      </c>
    </row>
    <row r="795" spans="1:80" x14ac:dyDescent="0.25">
      <c r="A795" s="35">
        <v>46283</v>
      </c>
      <c r="B795" s="36">
        <v>11.2096</v>
      </c>
      <c r="C795" t="s">
        <v>119</v>
      </c>
      <c r="D795" t="s">
        <v>6</v>
      </c>
      <c r="E795" t="s">
        <v>126</v>
      </c>
      <c r="F795" t="s">
        <v>127</v>
      </c>
      <c r="G795">
        <v>6360</v>
      </c>
      <c r="H795">
        <v>2140110610</v>
      </c>
      <c r="I795" t="s">
        <v>128</v>
      </c>
      <c r="J795" s="37">
        <v>16300</v>
      </c>
      <c r="K795" s="37">
        <v>10</v>
      </c>
      <c r="M795">
        <v>6122</v>
      </c>
      <c r="O795">
        <v>70</v>
      </c>
      <c r="P795">
        <v>25</v>
      </c>
      <c r="Q795">
        <v>70</v>
      </c>
      <c r="R795">
        <v>35</v>
      </c>
      <c r="V795" t="s">
        <v>116</v>
      </c>
      <c r="Y795" s="38">
        <v>0.82430555555555551</v>
      </c>
      <c r="Z795" s="38">
        <v>0.29166666666666669</v>
      </c>
      <c r="AA795" t="s">
        <v>200</v>
      </c>
      <c r="AC795" t="s">
        <v>121</v>
      </c>
      <c r="BK795">
        <f>0</f>
        <v>0</v>
      </c>
      <c r="BL795">
        <f t="shared" si="180"/>
        <v>0</v>
      </c>
      <c r="BM795">
        <f t="shared" si="181"/>
        <v>0</v>
      </c>
      <c r="BN795">
        <f t="shared" si="182"/>
        <v>0</v>
      </c>
      <c r="BO795">
        <f t="shared" si="183"/>
        <v>1</v>
      </c>
      <c r="BP795" s="37">
        <f>IF($F795="","",IFERROR(INDEX(Familias!$C$5:$C$300,MATCH($F795,Familias!$A$5:$A$300,0)),""))</f>
        <v>2450</v>
      </c>
      <c r="BQ795" s="37">
        <f t="shared" si="184"/>
        <v>16310</v>
      </c>
      <c r="BR795" s="36">
        <f t="shared" si="185"/>
        <v>11.2096</v>
      </c>
      <c r="BS795" s="36">
        <f t="shared" si="186"/>
        <v>0</v>
      </c>
      <c r="BT795" s="36">
        <f t="shared" si="187"/>
        <v>11.2096</v>
      </c>
      <c r="BU795" s="36">
        <f t="shared" si="188"/>
        <v>6.6570999999999998</v>
      </c>
      <c r="BV795" s="39">
        <f t="shared" si="189"/>
        <v>0.59387489294890095</v>
      </c>
      <c r="BW795" s="39">
        <f t="shared" si="190"/>
        <v>0.99938687921520541</v>
      </c>
      <c r="BX795" s="40">
        <f t="shared" si="191"/>
        <v>2.1234890558640966E-2</v>
      </c>
      <c r="BY795" s="40">
        <f t="shared" si="192"/>
        <v>1.1434171839268212E-2</v>
      </c>
      <c r="BZ795" t="str">
        <f t="shared" si="193"/>
        <v>Paradas no digitadas</v>
      </c>
      <c r="CA795">
        <f t="shared" si="194"/>
        <v>0</v>
      </c>
    </row>
    <row r="796" spans="1:80" x14ac:dyDescent="0.25">
      <c r="A796" s="35">
        <v>46284</v>
      </c>
      <c r="B796" s="36">
        <v>12</v>
      </c>
      <c r="C796" t="s">
        <v>113</v>
      </c>
      <c r="D796" t="s">
        <v>6</v>
      </c>
      <c r="E796" t="s">
        <v>126</v>
      </c>
      <c r="F796" t="s">
        <v>127</v>
      </c>
      <c r="G796">
        <v>6360</v>
      </c>
      <c r="H796">
        <v>2140110610</v>
      </c>
      <c r="I796" t="s">
        <v>128</v>
      </c>
      <c r="J796" s="37">
        <v>1375</v>
      </c>
      <c r="K796" s="37">
        <v>10</v>
      </c>
      <c r="M796">
        <v>494.44499999999999</v>
      </c>
      <c r="V796" t="s">
        <v>120</v>
      </c>
      <c r="Y796" s="38">
        <v>0.29166666666666669</v>
      </c>
      <c r="Z796" s="38">
        <v>0.79166666666666663</v>
      </c>
      <c r="AA796" t="s">
        <v>161</v>
      </c>
      <c r="AB796" t="s">
        <v>162</v>
      </c>
      <c r="AC796" t="s">
        <v>118</v>
      </c>
      <c r="BK796">
        <f>0</f>
        <v>0</v>
      </c>
      <c r="BL796">
        <f t="shared" si="180"/>
        <v>0</v>
      </c>
      <c r="BM796">
        <f t="shared" si="181"/>
        <v>0</v>
      </c>
      <c r="BN796">
        <f t="shared" si="182"/>
        <v>0</v>
      </c>
      <c r="BO796">
        <f t="shared" si="183"/>
        <v>1</v>
      </c>
      <c r="BP796" s="37">
        <f>IF($F796="","",IFERROR(INDEX(Familias!$C$5:$C$300,MATCH($F796,Familias!$A$5:$A$300,0)),""))</f>
        <v>2450</v>
      </c>
      <c r="BQ796" s="37">
        <f t="shared" si="184"/>
        <v>1385</v>
      </c>
      <c r="BR796" s="36">
        <f t="shared" si="185"/>
        <v>12</v>
      </c>
      <c r="BS796" s="36">
        <f t="shared" si="186"/>
        <v>0</v>
      </c>
      <c r="BT796" s="36">
        <f t="shared" si="187"/>
        <v>12</v>
      </c>
      <c r="BU796" s="36">
        <f t="shared" si="188"/>
        <v>0.56530000000000002</v>
      </c>
      <c r="BV796" s="39">
        <f t="shared" si="189"/>
        <v>4.7108333333333335E-2</v>
      </c>
      <c r="BW796" s="39">
        <f t="shared" si="190"/>
        <v>0.99277978339350181</v>
      </c>
      <c r="BX796" s="40">
        <f t="shared" si="191"/>
        <v>0</v>
      </c>
      <c r="BY796" s="40">
        <f t="shared" si="192"/>
        <v>0</v>
      </c>
      <c r="BZ796" t="str">
        <f t="shared" si="193"/>
        <v>Paradas no digitadas</v>
      </c>
      <c r="CA796">
        <f t="shared" si="194"/>
        <v>0</v>
      </c>
    </row>
    <row r="797" spans="1:80" x14ac:dyDescent="0.25">
      <c r="A797" s="35">
        <v>46286</v>
      </c>
      <c r="B797" s="36">
        <v>12</v>
      </c>
      <c r="C797" t="s">
        <v>113</v>
      </c>
      <c r="D797" t="s">
        <v>6</v>
      </c>
      <c r="E797" t="s">
        <v>126</v>
      </c>
      <c r="F797" t="s">
        <v>127</v>
      </c>
      <c r="G797">
        <v>6360</v>
      </c>
      <c r="H797">
        <v>2140110610</v>
      </c>
      <c r="I797" t="s">
        <v>128</v>
      </c>
      <c r="J797" s="37">
        <v>20200</v>
      </c>
      <c r="K797" s="37">
        <v>20</v>
      </c>
      <c r="M797">
        <v>7389</v>
      </c>
      <c r="O797">
        <v>97</v>
      </c>
      <c r="P797">
        <v>23</v>
      </c>
      <c r="Q797">
        <v>42</v>
      </c>
      <c r="V797" t="s">
        <v>116</v>
      </c>
      <c r="Y797" s="38">
        <v>0.29166666666666669</v>
      </c>
      <c r="Z797" s="38">
        <v>0.79166666666666663</v>
      </c>
      <c r="AA797" t="s">
        <v>161</v>
      </c>
      <c r="AB797" t="s">
        <v>162</v>
      </c>
      <c r="AC797" t="s">
        <v>118</v>
      </c>
      <c r="BK797">
        <f>0</f>
        <v>0</v>
      </c>
      <c r="BL797">
        <f t="shared" si="180"/>
        <v>0</v>
      </c>
      <c r="BM797">
        <f t="shared" si="181"/>
        <v>0</v>
      </c>
      <c r="BN797">
        <f t="shared" si="182"/>
        <v>0</v>
      </c>
      <c r="BO797">
        <f t="shared" si="183"/>
        <v>1</v>
      </c>
      <c r="BP797" s="37">
        <f>IF($F797="","",IFERROR(INDEX(Familias!$C$5:$C$300,MATCH($F797,Familias!$A$5:$A$300,0)),""))</f>
        <v>2450</v>
      </c>
      <c r="BQ797" s="37">
        <f t="shared" si="184"/>
        <v>20220</v>
      </c>
      <c r="BR797" s="36">
        <f t="shared" si="185"/>
        <v>12</v>
      </c>
      <c r="BS797" s="36">
        <f t="shared" si="186"/>
        <v>0</v>
      </c>
      <c r="BT797" s="36">
        <f t="shared" si="187"/>
        <v>12</v>
      </c>
      <c r="BU797" s="36">
        <f t="shared" si="188"/>
        <v>8.2530999999999999</v>
      </c>
      <c r="BV797" s="39">
        <f t="shared" si="189"/>
        <v>0.68775833333333336</v>
      </c>
      <c r="BW797" s="39">
        <f t="shared" si="190"/>
        <v>0.9990108803165183</v>
      </c>
      <c r="BX797" s="40">
        <f t="shared" si="191"/>
        <v>1.6240357287860333E-2</v>
      </c>
      <c r="BY797" s="40">
        <f t="shared" si="192"/>
        <v>5.6841250507511168E-3</v>
      </c>
      <c r="BZ797" t="str">
        <f t="shared" si="193"/>
        <v>Paradas no digitadas</v>
      </c>
      <c r="CA797">
        <f t="shared" si="194"/>
        <v>0</v>
      </c>
    </row>
    <row r="798" spans="1:80" x14ac:dyDescent="0.25">
      <c r="A798" s="35">
        <v>46286</v>
      </c>
      <c r="B798" s="36">
        <v>12</v>
      </c>
      <c r="C798" t="s">
        <v>119</v>
      </c>
      <c r="D798" t="s">
        <v>6</v>
      </c>
      <c r="E798" t="s">
        <v>126</v>
      </c>
      <c r="F798" t="s">
        <v>127</v>
      </c>
      <c r="G798">
        <v>6360</v>
      </c>
      <c r="H798">
        <v>2140110610</v>
      </c>
      <c r="I798" t="s">
        <v>128</v>
      </c>
      <c r="J798" s="37">
        <v>17800</v>
      </c>
      <c r="K798" s="37">
        <v>10</v>
      </c>
      <c r="M798">
        <v>6568</v>
      </c>
      <c r="O798">
        <v>67</v>
      </c>
      <c r="P798">
        <v>15</v>
      </c>
      <c r="Q798">
        <v>28</v>
      </c>
      <c r="V798" t="s">
        <v>120</v>
      </c>
      <c r="Y798" s="38">
        <v>0.79166666666666663</v>
      </c>
      <c r="Z798" s="38">
        <v>0.29166666666666669</v>
      </c>
      <c r="AA798" t="s">
        <v>161</v>
      </c>
      <c r="AB798" t="s">
        <v>162</v>
      </c>
      <c r="AC798" t="s">
        <v>118</v>
      </c>
      <c r="BK798">
        <f>0</f>
        <v>0</v>
      </c>
      <c r="BL798">
        <f t="shared" si="180"/>
        <v>0</v>
      </c>
      <c r="BM798">
        <f t="shared" si="181"/>
        <v>0</v>
      </c>
      <c r="BN798">
        <f t="shared" si="182"/>
        <v>0</v>
      </c>
      <c r="BO798">
        <f t="shared" si="183"/>
        <v>1</v>
      </c>
      <c r="BP798" s="37">
        <f>IF($F798="","",IFERROR(INDEX(Familias!$C$5:$C$300,MATCH($F798,Familias!$A$5:$A$300,0)),""))</f>
        <v>2450</v>
      </c>
      <c r="BQ798" s="37">
        <f t="shared" si="184"/>
        <v>17810</v>
      </c>
      <c r="BR798" s="36">
        <f t="shared" si="185"/>
        <v>12</v>
      </c>
      <c r="BS798" s="36">
        <f t="shared" si="186"/>
        <v>0</v>
      </c>
      <c r="BT798" s="36">
        <f t="shared" si="187"/>
        <v>12</v>
      </c>
      <c r="BU798" s="36">
        <f t="shared" si="188"/>
        <v>7.2694000000000001</v>
      </c>
      <c r="BV798" s="39">
        <f t="shared" si="189"/>
        <v>0.60578333333333334</v>
      </c>
      <c r="BW798" s="39">
        <f t="shared" si="190"/>
        <v>0.9994385176866929</v>
      </c>
      <c r="BX798" s="40">
        <f t="shared" si="191"/>
        <v>1.2484774665042631E-2</v>
      </c>
      <c r="BY798" s="40">
        <f t="shared" si="192"/>
        <v>4.2630937880633376E-3</v>
      </c>
      <c r="BZ798" t="str">
        <f t="shared" si="193"/>
        <v>Paradas no digitadas</v>
      </c>
      <c r="CA798">
        <f t="shared" si="194"/>
        <v>0</v>
      </c>
    </row>
    <row r="799" spans="1:80" x14ac:dyDescent="0.25">
      <c r="A799" s="35">
        <v>46287</v>
      </c>
      <c r="B799" s="36">
        <v>12</v>
      </c>
      <c r="C799" t="s">
        <v>113</v>
      </c>
      <c r="D799" t="s">
        <v>6</v>
      </c>
      <c r="E799" t="s">
        <v>126</v>
      </c>
      <c r="F799" t="s">
        <v>127</v>
      </c>
      <c r="G799">
        <v>6360</v>
      </c>
      <c r="H799">
        <v>2140110610</v>
      </c>
      <c r="I799" t="s">
        <v>128</v>
      </c>
      <c r="J799" s="37">
        <v>20625</v>
      </c>
      <c r="K799" s="37">
        <v>8</v>
      </c>
      <c r="M799">
        <v>7595</v>
      </c>
      <c r="O799">
        <v>95</v>
      </c>
      <c r="P799">
        <v>34</v>
      </c>
      <c r="Q799">
        <v>25</v>
      </c>
      <c r="V799" t="s">
        <v>116</v>
      </c>
      <c r="Y799" s="38">
        <v>0.29166666666666669</v>
      </c>
      <c r="Z799" s="38">
        <v>0.79166666666666663</v>
      </c>
      <c r="AA799" t="s">
        <v>161</v>
      </c>
      <c r="AB799" t="s">
        <v>162</v>
      </c>
      <c r="AC799" t="s">
        <v>118</v>
      </c>
      <c r="BK799">
        <f>0</f>
        <v>0</v>
      </c>
      <c r="BL799">
        <f t="shared" si="180"/>
        <v>0</v>
      </c>
      <c r="BM799">
        <f t="shared" si="181"/>
        <v>0</v>
      </c>
      <c r="BN799">
        <f t="shared" si="182"/>
        <v>0</v>
      </c>
      <c r="BO799">
        <f t="shared" si="183"/>
        <v>1</v>
      </c>
      <c r="BP799" s="37">
        <f>IF($F799="","",IFERROR(INDEX(Familias!$C$5:$C$300,MATCH($F799,Familias!$A$5:$A$300,0)),""))</f>
        <v>2450</v>
      </c>
      <c r="BQ799" s="37">
        <f t="shared" si="184"/>
        <v>20633</v>
      </c>
      <c r="BR799" s="36">
        <f t="shared" si="185"/>
        <v>12</v>
      </c>
      <c r="BS799" s="36">
        <f t="shared" si="186"/>
        <v>0</v>
      </c>
      <c r="BT799" s="36">
        <f t="shared" si="187"/>
        <v>12</v>
      </c>
      <c r="BU799" s="36">
        <f t="shared" si="188"/>
        <v>8.4215999999999998</v>
      </c>
      <c r="BV799" s="39">
        <f t="shared" si="189"/>
        <v>0.70179999999999998</v>
      </c>
      <c r="BW799" s="39">
        <f t="shared" si="190"/>
        <v>0.99961227160374155</v>
      </c>
      <c r="BX799" s="40">
        <f t="shared" si="191"/>
        <v>1.6984858459512836E-2</v>
      </c>
      <c r="BY799" s="40">
        <f t="shared" si="192"/>
        <v>3.2916392363396972E-3</v>
      </c>
      <c r="BZ799" t="str">
        <f t="shared" si="193"/>
        <v>Paradas no digitadas</v>
      </c>
      <c r="CA799">
        <f t="shared" si="194"/>
        <v>0</v>
      </c>
    </row>
    <row r="800" spans="1:80" x14ac:dyDescent="0.25">
      <c r="A800" s="35">
        <v>46287</v>
      </c>
      <c r="B800" s="36">
        <v>12</v>
      </c>
      <c r="C800" t="s">
        <v>119</v>
      </c>
      <c r="D800" t="s">
        <v>6</v>
      </c>
      <c r="E800" t="s">
        <v>126</v>
      </c>
      <c r="F800" t="s">
        <v>127</v>
      </c>
      <c r="G800">
        <v>6360</v>
      </c>
      <c r="H800">
        <v>2140110610</v>
      </c>
      <c r="I800" t="s">
        <v>128</v>
      </c>
      <c r="J800" s="37">
        <v>2850</v>
      </c>
      <c r="K800" s="37">
        <v>4</v>
      </c>
      <c r="M800">
        <v>939</v>
      </c>
      <c r="O800">
        <v>6</v>
      </c>
      <c r="P800">
        <v>3</v>
      </c>
      <c r="V800" t="s">
        <v>120</v>
      </c>
      <c r="Y800" s="38">
        <v>0.79166666666666663</v>
      </c>
      <c r="Z800" s="38">
        <v>0.29166666666666669</v>
      </c>
      <c r="AA800" t="s">
        <v>161</v>
      </c>
      <c r="AB800" t="s">
        <v>162</v>
      </c>
      <c r="AC800" t="s">
        <v>118</v>
      </c>
      <c r="BK800">
        <f>0</f>
        <v>0</v>
      </c>
      <c r="BL800">
        <f t="shared" si="180"/>
        <v>0</v>
      </c>
      <c r="BM800">
        <f t="shared" si="181"/>
        <v>0</v>
      </c>
      <c r="BN800">
        <f t="shared" si="182"/>
        <v>0</v>
      </c>
      <c r="BO800">
        <f t="shared" si="183"/>
        <v>1</v>
      </c>
      <c r="BP800" s="37">
        <f>IF($F800="","",IFERROR(INDEX(Familias!$C$5:$C$300,MATCH($F800,Familias!$A$5:$A$300,0)),""))</f>
        <v>2450</v>
      </c>
      <c r="BQ800" s="37">
        <f t="shared" si="184"/>
        <v>2854</v>
      </c>
      <c r="BR800" s="36">
        <f t="shared" si="185"/>
        <v>12</v>
      </c>
      <c r="BS800" s="36">
        <f t="shared" si="186"/>
        <v>0</v>
      </c>
      <c r="BT800" s="36">
        <f t="shared" si="187"/>
        <v>12</v>
      </c>
      <c r="BU800" s="36">
        <f t="shared" si="188"/>
        <v>1.1649</v>
      </c>
      <c r="BV800" s="39">
        <f t="shared" si="189"/>
        <v>9.7075000000000009E-2</v>
      </c>
      <c r="BW800" s="39">
        <f t="shared" si="190"/>
        <v>0.99859845830413452</v>
      </c>
      <c r="BX800" s="40">
        <f t="shared" si="191"/>
        <v>9.5846645367412137E-3</v>
      </c>
      <c r="BY800" s="40">
        <f t="shared" si="192"/>
        <v>0</v>
      </c>
      <c r="BZ800" t="str">
        <f t="shared" si="193"/>
        <v>Paradas no digitadas</v>
      </c>
      <c r="CA800">
        <f t="shared" si="194"/>
        <v>0</v>
      </c>
    </row>
    <row r="801" spans="1:80" x14ac:dyDescent="0.25">
      <c r="A801" s="35">
        <v>46288</v>
      </c>
      <c r="B801" s="36">
        <v>12</v>
      </c>
      <c r="C801" t="s">
        <v>119</v>
      </c>
      <c r="D801" t="s">
        <v>6</v>
      </c>
      <c r="E801" t="s">
        <v>126</v>
      </c>
      <c r="F801" t="s">
        <v>127</v>
      </c>
      <c r="G801">
        <v>6360</v>
      </c>
      <c r="H801">
        <v>2140110610</v>
      </c>
      <c r="I801" t="s">
        <v>128</v>
      </c>
      <c r="J801" s="37">
        <v>17050</v>
      </c>
      <c r="K801" s="37">
        <v>15</v>
      </c>
      <c r="M801">
        <v>6297</v>
      </c>
      <c r="P801">
        <v>18</v>
      </c>
      <c r="Q801">
        <v>13</v>
      </c>
      <c r="R801">
        <v>20</v>
      </c>
      <c r="V801" t="s">
        <v>120</v>
      </c>
      <c r="Y801" s="38">
        <v>0.79166666666666663</v>
      </c>
      <c r="Z801" s="38">
        <v>0.29166666666666669</v>
      </c>
      <c r="AA801" t="s">
        <v>161</v>
      </c>
      <c r="AB801" t="s">
        <v>162</v>
      </c>
      <c r="AC801" t="s">
        <v>118</v>
      </c>
      <c r="BK801">
        <f>0</f>
        <v>0</v>
      </c>
      <c r="BL801">
        <f t="shared" si="180"/>
        <v>0</v>
      </c>
      <c r="BM801">
        <f t="shared" si="181"/>
        <v>0</v>
      </c>
      <c r="BN801">
        <f t="shared" si="182"/>
        <v>0</v>
      </c>
      <c r="BO801">
        <f t="shared" si="183"/>
        <v>1</v>
      </c>
      <c r="BP801" s="37">
        <f>IF($F801="","",IFERROR(INDEX(Familias!$C$5:$C$300,MATCH($F801,Familias!$A$5:$A$300,0)),""))</f>
        <v>2450</v>
      </c>
      <c r="BQ801" s="37">
        <f t="shared" si="184"/>
        <v>17065</v>
      </c>
      <c r="BR801" s="36">
        <f t="shared" si="185"/>
        <v>12</v>
      </c>
      <c r="BS801" s="36">
        <f t="shared" si="186"/>
        <v>0</v>
      </c>
      <c r="BT801" s="36">
        <f t="shared" si="187"/>
        <v>12</v>
      </c>
      <c r="BU801" s="36">
        <f t="shared" si="188"/>
        <v>6.9653</v>
      </c>
      <c r="BV801" s="39">
        <f t="shared" si="189"/>
        <v>0.58044166666666663</v>
      </c>
      <c r="BW801" s="39">
        <f t="shared" si="190"/>
        <v>0.99912100791092884</v>
      </c>
      <c r="BX801" s="40">
        <f t="shared" si="191"/>
        <v>6.0346196601556296E-3</v>
      </c>
      <c r="BY801" s="40">
        <f t="shared" si="192"/>
        <v>2.0644751468953471E-3</v>
      </c>
      <c r="BZ801" t="str">
        <f t="shared" si="193"/>
        <v>Paradas no digitadas</v>
      </c>
      <c r="CA801">
        <f t="shared" si="194"/>
        <v>0</v>
      </c>
    </row>
    <row r="802" spans="1:80" x14ac:dyDescent="0.25">
      <c r="A802" s="35">
        <v>46289</v>
      </c>
      <c r="B802" s="36">
        <v>12</v>
      </c>
      <c r="C802" t="s">
        <v>113</v>
      </c>
      <c r="D802" t="s">
        <v>6</v>
      </c>
      <c r="E802" t="s">
        <v>126</v>
      </c>
      <c r="F802" t="s">
        <v>127</v>
      </c>
      <c r="G802">
        <v>6360</v>
      </c>
      <c r="H802">
        <v>2140110610</v>
      </c>
      <c r="I802" t="s">
        <v>128</v>
      </c>
      <c r="J802" s="37">
        <v>6575</v>
      </c>
      <c r="K802" s="37">
        <v>5</v>
      </c>
      <c r="M802">
        <v>2453</v>
      </c>
      <c r="O802">
        <v>45</v>
      </c>
      <c r="P802">
        <v>6</v>
      </c>
      <c r="Q802">
        <v>15</v>
      </c>
      <c r="R802">
        <v>35</v>
      </c>
      <c r="V802" t="s">
        <v>116</v>
      </c>
      <c r="Y802" s="38">
        <v>0.29166666666666669</v>
      </c>
      <c r="Z802" s="38">
        <v>0.79166666666666663</v>
      </c>
      <c r="AA802" t="s">
        <v>161</v>
      </c>
      <c r="AB802" t="s">
        <v>162</v>
      </c>
      <c r="AC802" t="s">
        <v>118</v>
      </c>
      <c r="BK802">
        <f>0</f>
        <v>0</v>
      </c>
      <c r="BL802">
        <f t="shared" si="180"/>
        <v>0</v>
      </c>
      <c r="BM802">
        <f t="shared" si="181"/>
        <v>0</v>
      </c>
      <c r="BN802">
        <f t="shared" si="182"/>
        <v>0</v>
      </c>
      <c r="BO802">
        <f t="shared" si="183"/>
        <v>1</v>
      </c>
      <c r="BP802" s="37">
        <f>IF($F802="","",IFERROR(INDEX(Familias!$C$5:$C$300,MATCH($F802,Familias!$A$5:$A$300,0)),""))</f>
        <v>2450</v>
      </c>
      <c r="BQ802" s="37">
        <f t="shared" si="184"/>
        <v>6580</v>
      </c>
      <c r="BR802" s="36">
        <f t="shared" si="185"/>
        <v>12</v>
      </c>
      <c r="BS802" s="36">
        <f t="shared" si="186"/>
        <v>0</v>
      </c>
      <c r="BT802" s="36">
        <f t="shared" si="187"/>
        <v>12</v>
      </c>
      <c r="BU802" s="36">
        <f t="shared" si="188"/>
        <v>2.6857000000000002</v>
      </c>
      <c r="BV802" s="39">
        <f t="shared" si="189"/>
        <v>0.22380833333333336</v>
      </c>
      <c r="BW802" s="39">
        <f t="shared" si="190"/>
        <v>0.99924012158054709</v>
      </c>
      <c r="BX802" s="40">
        <f t="shared" si="191"/>
        <v>3.505911129229515E-2</v>
      </c>
      <c r="BY802" s="40">
        <f t="shared" si="192"/>
        <v>6.1149612719119447E-3</v>
      </c>
      <c r="BZ802" t="str">
        <f t="shared" si="193"/>
        <v>Paradas no digitadas</v>
      </c>
      <c r="CA802">
        <f t="shared" si="194"/>
        <v>0</v>
      </c>
    </row>
    <row r="803" spans="1:80" x14ac:dyDescent="0.25">
      <c r="A803" s="35">
        <v>46289</v>
      </c>
      <c r="B803" s="36">
        <v>12</v>
      </c>
      <c r="C803" t="s">
        <v>119</v>
      </c>
      <c r="D803" t="s">
        <v>6</v>
      </c>
      <c r="E803" t="s">
        <v>126</v>
      </c>
      <c r="F803" t="s">
        <v>127</v>
      </c>
      <c r="G803">
        <v>6360</v>
      </c>
      <c r="H803">
        <v>2140110610</v>
      </c>
      <c r="I803" t="s">
        <v>128</v>
      </c>
      <c r="J803" s="37">
        <v>20800</v>
      </c>
      <c r="K803" s="37">
        <v>10</v>
      </c>
      <c r="M803">
        <v>7630</v>
      </c>
      <c r="O803">
        <v>80</v>
      </c>
      <c r="P803">
        <v>30</v>
      </c>
      <c r="V803" t="s">
        <v>120</v>
      </c>
      <c r="Y803" s="38">
        <v>0.79166666666666663</v>
      </c>
      <c r="Z803" s="38">
        <v>0.29166666666666669</v>
      </c>
      <c r="AA803" t="s">
        <v>161</v>
      </c>
      <c r="AB803" t="s">
        <v>162</v>
      </c>
      <c r="AC803" t="s">
        <v>118</v>
      </c>
      <c r="BK803">
        <f>0</f>
        <v>0</v>
      </c>
      <c r="BL803">
        <f t="shared" si="180"/>
        <v>0</v>
      </c>
      <c r="BM803">
        <f t="shared" si="181"/>
        <v>0</v>
      </c>
      <c r="BN803">
        <f t="shared" si="182"/>
        <v>0</v>
      </c>
      <c r="BO803">
        <f t="shared" si="183"/>
        <v>1</v>
      </c>
      <c r="BP803" s="37">
        <f>IF($F803="","",IFERROR(INDEX(Familias!$C$5:$C$300,MATCH($F803,Familias!$A$5:$A$300,0)),""))</f>
        <v>2450</v>
      </c>
      <c r="BQ803" s="37">
        <f t="shared" si="184"/>
        <v>20810</v>
      </c>
      <c r="BR803" s="36">
        <f t="shared" si="185"/>
        <v>12</v>
      </c>
      <c r="BS803" s="36">
        <f t="shared" si="186"/>
        <v>0</v>
      </c>
      <c r="BT803" s="36">
        <f t="shared" si="187"/>
        <v>12</v>
      </c>
      <c r="BU803" s="36">
        <f t="shared" si="188"/>
        <v>8.4939</v>
      </c>
      <c r="BV803" s="39">
        <f t="shared" si="189"/>
        <v>0.70782500000000004</v>
      </c>
      <c r="BW803" s="39">
        <f t="shared" si="190"/>
        <v>0.99951946179721285</v>
      </c>
      <c r="BX803" s="40">
        <f t="shared" si="191"/>
        <v>1.4416775884665793E-2</v>
      </c>
      <c r="BY803" s="40">
        <f t="shared" si="192"/>
        <v>0</v>
      </c>
      <c r="BZ803" t="str">
        <f t="shared" si="193"/>
        <v>Paradas no digitadas</v>
      </c>
      <c r="CA803">
        <f t="shared" si="194"/>
        <v>0</v>
      </c>
    </row>
    <row r="804" spans="1:80" x14ac:dyDescent="0.25">
      <c r="A804" s="35">
        <v>46290</v>
      </c>
      <c r="B804" s="36">
        <v>8.9239999999999995</v>
      </c>
      <c r="C804" t="s">
        <v>113</v>
      </c>
      <c r="D804" t="s">
        <v>6</v>
      </c>
      <c r="E804" t="s">
        <v>126</v>
      </c>
      <c r="F804" t="s">
        <v>127</v>
      </c>
      <c r="G804">
        <v>6360</v>
      </c>
      <c r="H804">
        <v>2140110610</v>
      </c>
      <c r="I804" t="s">
        <v>128</v>
      </c>
      <c r="J804" s="37">
        <v>11375</v>
      </c>
      <c r="K804" s="37">
        <v>5</v>
      </c>
      <c r="M804">
        <v>4026</v>
      </c>
      <c r="O804">
        <v>20</v>
      </c>
      <c r="Q804">
        <v>16</v>
      </c>
      <c r="V804" t="s">
        <v>116</v>
      </c>
      <c r="Y804" s="38">
        <v>0.29166666666666669</v>
      </c>
      <c r="Z804" s="38">
        <v>0.66319444444444442</v>
      </c>
      <c r="AA804" t="s">
        <v>161</v>
      </c>
      <c r="AB804" t="s">
        <v>162</v>
      </c>
      <c r="AC804" t="s">
        <v>121</v>
      </c>
      <c r="BK804">
        <f>0</f>
        <v>0</v>
      </c>
      <c r="BL804">
        <f t="shared" si="180"/>
        <v>0</v>
      </c>
      <c r="BM804">
        <f t="shared" si="181"/>
        <v>0</v>
      </c>
      <c r="BN804">
        <f t="shared" si="182"/>
        <v>0</v>
      </c>
      <c r="BO804">
        <f t="shared" si="183"/>
        <v>1</v>
      </c>
      <c r="BP804" s="37">
        <f>IF($F804="","",IFERROR(INDEX(Familias!$C$5:$C$300,MATCH($F804,Familias!$A$5:$A$300,0)),""))</f>
        <v>2450</v>
      </c>
      <c r="BQ804" s="37">
        <f t="shared" si="184"/>
        <v>11380</v>
      </c>
      <c r="BR804" s="36">
        <f t="shared" si="185"/>
        <v>8.9239999999999995</v>
      </c>
      <c r="BS804" s="36">
        <f t="shared" si="186"/>
        <v>0</v>
      </c>
      <c r="BT804" s="36">
        <f t="shared" si="187"/>
        <v>8.9239999999999995</v>
      </c>
      <c r="BU804" s="36">
        <f t="shared" si="188"/>
        <v>4.6448999999999998</v>
      </c>
      <c r="BV804" s="39">
        <f t="shared" si="189"/>
        <v>0.52049529359031821</v>
      </c>
      <c r="BW804" s="39">
        <f t="shared" si="190"/>
        <v>0.99956063268892792</v>
      </c>
      <c r="BX804" s="40">
        <f t="shared" si="191"/>
        <v>4.9677098857426726E-3</v>
      </c>
      <c r="BY804" s="40">
        <f t="shared" si="192"/>
        <v>3.9741679085941381E-3</v>
      </c>
      <c r="BZ804" t="str">
        <f t="shared" si="193"/>
        <v>Paradas no digitadas</v>
      </c>
      <c r="CA804">
        <f t="shared" si="194"/>
        <v>0</v>
      </c>
    </row>
    <row r="805" spans="1:80" x14ac:dyDescent="0.25">
      <c r="A805" s="35">
        <v>46290</v>
      </c>
      <c r="B805" s="36">
        <v>3.0760000000000001</v>
      </c>
      <c r="C805" t="s">
        <v>113</v>
      </c>
      <c r="D805" t="s">
        <v>6</v>
      </c>
      <c r="E805" t="s">
        <v>147</v>
      </c>
      <c r="F805" t="s">
        <v>193</v>
      </c>
      <c r="G805">
        <v>6615</v>
      </c>
      <c r="H805">
        <v>2140110687</v>
      </c>
      <c r="I805" t="s">
        <v>196</v>
      </c>
      <c r="J805" s="37">
        <v>3000</v>
      </c>
      <c r="K805" s="37">
        <v>10</v>
      </c>
      <c r="M805">
        <v>1346</v>
      </c>
      <c r="O805">
        <v>40</v>
      </c>
      <c r="P805">
        <v>6</v>
      </c>
      <c r="Q805">
        <v>13</v>
      </c>
      <c r="R805">
        <v>75</v>
      </c>
      <c r="V805" t="s">
        <v>116</v>
      </c>
      <c r="Y805" s="38">
        <v>0.66319444444444442</v>
      </c>
      <c r="Z805" s="38">
        <v>0.79166666666666663</v>
      </c>
      <c r="AA805" t="s">
        <v>161</v>
      </c>
      <c r="AC805" t="s">
        <v>121</v>
      </c>
      <c r="BK805">
        <f>0</f>
        <v>0</v>
      </c>
      <c r="BL805">
        <f t="shared" si="180"/>
        <v>0</v>
      </c>
      <c r="BM805">
        <f t="shared" si="181"/>
        <v>0</v>
      </c>
      <c r="BN805">
        <f t="shared" si="182"/>
        <v>0</v>
      </c>
      <c r="BO805">
        <f t="shared" si="183"/>
        <v>1</v>
      </c>
      <c r="BP805" s="37">
        <f>IF($F805="","",IFERROR(INDEX(Familias!$C$5:$C$300,MATCH($F805,Familias!$A$5:$A$300,0)),""))</f>
        <v>1880</v>
      </c>
      <c r="BQ805" s="37">
        <f t="shared" si="184"/>
        <v>3010</v>
      </c>
      <c r="BR805" s="36">
        <f t="shared" si="185"/>
        <v>3.0760000000000001</v>
      </c>
      <c r="BS805" s="36">
        <f t="shared" si="186"/>
        <v>0</v>
      </c>
      <c r="BT805" s="36">
        <f t="shared" si="187"/>
        <v>3.0760000000000001</v>
      </c>
      <c r="BU805" s="36">
        <f t="shared" si="188"/>
        <v>1.6011</v>
      </c>
      <c r="BV805" s="39">
        <f t="shared" si="189"/>
        <v>0.52051365409622885</v>
      </c>
      <c r="BW805" s="39">
        <f t="shared" si="190"/>
        <v>0.99667774086378735</v>
      </c>
      <c r="BX805" s="40">
        <f t="shared" si="191"/>
        <v>8.9895988112927191E-2</v>
      </c>
      <c r="BY805" s="40">
        <f t="shared" si="192"/>
        <v>9.658246656760773E-3</v>
      </c>
      <c r="BZ805" t="str">
        <f t="shared" si="193"/>
        <v>Paradas no digitadas</v>
      </c>
      <c r="CA805">
        <f t="shared" si="194"/>
        <v>0</v>
      </c>
    </row>
    <row r="806" spans="1:80" x14ac:dyDescent="0.25">
      <c r="A806" s="35">
        <v>46290</v>
      </c>
      <c r="B806" s="36">
        <v>12</v>
      </c>
      <c r="C806" t="s">
        <v>119</v>
      </c>
      <c r="D806" t="s">
        <v>6</v>
      </c>
      <c r="E806" t="s">
        <v>147</v>
      </c>
      <c r="F806" t="s">
        <v>193</v>
      </c>
      <c r="G806">
        <v>6615</v>
      </c>
      <c r="H806">
        <v>2140110687</v>
      </c>
      <c r="I806" t="s">
        <v>196</v>
      </c>
      <c r="J806" s="37">
        <v>15900</v>
      </c>
      <c r="K806" s="37">
        <v>10</v>
      </c>
      <c r="M806">
        <v>5682</v>
      </c>
      <c r="O806">
        <v>75</v>
      </c>
      <c r="P806">
        <v>24</v>
      </c>
      <c r="Q806">
        <v>26</v>
      </c>
      <c r="V806" t="s">
        <v>120</v>
      </c>
      <c r="Y806" s="38">
        <v>0.79166666666666663</v>
      </c>
      <c r="Z806" s="38">
        <v>0.29166666666666669</v>
      </c>
      <c r="AA806" t="s">
        <v>161</v>
      </c>
      <c r="AB806" t="s">
        <v>162</v>
      </c>
      <c r="AC806" t="s">
        <v>118</v>
      </c>
      <c r="BK806">
        <f>0</f>
        <v>0</v>
      </c>
      <c r="BL806">
        <f t="shared" si="180"/>
        <v>0</v>
      </c>
      <c r="BM806">
        <f t="shared" si="181"/>
        <v>0</v>
      </c>
      <c r="BN806">
        <f t="shared" si="182"/>
        <v>0</v>
      </c>
      <c r="BO806">
        <f t="shared" si="183"/>
        <v>1</v>
      </c>
      <c r="BP806" s="37">
        <f>IF($F806="","",IFERROR(INDEX(Familias!$C$5:$C$300,MATCH($F806,Familias!$A$5:$A$300,0)),""))</f>
        <v>1880</v>
      </c>
      <c r="BQ806" s="37">
        <f t="shared" si="184"/>
        <v>15910</v>
      </c>
      <c r="BR806" s="36">
        <f t="shared" si="185"/>
        <v>12</v>
      </c>
      <c r="BS806" s="36">
        <f t="shared" si="186"/>
        <v>0</v>
      </c>
      <c r="BT806" s="36">
        <f t="shared" si="187"/>
        <v>12</v>
      </c>
      <c r="BU806" s="36">
        <f t="shared" si="188"/>
        <v>8.4627999999999997</v>
      </c>
      <c r="BV806" s="39">
        <f t="shared" si="189"/>
        <v>0.70523333333333327</v>
      </c>
      <c r="BW806" s="39">
        <f t="shared" si="190"/>
        <v>0.99937146448774361</v>
      </c>
      <c r="BX806" s="40">
        <f t="shared" si="191"/>
        <v>1.7423442449841606E-2</v>
      </c>
      <c r="BY806" s="40">
        <f t="shared" si="192"/>
        <v>4.5758535726856744E-3</v>
      </c>
      <c r="BZ806" t="str">
        <f t="shared" si="193"/>
        <v>Paradas no digitadas</v>
      </c>
      <c r="CA806">
        <f t="shared" si="194"/>
        <v>0</v>
      </c>
    </row>
    <row r="807" spans="1:80" x14ac:dyDescent="0.25">
      <c r="A807" s="35">
        <v>46291</v>
      </c>
      <c r="B807" s="36">
        <v>12</v>
      </c>
      <c r="C807" t="s">
        <v>113</v>
      </c>
      <c r="D807" t="s">
        <v>6</v>
      </c>
      <c r="E807" t="s">
        <v>147</v>
      </c>
      <c r="F807" t="s">
        <v>193</v>
      </c>
      <c r="G807">
        <v>6615</v>
      </c>
      <c r="H807">
        <v>2140110687</v>
      </c>
      <c r="I807" t="s">
        <v>196</v>
      </c>
      <c r="J807" s="37">
        <v>16200</v>
      </c>
      <c r="K807" s="37">
        <v>5</v>
      </c>
      <c r="M807">
        <v>5854</v>
      </c>
      <c r="V807" t="s">
        <v>116</v>
      </c>
      <c r="Y807" s="38">
        <v>0.29166666666666669</v>
      </c>
      <c r="Z807" s="38">
        <v>0.79166666666666663</v>
      </c>
      <c r="AA807" t="s">
        <v>161</v>
      </c>
      <c r="AB807" t="s">
        <v>162</v>
      </c>
      <c r="AC807" t="s">
        <v>118</v>
      </c>
      <c r="BK807">
        <f>0</f>
        <v>0</v>
      </c>
      <c r="BL807">
        <f t="shared" si="180"/>
        <v>0</v>
      </c>
      <c r="BM807">
        <f t="shared" si="181"/>
        <v>0</v>
      </c>
      <c r="BN807">
        <f t="shared" si="182"/>
        <v>0</v>
      </c>
      <c r="BO807">
        <f t="shared" si="183"/>
        <v>1</v>
      </c>
      <c r="BP807" s="37">
        <f>IF($F807="","",IFERROR(INDEX(Familias!$C$5:$C$300,MATCH($F807,Familias!$A$5:$A$300,0)),""))</f>
        <v>1880</v>
      </c>
      <c r="BQ807" s="37">
        <f t="shared" si="184"/>
        <v>16205</v>
      </c>
      <c r="BR807" s="36">
        <f t="shared" si="185"/>
        <v>12</v>
      </c>
      <c r="BS807" s="36">
        <f t="shared" si="186"/>
        <v>0</v>
      </c>
      <c r="BT807" s="36">
        <f t="shared" si="187"/>
        <v>12</v>
      </c>
      <c r="BU807" s="36">
        <f t="shared" si="188"/>
        <v>8.6196999999999999</v>
      </c>
      <c r="BV807" s="39">
        <f t="shared" si="189"/>
        <v>0.71830833333333333</v>
      </c>
      <c r="BW807" s="39">
        <f t="shared" si="190"/>
        <v>0.99969145325516817</v>
      </c>
      <c r="BX807" s="40">
        <f t="shared" si="191"/>
        <v>0</v>
      </c>
      <c r="BY807" s="40">
        <f t="shared" si="192"/>
        <v>0</v>
      </c>
      <c r="BZ807" t="str">
        <f t="shared" si="193"/>
        <v>Paradas no digitadas</v>
      </c>
      <c r="CA807">
        <f t="shared" si="194"/>
        <v>0</v>
      </c>
    </row>
    <row r="808" spans="1:80" x14ac:dyDescent="0.25">
      <c r="A808" s="35">
        <v>46291</v>
      </c>
      <c r="B808" s="36">
        <v>12</v>
      </c>
      <c r="C808" t="s">
        <v>119</v>
      </c>
      <c r="D808" t="s">
        <v>6</v>
      </c>
      <c r="E808" t="s">
        <v>147</v>
      </c>
      <c r="F808" t="s">
        <v>193</v>
      </c>
      <c r="G808">
        <v>6615</v>
      </c>
      <c r="H808">
        <v>2140110687</v>
      </c>
      <c r="I808" t="s">
        <v>196</v>
      </c>
      <c r="J808" s="37">
        <v>12750</v>
      </c>
      <c r="K808" s="37">
        <v>15</v>
      </c>
      <c r="M808">
        <v>4537</v>
      </c>
      <c r="N808">
        <v>48</v>
      </c>
      <c r="P808">
        <v>24</v>
      </c>
      <c r="V808" t="s">
        <v>120</v>
      </c>
      <c r="Y808" s="38">
        <v>0.79166666666666663</v>
      </c>
      <c r="Z808" s="38">
        <v>0.29166666666666669</v>
      </c>
      <c r="AA808" t="s">
        <v>161</v>
      </c>
      <c r="AB808" t="s">
        <v>162</v>
      </c>
      <c r="AC808" t="s">
        <v>118</v>
      </c>
      <c r="BK808">
        <f>0</f>
        <v>0</v>
      </c>
      <c r="BL808">
        <f t="shared" si="180"/>
        <v>0</v>
      </c>
      <c r="BM808">
        <f t="shared" si="181"/>
        <v>0</v>
      </c>
      <c r="BN808">
        <f t="shared" si="182"/>
        <v>0</v>
      </c>
      <c r="BO808">
        <f t="shared" si="183"/>
        <v>1</v>
      </c>
      <c r="BP808" s="37">
        <f>IF($F808="","",IFERROR(INDEX(Familias!$C$5:$C$300,MATCH($F808,Familias!$A$5:$A$300,0)),""))</f>
        <v>1880</v>
      </c>
      <c r="BQ808" s="37">
        <f t="shared" si="184"/>
        <v>12765</v>
      </c>
      <c r="BR808" s="36">
        <f t="shared" si="185"/>
        <v>12</v>
      </c>
      <c r="BS808" s="36">
        <f t="shared" si="186"/>
        <v>0</v>
      </c>
      <c r="BT808" s="36">
        <f t="shared" si="187"/>
        <v>12</v>
      </c>
      <c r="BU808" s="36">
        <f t="shared" si="188"/>
        <v>6.7899000000000003</v>
      </c>
      <c r="BV808" s="39">
        <f t="shared" si="189"/>
        <v>0.56582500000000002</v>
      </c>
      <c r="BW808" s="39">
        <f t="shared" si="190"/>
        <v>0.99882491186839018</v>
      </c>
      <c r="BX808" s="40">
        <f t="shared" si="191"/>
        <v>5.2898391007273528E-3</v>
      </c>
      <c r="BY808" s="40">
        <f t="shared" si="192"/>
        <v>0</v>
      </c>
      <c r="BZ808" t="str">
        <f t="shared" si="193"/>
        <v>Paradas no digitadas</v>
      </c>
      <c r="CA808">
        <f t="shared" si="194"/>
        <v>0</v>
      </c>
    </row>
    <row r="809" spans="1:80" x14ac:dyDescent="0.25">
      <c r="A809" s="35">
        <v>46293</v>
      </c>
      <c r="B809" s="36">
        <v>12</v>
      </c>
      <c r="C809" t="s">
        <v>113</v>
      </c>
      <c r="D809" t="s">
        <v>6</v>
      </c>
      <c r="E809" t="s">
        <v>147</v>
      </c>
      <c r="F809" t="s">
        <v>193</v>
      </c>
      <c r="G809">
        <v>6615</v>
      </c>
      <c r="H809">
        <v>2140110687</v>
      </c>
      <c r="I809" t="s">
        <v>196</v>
      </c>
      <c r="J809" s="37">
        <v>14650</v>
      </c>
      <c r="K809" s="37">
        <v>8</v>
      </c>
      <c r="M809">
        <v>5417</v>
      </c>
      <c r="O809">
        <v>91</v>
      </c>
      <c r="P809">
        <v>27</v>
      </c>
      <c r="Q809">
        <v>15</v>
      </c>
      <c r="V809" t="s">
        <v>120</v>
      </c>
      <c r="Y809" s="38">
        <v>0.29166666666666669</v>
      </c>
      <c r="Z809" s="38">
        <v>0.79166666666666663</v>
      </c>
      <c r="AA809" t="s">
        <v>161</v>
      </c>
      <c r="AB809" t="s">
        <v>162</v>
      </c>
      <c r="AC809" t="s">
        <v>118</v>
      </c>
      <c r="BK809">
        <f>0</f>
        <v>0</v>
      </c>
      <c r="BL809">
        <f t="shared" si="180"/>
        <v>0</v>
      </c>
      <c r="BM809">
        <f t="shared" si="181"/>
        <v>0</v>
      </c>
      <c r="BN809">
        <f t="shared" si="182"/>
        <v>0</v>
      </c>
      <c r="BO809">
        <f t="shared" si="183"/>
        <v>1</v>
      </c>
      <c r="BP809" s="37">
        <f>IF($F809="","",IFERROR(INDEX(Familias!$C$5:$C$300,MATCH($F809,Familias!$A$5:$A$300,0)),""))</f>
        <v>1880</v>
      </c>
      <c r="BQ809" s="37">
        <f t="shared" si="184"/>
        <v>14658</v>
      </c>
      <c r="BR809" s="36">
        <f t="shared" si="185"/>
        <v>12</v>
      </c>
      <c r="BS809" s="36">
        <f t="shared" si="186"/>
        <v>0</v>
      </c>
      <c r="BT809" s="36">
        <f t="shared" si="187"/>
        <v>12</v>
      </c>
      <c r="BU809" s="36">
        <f t="shared" si="188"/>
        <v>7.7968000000000002</v>
      </c>
      <c r="BV809" s="39">
        <f t="shared" si="189"/>
        <v>0.64973333333333338</v>
      </c>
      <c r="BW809" s="39">
        <f t="shared" si="190"/>
        <v>0.99945422294992492</v>
      </c>
      <c r="BX809" s="40">
        <f t="shared" si="191"/>
        <v>2.1783274875392285E-2</v>
      </c>
      <c r="BY809" s="40">
        <f t="shared" si="192"/>
        <v>2.7690603655159685E-3</v>
      </c>
      <c r="BZ809" t="str">
        <f t="shared" si="193"/>
        <v>Paradas no digitadas</v>
      </c>
      <c r="CA809">
        <f t="shared" si="194"/>
        <v>0</v>
      </c>
    </row>
    <row r="810" spans="1:80" x14ac:dyDescent="0.25">
      <c r="A810" s="35">
        <v>46293</v>
      </c>
      <c r="B810" s="36">
        <v>5.6623999999999999</v>
      </c>
      <c r="C810" t="s">
        <v>119</v>
      </c>
      <c r="D810" t="s">
        <v>6</v>
      </c>
      <c r="E810" t="s">
        <v>147</v>
      </c>
      <c r="F810" t="s">
        <v>193</v>
      </c>
      <c r="G810">
        <v>6615</v>
      </c>
      <c r="H810">
        <v>2140110687</v>
      </c>
      <c r="I810" t="s">
        <v>196</v>
      </c>
      <c r="J810" s="37">
        <v>7500</v>
      </c>
      <c r="K810" s="37">
        <v>5</v>
      </c>
      <c r="M810">
        <v>2656</v>
      </c>
      <c r="O810">
        <v>31</v>
      </c>
      <c r="P810">
        <v>17</v>
      </c>
      <c r="V810" t="s">
        <v>116</v>
      </c>
      <c r="Y810" s="38">
        <v>0.79166666666666663</v>
      </c>
      <c r="Z810" s="38">
        <v>2.777777777777778E-2</v>
      </c>
      <c r="AA810" t="s">
        <v>161</v>
      </c>
      <c r="AB810" t="s">
        <v>162</v>
      </c>
      <c r="AC810" t="s">
        <v>121</v>
      </c>
      <c r="BK810">
        <f>0</f>
        <v>0</v>
      </c>
      <c r="BL810">
        <f t="shared" si="180"/>
        <v>0</v>
      </c>
      <c r="BM810">
        <f t="shared" si="181"/>
        <v>0</v>
      </c>
      <c r="BN810">
        <f t="shared" si="182"/>
        <v>0</v>
      </c>
      <c r="BO810">
        <f t="shared" si="183"/>
        <v>1</v>
      </c>
      <c r="BP810" s="37">
        <f>IF($F810="","",IFERROR(INDEX(Familias!$C$5:$C$300,MATCH($F810,Familias!$A$5:$A$300,0)),""))</f>
        <v>1880</v>
      </c>
      <c r="BQ810" s="37">
        <f t="shared" si="184"/>
        <v>7505</v>
      </c>
      <c r="BR810" s="36">
        <f t="shared" si="185"/>
        <v>5.6623999999999999</v>
      </c>
      <c r="BS810" s="36">
        <f t="shared" si="186"/>
        <v>0</v>
      </c>
      <c r="BT810" s="36">
        <f t="shared" si="187"/>
        <v>5.6623999999999999</v>
      </c>
      <c r="BU810" s="36">
        <f t="shared" si="188"/>
        <v>3.992</v>
      </c>
      <c r="BV810" s="39">
        <f t="shared" si="189"/>
        <v>0.70500141282848261</v>
      </c>
      <c r="BW810" s="39">
        <f t="shared" si="190"/>
        <v>0.99933377748167884</v>
      </c>
      <c r="BX810" s="40">
        <f t="shared" si="191"/>
        <v>1.8072289156626505E-2</v>
      </c>
      <c r="BY810" s="40">
        <f t="shared" si="192"/>
        <v>0</v>
      </c>
      <c r="BZ810" t="str">
        <f t="shared" si="193"/>
        <v>Paradas no digitadas</v>
      </c>
      <c r="CA810">
        <f t="shared" si="194"/>
        <v>0</v>
      </c>
    </row>
    <row r="811" spans="1:80" x14ac:dyDescent="0.25">
      <c r="A811" s="35">
        <v>46293</v>
      </c>
      <c r="B811" s="36">
        <v>6.3376000000000001</v>
      </c>
      <c r="C811" t="s">
        <v>119</v>
      </c>
      <c r="D811" t="s">
        <v>6</v>
      </c>
      <c r="E811" t="s">
        <v>147</v>
      </c>
      <c r="F811" t="s">
        <v>193</v>
      </c>
      <c r="G811">
        <v>6616</v>
      </c>
      <c r="H811">
        <v>2140110689</v>
      </c>
      <c r="I811" t="s">
        <v>194</v>
      </c>
      <c r="J811" s="37">
        <v>8400</v>
      </c>
      <c r="K811" s="37"/>
      <c r="M811">
        <v>3108</v>
      </c>
      <c r="O811">
        <v>27</v>
      </c>
      <c r="P811">
        <v>13</v>
      </c>
      <c r="Q811">
        <v>4</v>
      </c>
      <c r="R811">
        <v>36</v>
      </c>
      <c r="V811" t="s">
        <v>116</v>
      </c>
      <c r="Y811" s="38">
        <v>2.777777777777778E-2</v>
      </c>
      <c r="Z811" s="38">
        <v>0.29166666666666669</v>
      </c>
      <c r="AA811" t="s">
        <v>161</v>
      </c>
      <c r="AC811" t="s">
        <v>121</v>
      </c>
      <c r="BK811">
        <f>0</f>
        <v>0</v>
      </c>
      <c r="BL811">
        <f t="shared" si="180"/>
        <v>0</v>
      </c>
      <c r="BM811">
        <f t="shared" si="181"/>
        <v>0</v>
      </c>
      <c r="BN811">
        <f t="shared" si="182"/>
        <v>0</v>
      </c>
      <c r="BO811">
        <f t="shared" si="183"/>
        <v>1</v>
      </c>
      <c r="BP811" s="37">
        <f>IF($F811="","",IFERROR(INDEX(Familias!$C$5:$C$300,MATCH($F811,Familias!$A$5:$A$300,0)),""))</f>
        <v>1880</v>
      </c>
      <c r="BQ811" s="37">
        <f t="shared" si="184"/>
        <v>8400</v>
      </c>
      <c r="BR811" s="36">
        <f t="shared" si="185"/>
        <v>6.3376000000000001</v>
      </c>
      <c r="BS811" s="36">
        <f t="shared" si="186"/>
        <v>0</v>
      </c>
      <c r="BT811" s="36">
        <f t="shared" si="187"/>
        <v>6.3376000000000001</v>
      </c>
      <c r="BU811" s="36">
        <f t="shared" si="188"/>
        <v>4.4680999999999997</v>
      </c>
      <c r="BV811" s="39">
        <f t="shared" si="189"/>
        <v>0.70501451653622815</v>
      </c>
      <c r="BW811" s="39">
        <f t="shared" si="190"/>
        <v>1</v>
      </c>
      <c r="BX811" s="40">
        <f t="shared" si="191"/>
        <v>2.4453024453024452E-2</v>
      </c>
      <c r="BY811" s="40">
        <f t="shared" si="192"/>
        <v>1.287001287001287E-3</v>
      </c>
      <c r="BZ811" t="str">
        <f t="shared" si="193"/>
        <v>Paradas no digitadas</v>
      </c>
      <c r="CA811">
        <f t="shared" si="194"/>
        <v>0</v>
      </c>
    </row>
    <row r="812" spans="1:80" x14ac:dyDescent="0.25">
      <c r="A812" s="35">
        <v>46294</v>
      </c>
      <c r="B812" s="36">
        <v>12</v>
      </c>
      <c r="C812" t="s">
        <v>113</v>
      </c>
      <c r="D812" t="s">
        <v>6</v>
      </c>
      <c r="E812" t="s">
        <v>147</v>
      </c>
      <c r="F812" t="s">
        <v>193</v>
      </c>
      <c r="G812">
        <v>6616</v>
      </c>
      <c r="H812">
        <v>2140110689</v>
      </c>
      <c r="I812" t="s">
        <v>194</v>
      </c>
      <c r="J812" s="37">
        <v>16050</v>
      </c>
      <c r="K812" s="37">
        <v>8</v>
      </c>
      <c r="M812">
        <v>5730</v>
      </c>
      <c r="O812">
        <v>66</v>
      </c>
      <c r="P812">
        <v>30</v>
      </c>
      <c r="Q812">
        <v>50</v>
      </c>
      <c r="V812" t="s">
        <v>120</v>
      </c>
      <c r="Y812" s="38">
        <v>0.29166666666666669</v>
      </c>
      <c r="Z812" s="38">
        <v>0.79166666666666663</v>
      </c>
      <c r="AA812" t="s">
        <v>161</v>
      </c>
      <c r="AB812" t="s">
        <v>162</v>
      </c>
      <c r="AC812" t="s">
        <v>118</v>
      </c>
      <c r="BK812">
        <f>0</f>
        <v>0</v>
      </c>
      <c r="BL812">
        <f t="shared" si="180"/>
        <v>0</v>
      </c>
      <c r="BM812">
        <f t="shared" si="181"/>
        <v>0</v>
      </c>
      <c r="BN812">
        <f t="shared" si="182"/>
        <v>0</v>
      </c>
      <c r="BO812">
        <f t="shared" si="183"/>
        <v>1</v>
      </c>
      <c r="BP812" s="37">
        <f>IF($F812="","",IFERROR(INDEX(Familias!$C$5:$C$300,MATCH($F812,Familias!$A$5:$A$300,0)),""))</f>
        <v>1880</v>
      </c>
      <c r="BQ812" s="37">
        <f t="shared" si="184"/>
        <v>16058</v>
      </c>
      <c r="BR812" s="36">
        <f t="shared" si="185"/>
        <v>12</v>
      </c>
      <c r="BS812" s="36">
        <f t="shared" si="186"/>
        <v>0</v>
      </c>
      <c r="BT812" s="36">
        <f t="shared" si="187"/>
        <v>12</v>
      </c>
      <c r="BU812" s="36">
        <f t="shared" si="188"/>
        <v>8.5414999999999992</v>
      </c>
      <c r="BV812" s="39">
        <f t="shared" si="189"/>
        <v>0.7117916666666666</v>
      </c>
      <c r="BW812" s="39">
        <f t="shared" si="190"/>
        <v>0.99950180595341886</v>
      </c>
      <c r="BX812" s="40">
        <f t="shared" si="191"/>
        <v>1.6753926701570682E-2</v>
      </c>
      <c r="BY812" s="40">
        <f t="shared" si="192"/>
        <v>8.7260034904013961E-3</v>
      </c>
      <c r="BZ812" t="str">
        <f t="shared" si="193"/>
        <v>Paradas no digitadas</v>
      </c>
      <c r="CA812">
        <f t="shared" si="194"/>
        <v>0</v>
      </c>
    </row>
    <row r="813" spans="1:80" x14ac:dyDescent="0.25">
      <c r="A813" s="35">
        <v>46294</v>
      </c>
      <c r="B813" s="36">
        <v>11.2455</v>
      </c>
      <c r="C813" t="s">
        <v>119</v>
      </c>
      <c r="D813" t="s">
        <v>6</v>
      </c>
      <c r="E813" t="s">
        <v>147</v>
      </c>
      <c r="F813" t="s">
        <v>193</v>
      </c>
      <c r="G813">
        <v>6616</v>
      </c>
      <c r="H813">
        <v>2140110689</v>
      </c>
      <c r="I813" t="s">
        <v>194</v>
      </c>
      <c r="J813" s="37">
        <v>15650</v>
      </c>
      <c r="K813" s="37"/>
      <c r="M813">
        <v>5715</v>
      </c>
      <c r="O813">
        <v>53</v>
      </c>
      <c r="P813">
        <v>49</v>
      </c>
      <c r="V813" t="s">
        <v>116</v>
      </c>
      <c r="Y813" s="38">
        <v>0.79166666666666663</v>
      </c>
      <c r="Z813" s="38">
        <v>0.26041666666666669</v>
      </c>
      <c r="AA813" t="s">
        <v>161</v>
      </c>
      <c r="AB813" t="s">
        <v>162</v>
      </c>
      <c r="AC813" t="s">
        <v>121</v>
      </c>
      <c r="BK813">
        <f>0</f>
        <v>0</v>
      </c>
      <c r="BL813">
        <f t="shared" si="180"/>
        <v>0</v>
      </c>
      <c r="BM813">
        <f t="shared" si="181"/>
        <v>0</v>
      </c>
      <c r="BN813">
        <f t="shared" si="182"/>
        <v>0</v>
      </c>
      <c r="BO813">
        <f t="shared" si="183"/>
        <v>1</v>
      </c>
      <c r="BP813" s="37">
        <f>IF($F813="","",IFERROR(INDEX(Familias!$C$5:$C$300,MATCH($F813,Familias!$A$5:$A$300,0)),""))</f>
        <v>1880</v>
      </c>
      <c r="BQ813" s="37">
        <f t="shared" si="184"/>
        <v>15650</v>
      </c>
      <c r="BR813" s="36">
        <f t="shared" si="185"/>
        <v>11.2455</v>
      </c>
      <c r="BS813" s="36">
        <f t="shared" si="186"/>
        <v>0</v>
      </c>
      <c r="BT813" s="36">
        <f t="shared" si="187"/>
        <v>11.2455</v>
      </c>
      <c r="BU813" s="36">
        <f t="shared" si="188"/>
        <v>8.3245000000000005</v>
      </c>
      <c r="BV813" s="39">
        <f t="shared" si="189"/>
        <v>0.74025165621804279</v>
      </c>
      <c r="BW813" s="39">
        <f t="shared" si="190"/>
        <v>1</v>
      </c>
      <c r="BX813" s="40">
        <f t="shared" si="191"/>
        <v>1.7847769028871391E-2</v>
      </c>
      <c r="BY813" s="40">
        <f t="shared" si="192"/>
        <v>0</v>
      </c>
      <c r="BZ813" t="str">
        <f t="shared" si="193"/>
        <v>Paradas no digitadas</v>
      </c>
      <c r="CA813">
        <f t="shared" si="194"/>
        <v>0</v>
      </c>
    </row>
    <row r="814" spans="1:80" x14ac:dyDescent="0.25">
      <c r="A814" s="35">
        <v>46294</v>
      </c>
      <c r="B814" s="36">
        <v>0.75449999999999995</v>
      </c>
      <c r="C814" t="s">
        <v>119</v>
      </c>
      <c r="D814" t="s">
        <v>6</v>
      </c>
      <c r="E814" t="s">
        <v>147</v>
      </c>
      <c r="F814" t="s">
        <v>193</v>
      </c>
      <c r="G814">
        <v>6617</v>
      </c>
      <c r="H814">
        <v>2140110688</v>
      </c>
      <c r="I814" t="s">
        <v>195</v>
      </c>
      <c r="J814" s="37">
        <v>1050</v>
      </c>
      <c r="K814" s="37"/>
      <c r="M814">
        <v>447</v>
      </c>
      <c r="O814">
        <v>6</v>
      </c>
      <c r="P814">
        <v>7</v>
      </c>
      <c r="R814">
        <v>21</v>
      </c>
      <c r="V814" t="s">
        <v>116</v>
      </c>
      <c r="Y814" s="38">
        <v>0.26041666666666669</v>
      </c>
      <c r="Z814" s="38">
        <v>0.29166666666666669</v>
      </c>
      <c r="AA814" t="s">
        <v>161</v>
      </c>
      <c r="AC814" t="s">
        <v>121</v>
      </c>
      <c r="BK814">
        <f>0</f>
        <v>0</v>
      </c>
      <c r="BL814">
        <f t="shared" si="180"/>
        <v>0</v>
      </c>
      <c r="BM814">
        <f t="shared" si="181"/>
        <v>0</v>
      </c>
      <c r="BN814">
        <f t="shared" si="182"/>
        <v>0</v>
      </c>
      <c r="BO814">
        <f t="shared" si="183"/>
        <v>1</v>
      </c>
      <c r="BP814" s="37">
        <f>IF($F814="","",IFERROR(INDEX(Familias!$C$5:$C$300,MATCH($F814,Familias!$A$5:$A$300,0)),""))</f>
        <v>1880</v>
      </c>
      <c r="BQ814" s="37">
        <f t="shared" si="184"/>
        <v>1050</v>
      </c>
      <c r="BR814" s="36">
        <f t="shared" si="185"/>
        <v>0.75449999999999995</v>
      </c>
      <c r="BS814" s="36">
        <f t="shared" si="186"/>
        <v>0</v>
      </c>
      <c r="BT814" s="36">
        <f t="shared" si="187"/>
        <v>0.75449999999999995</v>
      </c>
      <c r="BU814" s="36">
        <f t="shared" si="188"/>
        <v>0.5585</v>
      </c>
      <c r="BV814" s="39">
        <f t="shared" si="189"/>
        <v>0.74022531477799869</v>
      </c>
      <c r="BW814" s="39">
        <f t="shared" si="190"/>
        <v>1</v>
      </c>
      <c r="BX814" s="40">
        <f t="shared" si="191"/>
        <v>7.6062639821029079E-2</v>
      </c>
      <c r="BY814" s="40">
        <f t="shared" si="192"/>
        <v>0</v>
      </c>
      <c r="BZ814" t="str">
        <f t="shared" si="193"/>
        <v>Paradas no digitadas</v>
      </c>
      <c r="CA814">
        <f t="shared" si="194"/>
        <v>0</v>
      </c>
    </row>
    <row r="815" spans="1:80" x14ac:dyDescent="0.25">
      <c r="A815" s="35">
        <v>46295</v>
      </c>
      <c r="B815" s="36">
        <v>12</v>
      </c>
      <c r="C815" t="s">
        <v>113</v>
      </c>
      <c r="D815" t="s">
        <v>6</v>
      </c>
      <c r="E815" t="s">
        <v>147</v>
      </c>
      <c r="F815" t="s">
        <v>193</v>
      </c>
      <c r="G815">
        <v>6617</v>
      </c>
      <c r="H815">
        <v>2140110688</v>
      </c>
      <c r="I815" t="s">
        <v>195</v>
      </c>
      <c r="J815" s="37">
        <v>17250</v>
      </c>
      <c r="K815" s="37">
        <v>12</v>
      </c>
      <c r="M815">
        <v>6184</v>
      </c>
      <c r="O815">
        <v>57</v>
      </c>
      <c r="P815">
        <v>30</v>
      </c>
      <c r="Q815">
        <v>40</v>
      </c>
      <c r="V815" t="s">
        <v>120</v>
      </c>
      <c r="Y815" s="38">
        <v>0.29166666666666669</v>
      </c>
      <c r="Z815" s="38">
        <v>0.79166666666666663</v>
      </c>
      <c r="AA815" t="s">
        <v>161</v>
      </c>
      <c r="AB815" t="s">
        <v>162</v>
      </c>
      <c r="AC815" t="s">
        <v>118</v>
      </c>
      <c r="BK815">
        <f>0</f>
        <v>0</v>
      </c>
      <c r="BL815">
        <f t="shared" si="180"/>
        <v>0</v>
      </c>
      <c r="BM815">
        <f t="shared" si="181"/>
        <v>0</v>
      </c>
      <c r="BN815">
        <f t="shared" si="182"/>
        <v>0</v>
      </c>
      <c r="BO815">
        <f t="shared" si="183"/>
        <v>1</v>
      </c>
      <c r="BP815" s="37">
        <f>IF($F815="","",IFERROR(INDEX(Familias!$C$5:$C$300,MATCH($F815,Familias!$A$5:$A$300,0)),""))</f>
        <v>1880</v>
      </c>
      <c r="BQ815" s="37">
        <f t="shared" si="184"/>
        <v>17262</v>
      </c>
      <c r="BR815" s="36">
        <f t="shared" si="185"/>
        <v>12</v>
      </c>
      <c r="BS815" s="36">
        <f t="shared" si="186"/>
        <v>0</v>
      </c>
      <c r="BT815" s="36">
        <f t="shared" si="187"/>
        <v>12</v>
      </c>
      <c r="BU815" s="36">
        <f t="shared" si="188"/>
        <v>9.1819000000000006</v>
      </c>
      <c r="BV815" s="39">
        <f t="shared" si="189"/>
        <v>0.76515833333333338</v>
      </c>
      <c r="BW815" s="39">
        <f t="shared" si="190"/>
        <v>0.99930483142161974</v>
      </c>
      <c r="BX815" s="40">
        <f t="shared" si="191"/>
        <v>1.406856403622251E-2</v>
      </c>
      <c r="BY815" s="40">
        <f t="shared" si="192"/>
        <v>6.4683053040103496E-3</v>
      </c>
      <c r="BZ815" t="str">
        <f t="shared" si="193"/>
        <v>Paradas no digitadas</v>
      </c>
      <c r="CA815">
        <f t="shared" si="194"/>
        <v>0</v>
      </c>
    </row>
    <row r="816" spans="1:80" x14ac:dyDescent="0.25">
      <c r="A816" s="35">
        <v>46295</v>
      </c>
      <c r="B816" s="36">
        <v>1.4996</v>
      </c>
      <c r="C816" t="s">
        <v>119</v>
      </c>
      <c r="D816" t="s">
        <v>6</v>
      </c>
      <c r="E816" t="s">
        <v>147</v>
      </c>
      <c r="F816" t="s">
        <v>193</v>
      </c>
      <c r="G816">
        <v>6617</v>
      </c>
      <c r="H816">
        <v>2140110688</v>
      </c>
      <c r="I816" t="s">
        <v>195</v>
      </c>
      <c r="J816" s="37">
        <v>1650</v>
      </c>
      <c r="K816" s="37"/>
      <c r="M816">
        <v>584</v>
      </c>
      <c r="O816">
        <v>16</v>
      </c>
      <c r="P816">
        <v>3</v>
      </c>
      <c r="V816" t="s">
        <v>116</v>
      </c>
      <c r="Y816" s="38">
        <v>0.79166666666666663</v>
      </c>
      <c r="Z816" s="38">
        <v>0.85416666666666663</v>
      </c>
      <c r="AA816" t="s">
        <v>161</v>
      </c>
      <c r="AB816" t="s">
        <v>162</v>
      </c>
      <c r="AC816" t="s">
        <v>121</v>
      </c>
      <c r="BK816">
        <f>0</f>
        <v>0</v>
      </c>
      <c r="BL816">
        <f t="shared" si="180"/>
        <v>0</v>
      </c>
      <c r="BM816">
        <f t="shared" si="181"/>
        <v>0</v>
      </c>
      <c r="BN816">
        <f t="shared" si="182"/>
        <v>0</v>
      </c>
      <c r="BO816">
        <f t="shared" si="183"/>
        <v>1</v>
      </c>
      <c r="BP816" s="37">
        <f>IF($F816="","",IFERROR(INDEX(Familias!$C$5:$C$300,MATCH($F816,Familias!$A$5:$A$300,0)),""))</f>
        <v>1880</v>
      </c>
      <c r="BQ816" s="37">
        <f t="shared" si="184"/>
        <v>1650</v>
      </c>
      <c r="BR816" s="36">
        <f t="shared" si="185"/>
        <v>1.4996</v>
      </c>
      <c r="BS816" s="36">
        <f t="shared" si="186"/>
        <v>0</v>
      </c>
      <c r="BT816" s="36">
        <f t="shared" si="187"/>
        <v>1.4996</v>
      </c>
      <c r="BU816" s="36">
        <f t="shared" si="188"/>
        <v>0.87770000000000004</v>
      </c>
      <c r="BV816" s="39">
        <f t="shared" si="189"/>
        <v>0.58528941050946914</v>
      </c>
      <c r="BW816" s="39">
        <f t="shared" si="190"/>
        <v>1</v>
      </c>
      <c r="BX816" s="40">
        <f t="shared" si="191"/>
        <v>3.2534246575342464E-2</v>
      </c>
      <c r="BY816" s="40">
        <f t="shared" si="192"/>
        <v>0</v>
      </c>
      <c r="BZ816" t="str">
        <f t="shared" si="193"/>
        <v>Paradas no digitadas</v>
      </c>
      <c r="CA816">
        <f t="shared" si="194"/>
        <v>0</v>
      </c>
    </row>
    <row r="817" spans="1:80" x14ac:dyDescent="0.25">
      <c r="A817" s="35">
        <v>46295</v>
      </c>
      <c r="B817" s="36">
        <v>10.500400000000001</v>
      </c>
      <c r="C817" t="s">
        <v>119</v>
      </c>
      <c r="D817" t="s">
        <v>6</v>
      </c>
      <c r="E817" t="s">
        <v>126</v>
      </c>
      <c r="F817" t="s">
        <v>191</v>
      </c>
      <c r="G817">
        <v>6714</v>
      </c>
      <c r="H817">
        <v>2140110747</v>
      </c>
      <c r="I817" t="s">
        <v>267</v>
      </c>
      <c r="J817" s="37">
        <v>22800</v>
      </c>
      <c r="K817" s="37"/>
      <c r="M817">
        <v>4213</v>
      </c>
      <c r="O817">
        <v>70</v>
      </c>
      <c r="P817">
        <v>26</v>
      </c>
      <c r="Q817">
        <v>28</v>
      </c>
      <c r="R817">
        <v>45</v>
      </c>
      <c r="V817" t="s">
        <v>116</v>
      </c>
      <c r="Y817" s="38">
        <v>0.85416666666666663</v>
      </c>
      <c r="Z817" s="38">
        <v>0.29166666666666669</v>
      </c>
      <c r="AA817" t="s">
        <v>161</v>
      </c>
      <c r="AC817" t="s">
        <v>121</v>
      </c>
      <c r="BK817">
        <f>0</f>
        <v>0</v>
      </c>
      <c r="BL817">
        <f t="shared" si="180"/>
        <v>0</v>
      </c>
      <c r="BM817">
        <f t="shared" si="181"/>
        <v>0</v>
      </c>
      <c r="BN817">
        <f t="shared" si="182"/>
        <v>0</v>
      </c>
      <c r="BO817">
        <f t="shared" si="183"/>
        <v>1</v>
      </c>
      <c r="BP817" s="37">
        <f>IF($F817="","",IFERROR(INDEX(Familias!$C$5:$C$300,MATCH($F817,Familias!$A$5:$A$300,0)),""))</f>
        <v>3710</v>
      </c>
      <c r="BQ817" s="37">
        <f t="shared" si="184"/>
        <v>22800</v>
      </c>
      <c r="BR817" s="36">
        <f t="shared" si="185"/>
        <v>10.500400000000001</v>
      </c>
      <c r="BS817" s="36">
        <f t="shared" si="186"/>
        <v>0</v>
      </c>
      <c r="BT817" s="36">
        <f t="shared" si="187"/>
        <v>10.500400000000001</v>
      </c>
      <c r="BU817" s="36">
        <f t="shared" si="188"/>
        <v>6.1456</v>
      </c>
      <c r="BV817" s="39">
        <f t="shared" si="189"/>
        <v>0.58527294198316249</v>
      </c>
      <c r="BW817" s="39">
        <f t="shared" si="190"/>
        <v>1</v>
      </c>
      <c r="BX817" s="40">
        <f t="shared" si="191"/>
        <v>3.3467837645383337E-2</v>
      </c>
      <c r="BY817" s="40">
        <f t="shared" si="192"/>
        <v>6.6460954189413723E-3</v>
      </c>
      <c r="BZ817" t="str">
        <f t="shared" si="193"/>
        <v>Paradas no digitadas</v>
      </c>
      <c r="CA817">
        <f t="shared" si="194"/>
        <v>0</v>
      </c>
    </row>
    <row r="818" spans="1:80" x14ac:dyDescent="0.25">
      <c r="A818" s="35"/>
      <c r="B818" s="36"/>
      <c r="J818" s="37"/>
      <c r="K818" s="37"/>
      <c r="Y818" s="38"/>
      <c r="Z818" s="38"/>
      <c r="BP818" s="37"/>
      <c r="BQ818" s="37"/>
      <c r="BR818" s="36"/>
      <c r="BS818" s="36"/>
      <c r="BT818" s="36"/>
      <c r="BU818" s="36"/>
      <c r="BV818" s="39"/>
      <c r="BW818" s="39"/>
      <c r="BX818" s="40"/>
      <c r="BY818" s="40"/>
    </row>
    <row r="819" spans="1:80" x14ac:dyDescent="0.25">
      <c r="A819" s="35"/>
      <c r="B819" s="36"/>
      <c r="J819" s="37"/>
      <c r="K819" s="37"/>
      <c r="Y819" s="38"/>
      <c r="Z819" s="38"/>
      <c r="BP819" s="37"/>
      <c r="BQ819" s="37"/>
      <c r="BR819" s="36"/>
      <c r="BS819" s="36"/>
      <c r="BT819" s="36"/>
      <c r="BU819" s="36"/>
      <c r="BV819" s="39"/>
      <c r="BW819" s="39"/>
      <c r="BX819" s="40"/>
      <c r="BY819" s="40"/>
    </row>
    <row r="820" spans="1:80" x14ac:dyDescent="0.25">
      <c r="A820" s="35"/>
      <c r="B820" s="36"/>
      <c r="J820" s="37"/>
      <c r="K820" s="37"/>
      <c r="Y820" s="38"/>
      <c r="Z820" s="38"/>
      <c r="BP820" s="37"/>
      <c r="BQ820" s="37"/>
      <c r="BR820" s="36"/>
      <c r="BS820" s="36"/>
      <c r="BT820" s="36"/>
      <c r="BU820" s="36"/>
      <c r="BV820" s="39"/>
      <c r="BW820" s="39"/>
      <c r="BX820" s="40"/>
      <c r="BY820" s="40"/>
    </row>
    <row r="821" spans="1:80" x14ac:dyDescent="0.25">
      <c r="A821" s="35"/>
      <c r="B821" s="36"/>
      <c r="J821" s="37"/>
      <c r="K821" s="37"/>
      <c r="Y821" s="38"/>
      <c r="Z821" s="38"/>
      <c r="BP821" s="37"/>
      <c r="BQ821" s="37"/>
      <c r="BR821" s="36"/>
      <c r="BS821" s="36"/>
      <c r="BT821" s="36"/>
      <c r="BU821" s="36"/>
      <c r="BV821" s="39"/>
      <c r="BW821" s="39"/>
      <c r="BX821" s="40"/>
      <c r="BY821" s="40"/>
    </row>
    <row r="822" spans="1:80" x14ac:dyDescent="0.25">
      <c r="A822" s="35"/>
      <c r="B822" s="36"/>
      <c r="J822" s="37"/>
      <c r="K822" s="37"/>
      <c r="Y822" s="38"/>
      <c r="Z822" s="38"/>
      <c r="BP822" s="37"/>
      <c r="BQ822" s="37"/>
      <c r="BR822" s="36"/>
      <c r="BS822" s="36"/>
      <c r="BT822" s="36"/>
      <c r="BU822" s="36"/>
      <c r="BV822" s="39"/>
      <c r="BW822" s="39"/>
      <c r="BX822" s="40"/>
      <c r="BY822" s="40"/>
    </row>
    <row r="823" spans="1:80" x14ac:dyDescent="0.25">
      <c r="A823" s="35"/>
      <c r="B823" s="36"/>
      <c r="J823" s="37"/>
      <c r="K823" s="37"/>
      <c r="Y823" s="38"/>
      <c r="Z823" s="38"/>
      <c r="BP823" s="37"/>
      <c r="BQ823" s="37"/>
      <c r="BR823" s="36"/>
      <c r="BS823" s="36"/>
      <c r="BT823" s="36"/>
      <c r="BU823" s="36"/>
      <c r="BV823" s="39"/>
      <c r="BW823" s="39"/>
      <c r="BX823" s="40"/>
      <c r="BY823" s="40"/>
    </row>
    <row r="824" spans="1:80" x14ac:dyDescent="0.25">
      <c r="A824" s="35"/>
      <c r="B824" s="36"/>
      <c r="J824" s="37"/>
      <c r="K824" s="37"/>
      <c r="Y824" s="38"/>
      <c r="Z824" s="38"/>
      <c r="BP824" s="37"/>
      <c r="BQ824" s="37"/>
      <c r="BR824" s="36"/>
      <c r="BS824" s="36"/>
      <c r="BT824" s="36"/>
      <c r="BU824" s="36"/>
      <c r="BV824" s="39"/>
      <c r="BW824" s="39"/>
      <c r="BX824" s="40"/>
      <c r="BY824" s="40"/>
    </row>
    <row r="825" spans="1:80" x14ac:dyDescent="0.25">
      <c r="A825" s="35"/>
      <c r="B825" s="36"/>
      <c r="J825" s="37"/>
      <c r="K825" s="37"/>
      <c r="Y825" s="38"/>
      <c r="Z825" s="38"/>
      <c r="BP825" s="37"/>
      <c r="BQ825" s="37"/>
      <c r="BR825" s="36"/>
      <c r="BS825" s="36"/>
      <c r="BT825" s="36"/>
      <c r="BU825" s="36"/>
      <c r="BV825" s="39"/>
      <c r="BW825" s="39"/>
      <c r="BX825" s="40"/>
      <c r="BY825" s="40"/>
    </row>
    <row r="826" spans="1:80" x14ac:dyDescent="0.25">
      <c r="A826" s="35"/>
      <c r="B826" s="36"/>
      <c r="J826" s="37"/>
      <c r="K826" s="37"/>
      <c r="Y826" s="38"/>
      <c r="Z826" s="38"/>
      <c r="BP826" s="37"/>
      <c r="BQ826" s="37"/>
      <c r="BR826" s="36"/>
      <c r="BS826" s="36"/>
      <c r="BT826" s="36"/>
      <c r="BU826" s="36"/>
      <c r="BV826" s="39"/>
      <c r="BW826" s="39"/>
      <c r="BX826" s="40"/>
      <c r="BY826" s="40"/>
    </row>
    <row r="827" spans="1:80" x14ac:dyDescent="0.25">
      <c r="A827" s="35"/>
      <c r="B827" s="36"/>
      <c r="J827" s="37"/>
      <c r="K827" s="37"/>
      <c r="Y827" s="38"/>
      <c r="Z827" s="38"/>
      <c r="BP827" s="37"/>
      <c r="BQ827" s="37"/>
      <c r="BR827" s="36"/>
      <c r="BS827" s="36"/>
      <c r="BT827" s="36"/>
      <c r="BU827" s="36"/>
      <c r="BV827" s="39"/>
      <c r="BW827" s="39"/>
      <c r="BX827" s="40"/>
      <c r="BY827" s="40"/>
    </row>
    <row r="828" spans="1:80" x14ac:dyDescent="0.25">
      <c r="A828" s="35">
        <v>46301</v>
      </c>
      <c r="B828" s="36">
        <v>12</v>
      </c>
      <c r="C828" t="s">
        <v>113</v>
      </c>
      <c r="D828" t="s">
        <v>6</v>
      </c>
      <c r="E828" t="s">
        <v>147</v>
      </c>
      <c r="F828" t="s">
        <v>175</v>
      </c>
      <c r="G828">
        <v>6769</v>
      </c>
      <c r="H828">
        <v>2140110666</v>
      </c>
      <c r="I828" t="s">
        <v>176</v>
      </c>
      <c r="J828" s="37">
        <v>20400</v>
      </c>
      <c r="K828" s="37">
        <v>10</v>
      </c>
      <c r="L828">
        <v>10</v>
      </c>
      <c r="O828">
        <v>50</v>
      </c>
      <c r="P828">
        <v>35</v>
      </c>
      <c r="V828" t="s">
        <v>116</v>
      </c>
      <c r="W828" t="s">
        <v>224</v>
      </c>
      <c r="Y828" s="67">
        <v>0.29166666666666669</v>
      </c>
      <c r="Z828" s="67">
        <v>0.79166666666666674</v>
      </c>
      <c r="AA828" t="s">
        <v>117</v>
      </c>
      <c r="AC828" t="s">
        <v>789</v>
      </c>
      <c r="BK828">
        <f>0</f>
        <v>0</v>
      </c>
      <c r="BL828">
        <f>N(AD828)+N(AE828)+N(AF828)+N(AG828)+N(AH828)+N(AI828)+N(AJ828)+N(AK828)+N(AL828)+N(AM828)+N(AN828)+N(AO828)+N(AP828)+N(AQ828)+N(AR828)+N(AS828)+N(AT828)+N(AU828)+N(AW828)+N(AX828)+N(AY828)+N(BC828)+N(BE828)+N(BF828)+N(BH828)+N(BI828)+N(BJ828)</f>
        <v>0</v>
      </c>
      <c r="BM828">
        <f>N(AZ828)+N(BA828)+N(BB828)+N(BD828)</f>
        <v>0</v>
      </c>
      <c r="BN828">
        <f>N(AV828)+N(BG828)</f>
        <v>0</v>
      </c>
      <c r="BO828">
        <f>IF($A828="","",IF(WEEKDAY($A828,2)=7,0,1))</f>
        <v>1</v>
      </c>
      <c r="BP828" s="37">
        <f>IF($F828="","",IFERROR(INDEX(Familias!$C$5:$C$300,MATCH($F828,Familias!$A$5:$A$300,0)),""))</f>
        <v>2370</v>
      </c>
      <c r="BQ828" s="37">
        <f>IF(AND($J828="",$K828=""),"",N($J828)+N($K828))</f>
        <v>20410</v>
      </c>
      <c r="BR828" s="36">
        <f>IF($A828="","",ROUND(N($B828),4))</f>
        <v>12</v>
      </c>
      <c r="BS828" s="36">
        <f>IF($A828="","",ROUND(SUM($AD828:$BJ828),4))</f>
        <v>0</v>
      </c>
      <c r="BT828" s="36">
        <f>IF($A828="","",ROUND(MAX(0,$BR828-$BS828),4))</f>
        <v>12</v>
      </c>
      <c r="BU828" s="36">
        <f>IF(OR($BQ828="",$BP828="",N($BP828)=0),"",ROUND($BQ828/$BP828,4))</f>
        <v>8.6118000000000006</v>
      </c>
      <c r="BV828" s="39">
        <f>IF(OR($BU828="",N($BT828)=0),"",$BU828/$BT828)</f>
        <v>0.71765000000000001</v>
      </c>
      <c r="BW828" s="39">
        <f>IF(N($BQ828)&gt;0,N($J828)/$BQ828,"")</f>
        <v>0.99951004409603139</v>
      </c>
      <c r="BX828" s="40" t="str">
        <f>IF(N($M828)&gt;0,(N($P828)+N($O828)+N($R828))/$M828,"")</f>
        <v/>
      </c>
      <c r="BY828" s="40" t="str">
        <f>IF(N($M828)&gt;0,N($Q828)/$M828,"")</f>
        <v/>
      </c>
      <c r="BZ828" t="str">
        <f>IF($A828="","",IF($BO828=0,"Domingo",IF($AA828&lt;&gt;"Sí","Paradas no digitadas",IF($BQ828="",IF(N($BT828)&gt;0,"Sin producción","Parada total"),IF($F828="","Sin familia",IF($BP828="","Familia sin estándar",IF(AND($BV828&lt;&gt;"",N($BV828)&gt;1.1),"Revisar rendimiento","OK")))))))</f>
        <v>OK</v>
      </c>
      <c r="CA828">
        <f>IF(OR($BU828="",$BO828&lt;&gt;1,$AA828&lt;&gt;"Sí"),0,1)</f>
        <v>1</v>
      </c>
    </row>
    <row r="829" spans="1:80" x14ac:dyDescent="0.25">
      <c r="A829" s="35">
        <v>46301</v>
      </c>
      <c r="B829" s="36">
        <v>10.333299999999999</v>
      </c>
      <c r="C829" t="s">
        <v>119</v>
      </c>
      <c r="D829" t="s">
        <v>6</v>
      </c>
      <c r="E829" t="s">
        <v>147</v>
      </c>
      <c r="F829" t="s">
        <v>175</v>
      </c>
      <c r="G829">
        <v>6769</v>
      </c>
      <c r="H829">
        <v>2140110666</v>
      </c>
      <c r="I829" t="s">
        <v>176</v>
      </c>
      <c r="J829" s="37">
        <v>18450</v>
      </c>
      <c r="K829" s="37">
        <v>10</v>
      </c>
      <c r="L829">
        <v>10</v>
      </c>
      <c r="O829">
        <v>50</v>
      </c>
      <c r="P829">
        <v>30</v>
      </c>
      <c r="V829" t="s">
        <v>330</v>
      </c>
      <c r="W829" t="s">
        <v>790</v>
      </c>
      <c r="Y829" s="67">
        <v>0.79166666666666663</v>
      </c>
      <c r="Z829" s="67">
        <v>0.22222222222222232</v>
      </c>
      <c r="AA829" t="s">
        <v>117</v>
      </c>
      <c r="AC829" t="s">
        <v>791</v>
      </c>
      <c r="BI829">
        <v>0.33329999999999999</v>
      </c>
      <c r="BK829">
        <f>0</f>
        <v>0</v>
      </c>
      <c r="BL829">
        <f>N(AD829)+N(AE829)+N(AF829)+N(AG829)+N(AH829)+N(AI829)+N(AJ829)+N(AK829)+N(AL829)+N(AM829)+N(AN829)+N(AO829)+N(AP829)+N(AQ829)+N(AR829)+N(AS829)+N(AT829)+N(AU829)+N(AW829)+N(AX829)+N(AY829)+N(BC829)+N(BE829)+N(BF829)+N(BH829)+N(BI829)+N(BJ829)</f>
        <v>0.33329999999999999</v>
      </c>
      <c r="BM829">
        <f>N(AZ829)+N(BA829)+N(BB829)+N(BD829)</f>
        <v>0</v>
      </c>
      <c r="BN829">
        <f>N(AV829)+N(BG829)</f>
        <v>0</v>
      </c>
      <c r="BO829">
        <f>IF($A829="","",IF(WEEKDAY($A829,2)=7,0,1))</f>
        <v>1</v>
      </c>
      <c r="BP829" s="37">
        <f>IF($F829="","",IFERROR(INDEX(Familias!$C$5:$C$300,MATCH($F829,Familias!$A$5:$A$300,0)),""))</f>
        <v>2370</v>
      </c>
      <c r="BQ829" s="37">
        <f>IF(AND($J829="",$K829=""),"",N($J829)+N($K829))</f>
        <v>18460</v>
      </c>
      <c r="BR829" s="36">
        <f>IF($A829="","",ROUND(N($B829),4))</f>
        <v>10.333299999999999</v>
      </c>
      <c r="BS829" s="36">
        <f>IF($A829="","",ROUND(SUM($AD829:$BJ829),4))</f>
        <v>0.33329999999999999</v>
      </c>
      <c r="BT829" s="36">
        <f>IF($A829="","",ROUND(MAX(0,$BR829-$BS829),4))</f>
        <v>10</v>
      </c>
      <c r="BU829" s="36">
        <f>IF(OR($BQ829="",$BP829="",N($BP829)=0),"",ROUND($BQ829/$BP829,4))</f>
        <v>7.7889999999999997</v>
      </c>
      <c r="BV829" s="39">
        <f>IF(OR($BU829="",N($BT829)=0),"",$BU829/$BT829)</f>
        <v>0.77889999999999993</v>
      </c>
      <c r="BW829" s="39">
        <f>IF(N($BQ829)&gt;0,N($J829)/$BQ829,"")</f>
        <v>0.99945828819068261</v>
      </c>
      <c r="BX829" s="40" t="str">
        <f>IF(N($M829)&gt;0,(N($P829)+N($O829)+N($R829))/$M829,"")</f>
        <v/>
      </c>
      <c r="BY829" s="40" t="str">
        <f>IF(N($M829)&gt;0,N($Q829)/$M829,"")</f>
        <v/>
      </c>
      <c r="BZ829" t="str">
        <f>IF($A829="","",IF($BO829=0,"Domingo",IF($AA829&lt;&gt;"Sí","Paradas no digitadas",IF($BQ829="",IF(N($BT829)&gt;0,"Sin producción","Parada total"),IF($F829="","Sin familia",IF($BP829="","Familia sin estándar",IF(AND($BV829&lt;&gt;"",N($BV829)&gt;1.1),"Revisar rendimiento","OK")))))))</f>
        <v>OK</v>
      </c>
      <c r="CA829">
        <f>IF(OR($BU829="",$BO829&lt;&gt;1,$AA829&lt;&gt;"Sí"),0,1)</f>
        <v>1</v>
      </c>
    </row>
    <row r="830" spans="1:80" x14ac:dyDescent="0.25">
      <c r="A830" s="35">
        <v>46301</v>
      </c>
      <c r="B830" s="36">
        <v>1.6667000000000001</v>
      </c>
      <c r="C830" t="s">
        <v>119</v>
      </c>
      <c r="D830" t="s">
        <v>6</v>
      </c>
      <c r="E830" t="s">
        <v>147</v>
      </c>
      <c r="F830" t="s">
        <v>147</v>
      </c>
      <c r="G830">
        <v>6802</v>
      </c>
      <c r="H830">
        <v>2140110663</v>
      </c>
      <c r="I830" t="s">
        <v>148</v>
      </c>
      <c r="J830" s="37">
        <v>2025</v>
      </c>
      <c r="K830" s="37"/>
      <c r="L830">
        <v>1</v>
      </c>
      <c r="O830">
        <v>2</v>
      </c>
      <c r="P830">
        <v>3</v>
      </c>
      <c r="V830" t="s">
        <v>330</v>
      </c>
      <c r="W830" t="s">
        <v>790</v>
      </c>
      <c r="Y830" s="67">
        <v>0.22222222222222232</v>
      </c>
      <c r="Z830" s="67">
        <v>0.29166666666666652</v>
      </c>
      <c r="AA830" t="s">
        <v>117</v>
      </c>
      <c r="AC830" t="s">
        <v>791</v>
      </c>
      <c r="AQ830">
        <v>0.16669999999999999</v>
      </c>
      <c r="BJ830">
        <v>0.5</v>
      </c>
      <c r="BK830">
        <f>0</f>
        <v>0</v>
      </c>
      <c r="BL830">
        <f>N(AD830)+N(AE830)+N(AF830)+N(AG830)+N(AH830)+N(AI830)+N(AJ830)+N(AK830)+N(AL830)+N(AM830)+N(AN830)+N(AO830)+N(AP830)+N(AQ830)+N(AR830)+N(AS830)+N(AT830)+N(AU830)+N(AW830)+N(AX830)+N(AY830)+N(BC830)+N(BE830)+N(BF830)+N(BH830)+N(BI830)+N(BJ830)</f>
        <v>0.66669999999999996</v>
      </c>
      <c r="BM830">
        <f>N(AZ830)+N(BA830)+N(BB830)+N(BD830)</f>
        <v>0</v>
      </c>
      <c r="BN830">
        <f>N(AV830)+N(BG830)</f>
        <v>0</v>
      </c>
      <c r="BO830">
        <f>IF($A830="","",IF(WEEKDAY($A830,2)=7,0,1))</f>
        <v>1</v>
      </c>
      <c r="BP830" s="37">
        <f>IF($F830="","",IFERROR(INDEX(Familias!$C$5:$C$300,MATCH($F830,Familias!$A$5:$A$300,0)),""))</f>
        <v>2280</v>
      </c>
      <c r="BQ830" s="37">
        <f>IF(AND($J830="",$K830=""),"",N($J830)+N($K830))</f>
        <v>2025</v>
      </c>
      <c r="BR830" s="36">
        <f>IF($A830="","",ROUND(N($B830),4))</f>
        <v>1.6667000000000001</v>
      </c>
      <c r="BS830" s="36">
        <f>IF($A830="","",ROUND(SUM($AD830:$BJ830),4))</f>
        <v>0.66669999999999996</v>
      </c>
      <c r="BT830" s="36">
        <f>IF($A830="","",ROUND(MAX(0,$BR830-$BS830),4))</f>
        <v>1</v>
      </c>
      <c r="BU830" s="36">
        <f>IF(OR($BQ830="",$BP830="",N($BP830)=0),"",ROUND($BQ830/$BP830,4))</f>
        <v>0.88819999999999999</v>
      </c>
      <c r="BV830" s="39">
        <f>IF(OR($BU830="",N($BT830)=0),"",$BU830/$BT830)</f>
        <v>0.88819999999999999</v>
      </c>
      <c r="BW830" s="39">
        <f>IF(N($BQ830)&gt;0,N($J830)/$BQ830,"")</f>
        <v>1</v>
      </c>
      <c r="BX830" s="40" t="str">
        <f>IF(N($M830)&gt;0,(N($P830)+N($O830)+N($R830))/$M830,"")</f>
        <v/>
      </c>
      <c r="BY830" s="40" t="str">
        <f>IF(N($M830)&gt;0,N($Q830)/$M830,"")</f>
        <v/>
      </c>
      <c r="BZ830" t="str">
        <f>IF($A830="","",IF($BO830=0,"Domingo",IF($AA830&lt;&gt;"Sí","Paradas no digitadas",IF($BQ830="",IF(N($BT830)&gt;0,"Sin producción","Parada total"),IF($F830="","Sin familia",IF($BP830="","Familia sin estándar",IF(AND($BV830&lt;&gt;"",N($BV830)&gt;1.1),"Revisar rendimiento","OK")))))))</f>
        <v>OK</v>
      </c>
      <c r="CA830">
        <f>IF(OR($BU830="",$BO830&lt;&gt;1,$AA830&lt;&gt;"Sí"),0,1)</f>
        <v>1</v>
      </c>
    </row>
    <row r="831" spans="1:80" x14ac:dyDescent="0.25">
      <c r="A831" s="35">
        <v>46302</v>
      </c>
      <c r="B831" s="36">
        <v>12</v>
      </c>
      <c r="C831" t="s">
        <v>113</v>
      </c>
      <c r="D831" t="s">
        <v>6</v>
      </c>
      <c r="E831" t="s">
        <v>147</v>
      </c>
      <c r="F831" t="s">
        <v>147</v>
      </c>
      <c r="G831">
        <v>6802</v>
      </c>
      <c r="H831">
        <v>2140110663</v>
      </c>
      <c r="I831" t="s">
        <v>148</v>
      </c>
      <c r="J831" s="37">
        <v>21450</v>
      </c>
      <c r="K831" s="37">
        <v>10</v>
      </c>
      <c r="L831">
        <v>12</v>
      </c>
      <c r="O831">
        <v>79</v>
      </c>
      <c r="P831">
        <v>86</v>
      </c>
      <c r="Q831">
        <v>22</v>
      </c>
      <c r="V831" t="s">
        <v>116</v>
      </c>
      <c r="W831" t="s">
        <v>224</v>
      </c>
      <c r="Y831" s="67">
        <v>0.29166666666666669</v>
      </c>
      <c r="Z831" s="67">
        <v>0.79166666666666674</v>
      </c>
      <c r="AA831" t="s">
        <v>117</v>
      </c>
      <c r="AC831" t="s">
        <v>789</v>
      </c>
      <c r="AQ831">
        <v>0.16669999999999999</v>
      </c>
      <c r="BI831">
        <v>0.33329999999999999</v>
      </c>
      <c r="BK831">
        <f>0</f>
        <v>0</v>
      </c>
      <c r="BL831">
        <f>N(AD831)+N(AE831)+N(AF831)+N(AG831)+N(AH831)+N(AI831)+N(AJ831)+N(AK831)+N(AL831)+N(AM831)+N(AN831)+N(AO831)+N(AP831)+N(AQ831)+N(AR831)+N(AS831)+N(AT831)+N(AU831)+N(AW831)+N(AX831)+N(AY831)+N(BC831)+N(BE831)+N(BF831)+N(BH831)+N(BI831)+N(BJ831)</f>
        <v>0.5</v>
      </c>
      <c r="BM831">
        <f>N(AZ831)+N(BA831)+N(BB831)+N(BD831)</f>
        <v>0</v>
      </c>
      <c r="BN831">
        <f>N(AV831)+N(BG831)</f>
        <v>0</v>
      </c>
      <c r="BO831">
        <f>IF($A831="","",IF(WEEKDAY($A831,2)=7,0,1))</f>
        <v>1</v>
      </c>
      <c r="BP831" s="37">
        <f>IF($F831="","",IFERROR(INDEX(Familias!$C$5:$C$300,MATCH($F831,Familias!$A$5:$A$300,0)),""))</f>
        <v>2280</v>
      </c>
      <c r="BQ831" s="37">
        <f>IF(AND($J831="",$K831=""),"",N($J831)+N($K831))</f>
        <v>21460</v>
      </c>
      <c r="BR831" s="36">
        <f>IF($A831="","",ROUND(N($B831),4))</f>
        <v>12</v>
      </c>
      <c r="BS831" s="36">
        <f>IF($A831="","",ROUND(SUM($AD831:$BJ831),4))</f>
        <v>0.5</v>
      </c>
      <c r="BT831" s="36">
        <f>IF($A831="","",ROUND(MAX(0,$BR831-$BS831),4))</f>
        <v>11.5</v>
      </c>
      <c r="BU831" s="36">
        <f>IF(OR($BQ831="",$BP831="",N($BP831)=0),"",ROUND($BQ831/$BP831,4))</f>
        <v>9.4123000000000001</v>
      </c>
      <c r="BV831" s="39">
        <f>IF(OR($BU831="",N($BT831)=0),"",$BU831/$BT831)</f>
        <v>0.81846086956521735</v>
      </c>
      <c r="BW831" s="39">
        <f>IF(N($BQ831)&gt;0,N($J831)/$BQ831,"")</f>
        <v>0.99953401677539611</v>
      </c>
      <c r="BX831" s="40" t="str">
        <f>IF(N($M831)&gt;0,(N($P831)+N($O831)+N($R831))/$M831,"")</f>
        <v/>
      </c>
      <c r="BY831" s="40" t="str">
        <f>IF(N($M831)&gt;0,N($Q831)/$M831,"")</f>
        <v/>
      </c>
      <c r="BZ831" t="str">
        <f>IF($A831="","",IF($BO831=0,"Domingo",IF($AA831&lt;&gt;"Sí","Paradas no digitadas",IF($BQ831="",IF(N($BT831)&gt;0,"Sin producción","Parada total"),IF($F831="","Sin familia",IF($BP831="","Familia sin estándar",IF(AND($BV831&lt;&gt;"",N($BV831)&gt;1.1),"Revisar rendimiento","OK")))))))</f>
        <v>OK</v>
      </c>
      <c r="CA831">
        <f>IF(OR($BU831="",$BO831&lt;&gt;1,$AA831&lt;&gt;"Sí"),0,1)</f>
        <v>1</v>
      </c>
    </row>
    <row r="832" spans="1:80" x14ac:dyDescent="0.25">
      <c r="A832" s="35">
        <v>46302</v>
      </c>
      <c r="B832" s="36">
        <v>9</v>
      </c>
      <c r="C832" t="s">
        <v>119</v>
      </c>
      <c r="D832" t="s">
        <v>6</v>
      </c>
      <c r="E832" t="s">
        <v>147</v>
      </c>
      <c r="F832" t="s">
        <v>147</v>
      </c>
      <c r="G832">
        <v>6802</v>
      </c>
      <c r="H832">
        <v>2140110663</v>
      </c>
      <c r="I832" t="s">
        <v>148</v>
      </c>
      <c r="J832" s="37">
        <v>16525</v>
      </c>
      <c r="K832" s="37">
        <v>10</v>
      </c>
      <c r="L832">
        <v>9</v>
      </c>
      <c r="O832">
        <v>40</v>
      </c>
      <c r="P832">
        <v>27</v>
      </c>
      <c r="Q832">
        <v>20</v>
      </c>
      <c r="V832" t="s">
        <v>120</v>
      </c>
      <c r="W832" t="s">
        <v>792</v>
      </c>
      <c r="Y832" s="67">
        <v>0.79166666666666663</v>
      </c>
      <c r="Z832" s="67">
        <v>0.16666666666666652</v>
      </c>
      <c r="AA832" t="s">
        <v>117</v>
      </c>
      <c r="AC832" t="s">
        <v>791</v>
      </c>
      <c r="BI832">
        <v>0.33329999999999999</v>
      </c>
      <c r="BK832">
        <f>0</f>
        <v>0</v>
      </c>
      <c r="BL832">
        <f>N(AD832)+N(AE832)+N(AF832)+N(AG832)+N(AH832)+N(AI832)+N(AJ832)+N(AK832)+N(AL832)+N(AM832)+N(AN832)+N(AO832)+N(AP832)+N(AQ832)+N(AR832)+N(AS832)+N(AT832)+N(AU832)+N(AW832)+N(AX832)+N(AY832)+N(BC832)+N(BE832)+N(BF832)+N(BH832)+N(BI832)+N(BJ832)</f>
        <v>0.33329999999999999</v>
      </c>
      <c r="BM832">
        <f>N(AZ832)+N(BA832)+N(BB832)+N(BD832)</f>
        <v>0</v>
      </c>
      <c r="BN832">
        <f>N(AV832)+N(BG832)</f>
        <v>0</v>
      </c>
      <c r="BO832">
        <f>IF($A832="","",IF(WEEKDAY($A832,2)=7,0,1))</f>
        <v>1</v>
      </c>
      <c r="BP832" s="37">
        <f>IF($F832="","",IFERROR(INDEX(Familias!$C$5:$C$300,MATCH($F832,Familias!$A$5:$A$300,0)),""))</f>
        <v>2280</v>
      </c>
      <c r="BQ832" s="37">
        <f>IF(AND($J832="",$K832=""),"",N($J832)+N($K832))</f>
        <v>16535</v>
      </c>
      <c r="BR832" s="36">
        <f>IF($A832="","",ROUND(N($B832),4))</f>
        <v>9</v>
      </c>
      <c r="BS832" s="36">
        <f>IF($A832="","",ROUND(SUM($AD832:$BJ832),4))</f>
        <v>0.33329999999999999</v>
      </c>
      <c r="BT832" s="36">
        <f>IF($A832="","",ROUND(MAX(0,$BR832-$BS832),4))</f>
        <v>8.6667000000000005</v>
      </c>
      <c r="BU832" s="36">
        <f>IF(OR($BQ832="",$BP832="",N($BP832)=0),"",ROUND($BQ832/$BP832,4))</f>
        <v>7.2522000000000002</v>
      </c>
      <c r="BV832" s="39">
        <f>IF(OR($BU832="",N($BT832)=0),"",$BU832/$BT832)</f>
        <v>0.83678908927273354</v>
      </c>
      <c r="BW832" s="39">
        <f>IF(N($BQ832)&gt;0,N($J832)/$BQ832,"")</f>
        <v>0.999395222255821</v>
      </c>
      <c r="BX832" s="40" t="str">
        <f>IF(N($M832)&gt;0,(N($P832)+N($O832)+N($R832))/$M832,"")</f>
        <v/>
      </c>
      <c r="BY832" s="40" t="str">
        <f>IF(N($M832)&gt;0,N($Q832)/$M832,"")</f>
        <v/>
      </c>
      <c r="BZ832" t="str">
        <f>IF($A832="","",IF($BO832=0,"Domingo",IF($AA832&lt;&gt;"Sí","Paradas no digitadas",IF($BQ832="",IF(N($BT832)&gt;0,"Sin producción","Parada total"),IF($F832="","Sin familia",IF($BP832="","Familia sin estándar",IF(AND($BV832&lt;&gt;"",N($BV832)&gt;1.1),"Revisar rendimiento","OK")))))))</f>
        <v>OK</v>
      </c>
      <c r="CA832">
        <f>IF(OR($BU832="",$BO832&lt;&gt;1,$AA832&lt;&gt;"Sí"),0,1)</f>
        <v>1</v>
      </c>
    </row>
    <row r="833" spans="1:80" x14ac:dyDescent="0.25">
      <c r="A833" s="35">
        <v>46302</v>
      </c>
      <c r="B833" s="36">
        <v>3</v>
      </c>
      <c r="C833" t="s">
        <v>119</v>
      </c>
      <c r="D833" t="s">
        <v>6</v>
      </c>
      <c r="E833" t="s">
        <v>147</v>
      </c>
      <c r="F833" t="s">
        <v>175</v>
      </c>
      <c r="G833">
        <v>6856</v>
      </c>
      <c r="H833">
        <v>2140110668</v>
      </c>
      <c r="I833" t="s">
        <v>181</v>
      </c>
      <c r="J833" s="37">
        <v>3650</v>
      </c>
      <c r="K833" s="37"/>
      <c r="L833">
        <v>2</v>
      </c>
      <c r="O833">
        <v>16</v>
      </c>
      <c r="P833">
        <v>6</v>
      </c>
      <c r="R833">
        <v>40</v>
      </c>
      <c r="V833" t="s">
        <v>120</v>
      </c>
      <c r="W833" t="s">
        <v>792</v>
      </c>
      <c r="Y833" s="67">
        <v>0.16666666666666652</v>
      </c>
      <c r="Z833" s="67">
        <v>0.29166666666666652</v>
      </c>
      <c r="AA833" t="s">
        <v>117</v>
      </c>
      <c r="AC833" t="s">
        <v>791</v>
      </c>
      <c r="AF833">
        <v>0.5</v>
      </c>
      <c r="AG833">
        <v>0.5</v>
      </c>
      <c r="BC833">
        <v>0.5</v>
      </c>
      <c r="BK833">
        <f>0</f>
        <v>0</v>
      </c>
      <c r="BL833">
        <f>N(AD833)+N(AE833)+N(AF833)+N(AG833)+N(AH833)+N(AI833)+N(AJ833)+N(AK833)+N(AL833)+N(AM833)+N(AN833)+N(AO833)+N(AP833)+N(AQ833)+N(AR833)+N(AS833)+N(AT833)+N(AU833)+N(AW833)+N(AX833)+N(AY833)+N(BC833)+N(BE833)+N(BF833)+N(BH833)+N(BI833)+N(BJ833)</f>
        <v>1.5</v>
      </c>
      <c r="BM833">
        <f>N(AZ833)+N(BA833)+N(BB833)+N(BD833)</f>
        <v>0</v>
      </c>
      <c r="BN833">
        <f>N(AV833)+N(BG833)</f>
        <v>0</v>
      </c>
      <c r="BO833">
        <f>IF($A833="","",IF(WEEKDAY($A833,2)=7,0,1))</f>
        <v>1</v>
      </c>
      <c r="BP833" s="37">
        <f>IF($F833="","",IFERROR(INDEX(Familias!$C$5:$C$300,MATCH($F833,Familias!$A$5:$A$300,0)),""))</f>
        <v>2370</v>
      </c>
      <c r="BQ833" s="37">
        <f>IF(AND($J833="",$K833=""),"",N($J833)+N($K833))</f>
        <v>3650</v>
      </c>
      <c r="BR833" s="36">
        <f>IF($A833="","",ROUND(N($B833),4))</f>
        <v>3</v>
      </c>
      <c r="BS833" s="36">
        <f>IF($A833="","",ROUND(SUM($AD833:$BJ833),4))</f>
        <v>1.5</v>
      </c>
      <c r="BT833" s="36">
        <f>IF($A833="","",ROUND(MAX(0,$BR833-$BS833),4))</f>
        <v>1.5</v>
      </c>
      <c r="BU833" s="36">
        <f>IF(OR($BQ833="",$BP833="",N($BP833)=0),"",ROUND($BQ833/$BP833,4))</f>
        <v>1.5401</v>
      </c>
      <c r="BV833" s="39">
        <f>IF(OR($BU833="",N($BT833)=0),"",$BU833/$BT833)</f>
        <v>1.0267333333333333</v>
      </c>
      <c r="BW833" s="39">
        <f>IF(N($BQ833)&gt;0,N($J833)/$BQ833,"")</f>
        <v>1</v>
      </c>
      <c r="BX833" s="40" t="str">
        <f>IF(N($M833)&gt;0,(N($P833)+N($O833)+N($R833))/$M833,"")</f>
        <v/>
      </c>
      <c r="BY833" s="40" t="str">
        <f>IF(N($M833)&gt;0,N($Q833)/$M833,"")</f>
        <v/>
      </c>
      <c r="BZ833" t="str">
        <f>IF($A833="","",IF($BO833=0,"Domingo",IF($AA833&lt;&gt;"Sí","Paradas no digitadas",IF($BQ833="",IF(N($BT833)&gt;0,"Sin producción","Parada total"),IF($F833="","Sin familia",IF($BP833="","Familia sin estándar",IF(AND($BV833&lt;&gt;"",N($BV833)&gt;1.1),"Revisar rendimiento","OK")))))))</f>
        <v>OK</v>
      </c>
      <c r="CA833">
        <f>IF(OR($BU833="",$BO833&lt;&gt;1,$AA833&lt;&gt;"Sí"),0,1)</f>
        <v>1</v>
      </c>
    </row>
    <row r="834" spans="1:80" x14ac:dyDescent="0.25">
      <c r="A834" s="35">
        <v>46304</v>
      </c>
      <c r="B834" s="36">
        <v>12</v>
      </c>
      <c r="C834" t="s">
        <v>113</v>
      </c>
      <c r="D834" t="s">
        <v>6</v>
      </c>
      <c r="E834" t="s">
        <v>147</v>
      </c>
      <c r="F834" t="s">
        <v>175</v>
      </c>
      <c r="G834">
        <v>6856</v>
      </c>
      <c r="H834">
        <v>2140110668</v>
      </c>
      <c r="I834" t="s">
        <v>181</v>
      </c>
      <c r="J834" s="37">
        <v>21700</v>
      </c>
      <c r="K834" s="37">
        <v>15</v>
      </c>
      <c r="L834">
        <v>11</v>
      </c>
      <c r="O834">
        <v>46</v>
      </c>
      <c r="P834">
        <v>31</v>
      </c>
      <c r="Q834">
        <v>45</v>
      </c>
      <c r="V834" t="s">
        <v>116</v>
      </c>
      <c r="W834" t="s">
        <v>224</v>
      </c>
      <c r="Y834" s="67">
        <v>0.29166666666666669</v>
      </c>
      <c r="Z834" s="67">
        <v>0.79166666666666674</v>
      </c>
      <c r="AA834" t="s">
        <v>117</v>
      </c>
      <c r="AC834" t="s">
        <v>789</v>
      </c>
      <c r="AD834">
        <v>0.66669999999999996</v>
      </c>
      <c r="AQ834">
        <v>0.16669999999999999</v>
      </c>
      <c r="BK834">
        <f>0</f>
        <v>0</v>
      </c>
      <c r="BL834">
        <f>N(AD834)+N(AE834)+N(AF834)+N(AG834)+N(AH834)+N(AI834)+N(AJ834)+N(AK834)+N(AL834)+N(AM834)+N(AN834)+N(AO834)+N(AP834)+N(AQ834)+N(AR834)+N(AS834)+N(AT834)+N(AU834)+N(AW834)+N(AX834)+N(AY834)+N(BC834)+N(BE834)+N(BF834)+N(BH834)+N(BI834)+N(BJ834)</f>
        <v>0.83339999999999992</v>
      </c>
      <c r="BM834">
        <f>N(AZ834)+N(BA834)+N(BB834)+N(BD834)</f>
        <v>0</v>
      </c>
      <c r="BN834">
        <f>N(AV834)+N(BG834)</f>
        <v>0</v>
      </c>
      <c r="BO834">
        <f>IF($A834="","",IF(WEEKDAY($A834,2)=7,0,1))</f>
        <v>1</v>
      </c>
      <c r="BP834" s="37">
        <f>IF($F834="","",IFERROR(INDEX(Familias!$C$5:$C$300,MATCH($F834,Familias!$A$5:$A$300,0)),""))</f>
        <v>2370</v>
      </c>
      <c r="BQ834" s="37">
        <f>IF(AND($J834="",$K834=""),"",N($J834)+N($K834))</f>
        <v>21715</v>
      </c>
      <c r="BR834" s="36">
        <f>IF($A834="","",ROUND(N($B834),4))</f>
        <v>12</v>
      </c>
      <c r="BS834" s="36">
        <f>IF($A834="","",ROUND(SUM($AD834:$BJ834),4))</f>
        <v>0.83340000000000003</v>
      </c>
      <c r="BT834" s="36">
        <f>IF($A834="","",ROUND(MAX(0,$BR834-$BS834),4))</f>
        <v>11.166600000000001</v>
      </c>
      <c r="BU834" s="36">
        <f>IF(OR($BQ834="",$BP834="",N($BP834)=0),"",ROUND($BQ834/$BP834,4))</f>
        <v>9.1623999999999999</v>
      </c>
      <c r="BV834" s="39">
        <f>IF(OR($BU834="",N($BT834)=0),"",$BU834/$BT834)</f>
        <v>0.82051833145272501</v>
      </c>
      <c r="BW834" s="39">
        <f>IF(N($BQ834)&gt;0,N($J834)/$BQ834,"")</f>
        <v>0.9993092332489063</v>
      </c>
      <c r="BX834" s="40" t="str">
        <f>IF(N($M834)&gt;0,(N($P834)+N($O834)+N($R834))/$M834,"")</f>
        <v/>
      </c>
      <c r="BY834" s="40" t="str">
        <f>IF(N($M834)&gt;0,N($Q834)/$M834,"")</f>
        <v/>
      </c>
      <c r="BZ834" t="str">
        <f>IF($A834="","",IF($BO834=0,"Domingo",IF($AA834&lt;&gt;"Sí","Paradas no digitadas",IF($BQ834="",IF(N($BT834)&gt;0,"Sin producción","Parada total"),IF($F834="","Sin familia",IF($BP834="","Familia sin estándar",IF(AND($BV834&lt;&gt;"",N($BV834)&gt;1.1),"Revisar rendimiento","OK")))))))</f>
        <v>OK</v>
      </c>
      <c r="CA834">
        <f>IF(OR($BU834="",$BO834&lt;&gt;1,$AA834&lt;&gt;"Sí"),0,1)</f>
        <v>1</v>
      </c>
    </row>
    <row r="835" spans="1:80" x14ac:dyDescent="0.25">
      <c r="A835" s="35">
        <v>46304</v>
      </c>
      <c r="B835" s="36">
        <v>2</v>
      </c>
      <c r="C835" t="s">
        <v>119</v>
      </c>
      <c r="D835" t="s">
        <v>6</v>
      </c>
      <c r="E835" t="s">
        <v>147</v>
      </c>
      <c r="F835" t="s">
        <v>175</v>
      </c>
      <c r="G835">
        <v>6856</v>
      </c>
      <c r="H835">
        <v>2140110668</v>
      </c>
      <c r="I835" t="s">
        <v>181</v>
      </c>
      <c r="J835" s="37">
        <v>4650</v>
      </c>
      <c r="K835" s="37">
        <v>5</v>
      </c>
      <c r="L835">
        <v>3</v>
      </c>
      <c r="O835">
        <v>39</v>
      </c>
      <c r="P835">
        <v>9</v>
      </c>
      <c r="V835" t="s">
        <v>120</v>
      </c>
      <c r="W835" t="s">
        <v>792</v>
      </c>
      <c r="Y835" s="67">
        <v>0.79166666666666663</v>
      </c>
      <c r="Z835" s="67">
        <v>0.87500000000000011</v>
      </c>
      <c r="AA835" t="s">
        <v>117</v>
      </c>
      <c r="AC835" t="s">
        <v>791</v>
      </c>
      <c r="BI835">
        <v>0.16669999999999999</v>
      </c>
      <c r="BK835">
        <f>0</f>
        <v>0</v>
      </c>
      <c r="BL835">
        <f>N(AD835)+N(AE835)+N(AF835)+N(AG835)+N(AH835)+N(AI835)+N(AJ835)+N(AK835)+N(AL835)+N(AM835)+N(AN835)+N(AO835)+N(AP835)+N(AQ835)+N(AR835)+N(AS835)+N(AT835)+N(AU835)+N(AW835)+N(AX835)+N(AY835)+N(BC835)+N(BE835)+N(BF835)+N(BH835)+N(BI835)+N(BJ835)</f>
        <v>0.16669999999999999</v>
      </c>
      <c r="BM835">
        <f>N(AZ835)+N(BA835)+N(BB835)+N(BD835)</f>
        <v>0</v>
      </c>
      <c r="BN835">
        <f>N(AV835)+N(BG835)</f>
        <v>0</v>
      </c>
      <c r="BO835">
        <f>IF($A835="","",IF(WEEKDAY($A835,2)=7,0,1))</f>
        <v>1</v>
      </c>
      <c r="BP835" s="37">
        <f>IF($F835="","",IFERROR(INDEX(Familias!$C$5:$C$300,MATCH($F835,Familias!$A$5:$A$300,0)),""))</f>
        <v>2370</v>
      </c>
      <c r="BQ835" s="37">
        <f>IF(AND($J835="",$K835=""),"",N($J835)+N($K835))</f>
        <v>4655</v>
      </c>
      <c r="BR835" s="36">
        <f>IF($A835="","",ROUND(N($B835),4))</f>
        <v>2</v>
      </c>
      <c r="BS835" s="36">
        <f>IF($A835="","",ROUND(SUM($AD835:$BJ835),4))</f>
        <v>0.16669999999999999</v>
      </c>
      <c r="BT835" s="36">
        <f>IF($A835="","",ROUND(MAX(0,$BR835-$BS835),4))</f>
        <v>1.8332999999999999</v>
      </c>
      <c r="BU835" s="36">
        <f>IF(OR($BQ835="",$BP835="",N($BP835)=0),"",ROUND($BQ835/$BP835,4))</f>
        <v>1.9641</v>
      </c>
      <c r="BV835" s="39">
        <f>IF(OR($BU835="",N($BT835)=0),"",$BU835/$BT835)</f>
        <v>1.0713467517591229</v>
      </c>
      <c r="BW835" s="39">
        <f>IF(N($BQ835)&gt;0,N($J835)/$BQ835,"")</f>
        <v>0.9989258861439313</v>
      </c>
      <c r="BX835" s="40" t="str">
        <f>IF(N($M835)&gt;0,(N($P835)+N($O835)+N($R835))/$M835,"")</f>
        <v/>
      </c>
      <c r="BY835" s="40" t="str">
        <f>IF(N($M835)&gt;0,N($Q835)/$M835,"")</f>
        <v/>
      </c>
      <c r="BZ835" t="str">
        <f>IF($A835="","",IF($BO835=0,"Domingo",IF($AA835&lt;&gt;"Sí","Paradas no digitadas",IF($BQ835="",IF(N($BT835)&gt;0,"Sin producción","Parada total"),IF($F835="","Sin familia",IF($BP835="","Familia sin estándar",IF(AND($BV835&lt;&gt;"",N($BV835)&gt;1.1),"Revisar rendimiento","OK")))))))</f>
        <v>OK</v>
      </c>
      <c r="CA835">
        <f>IF(OR($BU835="",$BO835&lt;&gt;1,$AA835&lt;&gt;"Sí"),0,1)</f>
        <v>1</v>
      </c>
    </row>
    <row r="836" spans="1:80" x14ac:dyDescent="0.25">
      <c r="A836" s="35">
        <v>46304</v>
      </c>
      <c r="B836" s="36">
        <v>10</v>
      </c>
      <c r="C836" t="s">
        <v>119</v>
      </c>
      <c r="D836" t="s">
        <v>6</v>
      </c>
      <c r="E836" t="s">
        <v>147</v>
      </c>
      <c r="F836" t="s">
        <v>175</v>
      </c>
      <c r="G836">
        <v>6897</v>
      </c>
      <c r="H836">
        <v>2140110671</v>
      </c>
      <c r="I836" t="s">
        <v>180</v>
      </c>
      <c r="J836" s="37">
        <v>17400</v>
      </c>
      <c r="K836" s="37"/>
      <c r="L836">
        <v>9</v>
      </c>
      <c r="P836">
        <v>27</v>
      </c>
      <c r="V836" t="s">
        <v>120</v>
      </c>
      <c r="W836" t="s">
        <v>792</v>
      </c>
      <c r="Y836" s="67">
        <v>0.87500000000000011</v>
      </c>
      <c r="Z836" s="67">
        <v>0.29166666666666652</v>
      </c>
      <c r="AA836" t="s">
        <v>117</v>
      </c>
      <c r="AC836" t="s">
        <v>791</v>
      </c>
      <c r="AQ836">
        <v>0.16669999999999999</v>
      </c>
      <c r="BJ836">
        <v>0.25</v>
      </c>
      <c r="BK836">
        <f>0</f>
        <v>0</v>
      </c>
      <c r="BL836">
        <f>N(AD836)+N(AE836)+N(AF836)+N(AG836)+N(AH836)+N(AI836)+N(AJ836)+N(AK836)+N(AL836)+N(AM836)+N(AN836)+N(AO836)+N(AP836)+N(AQ836)+N(AR836)+N(AS836)+N(AT836)+N(AU836)+N(AW836)+N(AX836)+N(AY836)+N(BC836)+N(BE836)+N(BF836)+N(BH836)+N(BI836)+N(BJ836)</f>
        <v>0.41669999999999996</v>
      </c>
      <c r="BM836">
        <f>N(AZ836)+N(BA836)+N(BB836)+N(BD836)</f>
        <v>0</v>
      </c>
      <c r="BN836">
        <f>N(AV836)+N(BG836)</f>
        <v>0</v>
      </c>
      <c r="BO836">
        <f>IF($A836="","",IF(WEEKDAY($A836,2)=7,0,1))</f>
        <v>1</v>
      </c>
      <c r="BP836" s="37">
        <f>IF($F836="","",IFERROR(INDEX(Familias!$C$5:$C$300,MATCH($F836,Familias!$A$5:$A$300,0)),""))</f>
        <v>2370</v>
      </c>
      <c r="BQ836" s="37">
        <f>IF(AND($J836="",$K836=""),"",N($J836)+N($K836))</f>
        <v>17400</v>
      </c>
      <c r="BR836" s="36">
        <f>IF($A836="","",ROUND(N($B836),4))</f>
        <v>10</v>
      </c>
      <c r="BS836" s="36">
        <f>IF($A836="","",ROUND(SUM($AD836:$BJ836),4))</f>
        <v>0.41670000000000001</v>
      </c>
      <c r="BT836" s="36">
        <f>IF($A836="","",ROUND(MAX(0,$BR836-$BS836),4))</f>
        <v>9.5832999999999995</v>
      </c>
      <c r="BU836" s="36">
        <f>IF(OR($BQ836="",$BP836="",N($BP836)=0),"",ROUND($BQ836/$BP836,4))</f>
        <v>7.3418000000000001</v>
      </c>
      <c r="BV836" s="39">
        <f>IF(OR($BU836="",N($BT836)=0),"",$BU836/$BT836)</f>
        <v>0.76610353427316269</v>
      </c>
      <c r="BW836" s="39">
        <f>IF(N($BQ836)&gt;0,N($J836)/$BQ836,"")</f>
        <v>1</v>
      </c>
      <c r="BX836" s="40" t="str">
        <f>IF(N($M836)&gt;0,(N($P836)+N($O836)+N($R836))/$M836,"")</f>
        <v/>
      </c>
      <c r="BY836" s="40" t="str">
        <f>IF(N($M836)&gt;0,N($Q836)/$M836,"")</f>
        <v/>
      </c>
      <c r="BZ836" t="str">
        <f>IF($A836="","",IF($BO836=0,"Domingo",IF($AA836&lt;&gt;"Sí","Paradas no digitadas",IF($BQ836="",IF(N($BT836)&gt;0,"Sin producción","Parada total"),IF($F836="","Sin familia",IF($BP836="","Familia sin estándar",IF(AND($BV836&lt;&gt;"",N($BV836)&gt;1.1),"Revisar rendimiento","OK")))))))</f>
        <v>OK</v>
      </c>
      <c r="CA836">
        <f>IF(OR($BU836="",$BO836&lt;&gt;1,$AA836&lt;&gt;"Sí"),0,1)</f>
        <v>1</v>
      </c>
    </row>
    <row r="837" spans="1:80" x14ac:dyDescent="0.25">
      <c r="A837" s="35">
        <v>46305</v>
      </c>
      <c r="B837" s="36">
        <v>12</v>
      </c>
      <c r="C837" t="s">
        <v>113</v>
      </c>
      <c r="D837" t="s">
        <v>6</v>
      </c>
      <c r="E837" t="s">
        <v>147</v>
      </c>
      <c r="F837" t="s">
        <v>175</v>
      </c>
      <c r="G837">
        <v>6897</v>
      </c>
      <c r="H837">
        <v>2140110671</v>
      </c>
      <c r="I837" t="s">
        <v>180</v>
      </c>
      <c r="J837" s="37">
        <v>19325</v>
      </c>
      <c r="K837" s="37">
        <v>20</v>
      </c>
      <c r="L837">
        <v>10</v>
      </c>
      <c r="O837">
        <v>70</v>
      </c>
      <c r="P837">
        <v>22</v>
      </c>
      <c r="Q837">
        <v>88</v>
      </c>
      <c r="V837" t="s">
        <v>116</v>
      </c>
      <c r="W837" t="s">
        <v>224</v>
      </c>
      <c r="Y837" s="67">
        <v>0.29166666666666669</v>
      </c>
      <c r="Z837" s="67">
        <v>0.79166666666666674</v>
      </c>
      <c r="AA837" t="s">
        <v>117</v>
      </c>
      <c r="AC837" t="s">
        <v>789</v>
      </c>
      <c r="AJ837">
        <v>0.16669999999999999</v>
      </c>
      <c r="AO837">
        <v>0.83330000000000004</v>
      </c>
      <c r="AQ837">
        <v>0.25</v>
      </c>
      <c r="AR837">
        <v>0.75</v>
      </c>
      <c r="BI837">
        <v>0.33329999999999999</v>
      </c>
      <c r="BK837">
        <f>0</f>
        <v>0</v>
      </c>
      <c r="BL837">
        <f>N(AD837)+N(AE837)+N(AF837)+N(AG837)+N(AH837)+N(AI837)+N(AJ837)+N(AK837)+N(AL837)+N(AM837)+N(AN837)+N(AO837)+N(AP837)+N(AQ837)+N(AR837)+N(AS837)+N(AT837)+N(AU837)+N(AW837)+N(AX837)+N(AY837)+N(BC837)+N(BE837)+N(BF837)+N(BH837)+N(BI837)+N(BJ837)</f>
        <v>2.3332999999999999</v>
      </c>
      <c r="BM837">
        <f>N(AZ837)+N(BA837)+N(BB837)+N(BD837)</f>
        <v>0</v>
      </c>
      <c r="BN837">
        <f>N(AV837)+N(BG837)</f>
        <v>0</v>
      </c>
      <c r="BO837">
        <f>IF($A837="","",IF(WEEKDAY($A837,2)=7,0,1))</f>
        <v>1</v>
      </c>
      <c r="BP837" s="37">
        <f>IF($F837="","",IFERROR(INDEX(Familias!$C$5:$C$300,MATCH($F837,Familias!$A$5:$A$300,0)),""))</f>
        <v>2370</v>
      </c>
      <c r="BQ837" s="37">
        <f>IF(AND($J837="",$K837=""),"",N($J837)+N($K837))</f>
        <v>19345</v>
      </c>
      <c r="BR837" s="36">
        <f>IF($A837="","",ROUND(N($B837),4))</f>
        <v>12</v>
      </c>
      <c r="BS837" s="36">
        <f>IF($A837="","",ROUND(SUM($AD837:$BJ837),4))</f>
        <v>2.3332999999999999</v>
      </c>
      <c r="BT837" s="36">
        <f>IF($A837="","",ROUND(MAX(0,$BR837-$BS837),4))</f>
        <v>9.6667000000000005</v>
      </c>
      <c r="BU837" s="36">
        <f>IF(OR($BQ837="",$BP837="",N($BP837)=0),"",ROUND($BQ837/$BP837,4))</f>
        <v>8.1623999999999999</v>
      </c>
      <c r="BV837" s="39">
        <f>IF(OR($BU837="",N($BT837)=0),"",$BU837/$BT837)</f>
        <v>0.84438329523001643</v>
      </c>
      <c r="BW837" s="39">
        <f>IF(N($BQ837)&gt;0,N($J837)/$BQ837,"")</f>
        <v>0.99896614112173687</v>
      </c>
      <c r="BX837" s="40" t="str">
        <f>IF(N($M837)&gt;0,(N($P837)+N($O837)+N($R837))/$M837,"")</f>
        <v/>
      </c>
      <c r="BY837" s="40" t="str">
        <f>IF(N($M837)&gt;0,N($Q837)/$M837,"")</f>
        <v/>
      </c>
      <c r="BZ837" t="str">
        <f>IF($A837="","",IF($BO837=0,"Domingo",IF($AA837&lt;&gt;"Sí","Paradas no digitadas",IF($BQ837="",IF(N($BT837)&gt;0,"Sin producción","Parada total"),IF($F837="","Sin familia",IF($BP837="","Familia sin estándar",IF(AND($BV837&lt;&gt;"",N($BV837)&gt;1.1),"Revisar rendimiento","OK")))))))</f>
        <v>OK</v>
      </c>
      <c r="CA837">
        <f>IF(OR($BU837="",$BO837&lt;&gt;1,$AA837&lt;&gt;"Sí"),0,1)</f>
        <v>1</v>
      </c>
    </row>
    <row r="838" spans="1:80" x14ac:dyDescent="0.25">
      <c r="A838" s="35">
        <v>46305</v>
      </c>
      <c r="B838" s="36">
        <v>12</v>
      </c>
      <c r="C838" t="s">
        <v>119</v>
      </c>
      <c r="D838" t="s">
        <v>6</v>
      </c>
      <c r="E838" t="s">
        <v>147</v>
      </c>
      <c r="F838" t="s">
        <v>175</v>
      </c>
      <c r="G838">
        <v>6897</v>
      </c>
      <c r="H838">
        <v>2140110671</v>
      </c>
      <c r="I838" t="s">
        <v>180</v>
      </c>
      <c r="J838" s="37">
        <v>15300</v>
      </c>
      <c r="K838" s="37">
        <v>10</v>
      </c>
      <c r="L838">
        <v>8</v>
      </c>
      <c r="O838">
        <v>45</v>
      </c>
      <c r="P838">
        <v>18</v>
      </c>
      <c r="Q838">
        <v>86</v>
      </c>
      <c r="V838" t="s">
        <v>120</v>
      </c>
      <c r="W838" t="s">
        <v>792</v>
      </c>
      <c r="Y838" s="67">
        <v>0.79166666666666663</v>
      </c>
      <c r="Z838" s="67">
        <v>0.29166666666666652</v>
      </c>
      <c r="AA838" t="s">
        <v>117</v>
      </c>
      <c r="AC838" t="s">
        <v>789</v>
      </c>
      <c r="AG838">
        <v>0.58330000000000004</v>
      </c>
      <c r="AR838">
        <v>0.75</v>
      </c>
      <c r="BC838">
        <v>1.4167000000000001</v>
      </c>
      <c r="BI838">
        <v>0.25</v>
      </c>
      <c r="BK838">
        <f>0</f>
        <v>0</v>
      </c>
      <c r="BL838">
        <f>N(AD838)+N(AE838)+N(AF838)+N(AG838)+N(AH838)+N(AI838)+N(AJ838)+N(AK838)+N(AL838)+N(AM838)+N(AN838)+N(AO838)+N(AP838)+N(AQ838)+N(AR838)+N(AS838)+N(AT838)+N(AU838)+N(AW838)+N(AX838)+N(AY838)+N(BC838)+N(BE838)+N(BF838)+N(BH838)+N(BI838)+N(BJ838)</f>
        <v>3</v>
      </c>
      <c r="BM838">
        <f>N(AZ838)+N(BA838)+N(BB838)+N(BD838)</f>
        <v>0</v>
      </c>
      <c r="BN838">
        <f>N(AV838)+N(BG838)</f>
        <v>0</v>
      </c>
      <c r="BO838">
        <f>IF($A838="","",IF(WEEKDAY($A838,2)=7,0,1))</f>
        <v>1</v>
      </c>
      <c r="BP838" s="37">
        <f>IF($F838="","",IFERROR(INDEX(Familias!$C$5:$C$300,MATCH($F838,Familias!$A$5:$A$300,0)),""))</f>
        <v>2370</v>
      </c>
      <c r="BQ838" s="37">
        <f>IF(AND($J838="",$K838=""),"",N($J838)+N($K838))</f>
        <v>15310</v>
      </c>
      <c r="BR838" s="36">
        <f>IF($A838="","",ROUND(N($B838),4))</f>
        <v>12</v>
      </c>
      <c r="BS838" s="36">
        <f>IF($A838="","",ROUND(SUM($AD838:$BJ838),4))</f>
        <v>3</v>
      </c>
      <c r="BT838" s="36">
        <f>IF($A838="","",ROUND(MAX(0,$BR838-$BS838),4))</f>
        <v>9</v>
      </c>
      <c r="BU838" s="36">
        <f>IF(OR($BQ838="",$BP838="",N($BP838)=0),"",ROUND($BQ838/$BP838,4))</f>
        <v>6.4599000000000002</v>
      </c>
      <c r="BV838" s="39">
        <f>IF(OR($BU838="",N($BT838)=0),"",$BU838/$BT838)</f>
        <v>0.71776666666666666</v>
      </c>
      <c r="BW838" s="39">
        <f>IF(N($BQ838)&gt;0,N($J838)/$BQ838,"")</f>
        <v>0.99934683213585895</v>
      </c>
      <c r="BX838" s="40" t="str">
        <f>IF(N($M838)&gt;0,(N($P838)+N($O838)+N($R838))/$M838,"")</f>
        <v/>
      </c>
      <c r="BY838" s="40" t="str">
        <f>IF(N($M838)&gt;0,N($Q838)/$M838,"")</f>
        <v/>
      </c>
      <c r="BZ838" t="str">
        <f>IF($A838="","",IF($BO838=0,"Domingo",IF($AA838&lt;&gt;"Sí","Paradas no digitadas",IF($BQ838="",IF(N($BT838)&gt;0,"Sin producción","Parada total"),IF($F838="","Sin familia",IF($BP838="","Familia sin estándar",IF(AND($BV838&lt;&gt;"",N($BV838)&gt;1.1),"Revisar rendimiento","OK")))))))</f>
        <v>OK</v>
      </c>
      <c r="CA838">
        <f>IF(OR($BU838="",$BO838&lt;&gt;1,$AA838&lt;&gt;"Sí"),0,1)</f>
        <v>1</v>
      </c>
    </row>
    <row r="839" spans="1:80" x14ac:dyDescent="0.25">
      <c r="A839" s="35">
        <v>46296</v>
      </c>
      <c r="B839" s="36">
        <v>12</v>
      </c>
      <c r="C839" t="s">
        <v>113</v>
      </c>
      <c r="D839" t="s">
        <v>6</v>
      </c>
      <c r="E839" t="s">
        <v>126</v>
      </c>
      <c r="F839" t="s">
        <v>191</v>
      </c>
      <c r="G839">
        <v>6714</v>
      </c>
      <c r="H839">
        <v>2140110747</v>
      </c>
      <c r="I839" t="s">
        <v>267</v>
      </c>
      <c r="J839" s="37">
        <v>31750</v>
      </c>
      <c r="K839" s="37"/>
      <c r="L839">
        <v>10</v>
      </c>
      <c r="O839">
        <v>39</v>
      </c>
      <c r="P839">
        <v>30</v>
      </c>
      <c r="V839" t="s">
        <v>120</v>
      </c>
      <c r="W839" t="s">
        <v>792</v>
      </c>
      <c r="Y839" s="67">
        <v>0.29166666666666669</v>
      </c>
      <c r="Z839" s="67">
        <v>0.79166666666666674</v>
      </c>
      <c r="AA839" t="s">
        <v>117</v>
      </c>
      <c r="AC839" t="s">
        <v>789</v>
      </c>
      <c r="AM839">
        <v>0.66669999999999996</v>
      </c>
      <c r="AQ839">
        <v>0.25</v>
      </c>
      <c r="BI839">
        <v>0.33329999999999999</v>
      </c>
      <c r="BK839">
        <f>0</f>
        <v>0</v>
      </c>
      <c r="BL839">
        <f>N(AD839)+N(AE839)+N(AF839)+N(AG839)+N(AH839)+N(AI839)+N(AJ839)+N(AK839)+N(AL839)+N(AM839)+N(AN839)+N(AO839)+N(AP839)+N(AQ839)+N(AR839)+N(AS839)+N(AT839)+N(AU839)+N(AW839)+N(AX839)+N(AY839)+N(BC839)+N(BE839)+N(BF839)+N(BH839)+N(BI839)+N(BJ839)</f>
        <v>1.25</v>
      </c>
      <c r="BM839">
        <f>N(AZ839)+N(BA839)+N(BB839)+N(BD839)</f>
        <v>0</v>
      </c>
      <c r="BN839">
        <f>N(AV839)+N(BG839)</f>
        <v>0</v>
      </c>
      <c r="BO839">
        <f>IF($A839="","",IF(WEEKDAY($A839,2)=7,0,1))</f>
        <v>1</v>
      </c>
      <c r="BP839" s="37">
        <f>IF($F839="","",IFERROR(INDEX(Familias!$C$5:$C$300,MATCH($F839,Familias!$A$5:$A$300,0)),""))</f>
        <v>3710</v>
      </c>
      <c r="BQ839" s="37">
        <f>IF(AND($J839="",$K839=""),"",N($J839)+N($K839))</f>
        <v>31750</v>
      </c>
      <c r="BR839" s="36">
        <f>IF($A839="","",ROUND(N($B839),4))</f>
        <v>12</v>
      </c>
      <c r="BS839" s="36">
        <f>IF($A839="","",ROUND(SUM($AD839:$BJ839),4))</f>
        <v>1.25</v>
      </c>
      <c r="BT839" s="36">
        <f>IF($A839="","",ROUND(MAX(0,$BR839-$BS839),4))</f>
        <v>10.75</v>
      </c>
      <c r="BU839" s="36">
        <f>IF(OR($BQ839="",$BP839="",N($BP839)=0),"",ROUND($BQ839/$BP839,4))</f>
        <v>8.5579999999999998</v>
      </c>
      <c r="BV839" s="39">
        <f>IF(OR($BU839="",N($BT839)=0),"",$BU839/$BT839)</f>
        <v>0.79609302325581399</v>
      </c>
      <c r="BW839" s="39">
        <f>IF(N($BQ839)&gt;0,N($J839)/$BQ839,"")</f>
        <v>1</v>
      </c>
      <c r="BX839" s="40" t="str">
        <f>IF(N($M839)&gt;0,(N($P839)+N($O839)+N($R839))/$M839,"")</f>
        <v/>
      </c>
      <c r="BY839" s="40" t="str">
        <f>IF(N($M839)&gt;0,N($Q839)/$M839,"")</f>
        <v/>
      </c>
      <c r="BZ839" t="str">
        <f>IF($A839="","",IF($BO839=0,"Domingo",IF($AA839&lt;&gt;"Sí","Paradas no digitadas",IF($BQ839="",IF(N($BT839)&gt;0,"Sin producción","Parada total"),IF($F839="","Sin familia",IF($BP839="","Familia sin estándar",IF(AND($BV839&lt;&gt;"",N($BV839)&gt;1.1),"Revisar rendimiento","OK")))))))</f>
        <v>OK</v>
      </c>
      <c r="CA839">
        <f>IF(OR($BU839="",$BO839&lt;&gt;1,$AA839&lt;&gt;"Sí"),0,1)</f>
        <v>1</v>
      </c>
    </row>
    <row r="840" spans="1:80" x14ac:dyDescent="0.25">
      <c r="A840" s="35">
        <v>46296</v>
      </c>
      <c r="B840" s="36">
        <v>12</v>
      </c>
      <c r="C840" t="s">
        <v>119</v>
      </c>
      <c r="D840" t="s">
        <v>6</v>
      </c>
      <c r="E840" t="s">
        <v>126</v>
      </c>
      <c r="F840" t="s">
        <v>191</v>
      </c>
      <c r="G840">
        <v>6714</v>
      </c>
      <c r="H840">
        <v>2140110747</v>
      </c>
      <c r="I840" t="s">
        <v>267</v>
      </c>
      <c r="J840" s="37">
        <v>37550</v>
      </c>
      <c r="K840" s="37">
        <v>10</v>
      </c>
      <c r="L840">
        <v>13</v>
      </c>
      <c r="O840">
        <v>23</v>
      </c>
      <c r="P840">
        <v>38</v>
      </c>
      <c r="Q840">
        <v>65</v>
      </c>
      <c r="V840" t="s">
        <v>116</v>
      </c>
      <c r="W840" t="s">
        <v>224</v>
      </c>
      <c r="Y840" s="67">
        <v>0.79166666666666663</v>
      </c>
      <c r="Z840" s="67">
        <v>0.29166666666666652</v>
      </c>
      <c r="AA840" t="s">
        <v>117</v>
      </c>
      <c r="AC840" t="s">
        <v>789</v>
      </c>
      <c r="AQ840">
        <v>0.16669999999999999</v>
      </c>
      <c r="BI840">
        <v>0.33329999999999999</v>
      </c>
      <c r="BK840">
        <f>0</f>
        <v>0</v>
      </c>
      <c r="BL840">
        <f>N(AD840)+N(AE840)+N(AF840)+N(AG840)+N(AH840)+N(AI840)+N(AJ840)+N(AK840)+N(AL840)+N(AM840)+N(AN840)+N(AO840)+N(AP840)+N(AQ840)+N(AR840)+N(AS840)+N(AT840)+N(AU840)+N(AW840)+N(AX840)+N(AY840)+N(BC840)+N(BE840)+N(BF840)+N(BH840)+N(BI840)+N(BJ840)</f>
        <v>0.5</v>
      </c>
      <c r="BM840">
        <f>N(AZ840)+N(BA840)+N(BB840)+N(BD840)</f>
        <v>0</v>
      </c>
      <c r="BN840">
        <f>N(AV840)+N(BG840)</f>
        <v>0</v>
      </c>
      <c r="BO840">
        <f>IF($A840="","",IF(WEEKDAY($A840,2)=7,0,1))</f>
        <v>1</v>
      </c>
      <c r="BP840" s="37">
        <f>IF($F840="","",IFERROR(INDEX(Familias!$C$5:$C$300,MATCH($F840,Familias!$A$5:$A$300,0)),""))</f>
        <v>3710</v>
      </c>
      <c r="BQ840" s="37">
        <f>IF(AND($J840="",$K840=""),"",N($J840)+N($K840))</f>
        <v>37560</v>
      </c>
      <c r="BR840" s="36">
        <f>IF($A840="","",ROUND(N($B840),4))</f>
        <v>12</v>
      </c>
      <c r="BS840" s="36">
        <f>IF($A840="","",ROUND(SUM($AD840:$BJ840),4))</f>
        <v>0.5</v>
      </c>
      <c r="BT840" s="36">
        <f>IF($A840="","",ROUND(MAX(0,$BR840-$BS840),4))</f>
        <v>11.5</v>
      </c>
      <c r="BU840" s="36">
        <f>IF(OR($BQ840="",$BP840="",N($BP840)=0),"",ROUND($BQ840/$BP840,4))</f>
        <v>10.124000000000001</v>
      </c>
      <c r="BV840" s="39">
        <f>IF(OR($BU840="",N($BT840)=0),"",$BU840/$BT840)</f>
        <v>0.88034782608695661</v>
      </c>
      <c r="BW840" s="39">
        <f>IF(N($BQ840)&gt;0,N($J840)/$BQ840,"")</f>
        <v>0.9997337593184239</v>
      </c>
      <c r="BX840" s="40" t="str">
        <f>IF(N($M840)&gt;0,(N($P840)+N($O840)+N($R840))/$M840,"")</f>
        <v/>
      </c>
      <c r="BY840" s="40" t="str">
        <f>IF(N($M840)&gt;0,N($Q840)/$M840,"")</f>
        <v/>
      </c>
      <c r="BZ840" t="str">
        <f>IF($A840="","",IF($BO840=0,"Domingo",IF($AA840&lt;&gt;"Sí","Paradas no digitadas",IF($BQ840="",IF(N($BT840)&gt;0,"Sin producción","Parada total"),IF($F840="","Sin familia",IF($BP840="","Familia sin estándar",IF(AND($BV840&lt;&gt;"",N($BV840)&gt;1.1),"Revisar rendimiento","OK")))))))</f>
        <v>OK</v>
      </c>
      <c r="CA840">
        <f>IF(OR($BU840="",$BO840&lt;&gt;1,$AA840&lt;&gt;"Sí"),0,1)</f>
        <v>1</v>
      </c>
    </row>
    <row r="841" spans="1:80" x14ac:dyDescent="0.25">
      <c r="A841" s="35">
        <v>46297</v>
      </c>
      <c r="B841" s="36">
        <v>12</v>
      </c>
      <c r="C841" t="s">
        <v>113</v>
      </c>
      <c r="D841" t="s">
        <v>6</v>
      </c>
      <c r="E841" t="s">
        <v>126</v>
      </c>
      <c r="F841" t="s">
        <v>191</v>
      </c>
      <c r="G841">
        <v>6714</v>
      </c>
      <c r="H841">
        <v>2140110747</v>
      </c>
      <c r="I841" t="s">
        <v>267</v>
      </c>
      <c r="J841" s="37">
        <v>37050</v>
      </c>
      <c r="K841" s="37">
        <v>5</v>
      </c>
      <c r="L841">
        <v>12</v>
      </c>
      <c r="O841">
        <v>40</v>
      </c>
      <c r="P841">
        <v>33</v>
      </c>
      <c r="Q841">
        <v>88</v>
      </c>
      <c r="V841" t="s">
        <v>120</v>
      </c>
      <c r="W841" t="s">
        <v>792</v>
      </c>
      <c r="Y841" s="67">
        <v>0.29166666666666669</v>
      </c>
      <c r="Z841" s="67">
        <v>0.79166666666666674</v>
      </c>
      <c r="AA841" t="s">
        <v>117</v>
      </c>
      <c r="AC841" t="s">
        <v>789</v>
      </c>
      <c r="AQ841">
        <v>0.16669999999999999</v>
      </c>
      <c r="BI841">
        <v>0.33329999999999999</v>
      </c>
      <c r="BK841">
        <f>0</f>
        <v>0</v>
      </c>
      <c r="BL841">
        <f>N(AD841)+N(AE841)+N(AF841)+N(AG841)+N(AH841)+N(AI841)+N(AJ841)+N(AK841)+N(AL841)+N(AM841)+N(AN841)+N(AO841)+N(AP841)+N(AQ841)+N(AR841)+N(AS841)+N(AT841)+N(AU841)+N(AW841)+N(AX841)+N(AY841)+N(BC841)+N(BE841)+N(BF841)+N(BH841)+N(BI841)+N(BJ841)</f>
        <v>0.5</v>
      </c>
      <c r="BM841">
        <f>N(AZ841)+N(BA841)+N(BB841)+N(BD841)</f>
        <v>0</v>
      </c>
      <c r="BN841">
        <f>N(AV841)+N(BG841)</f>
        <v>0</v>
      </c>
      <c r="BO841">
        <f>IF($A841="","",IF(WEEKDAY($A841,2)=7,0,1))</f>
        <v>1</v>
      </c>
      <c r="BP841" s="37">
        <f>IF($F841="","",IFERROR(INDEX(Familias!$C$5:$C$300,MATCH($F841,Familias!$A$5:$A$300,0)),""))</f>
        <v>3710</v>
      </c>
      <c r="BQ841" s="37">
        <f>IF(AND($J841="",$K841=""),"",N($J841)+N($K841))</f>
        <v>37055</v>
      </c>
      <c r="BR841" s="36">
        <f>IF($A841="","",ROUND(N($B841),4))</f>
        <v>12</v>
      </c>
      <c r="BS841" s="36">
        <f>IF($A841="","",ROUND(SUM($AD841:$BJ841),4))</f>
        <v>0.5</v>
      </c>
      <c r="BT841" s="36">
        <f>IF($A841="","",ROUND(MAX(0,$BR841-$BS841),4))</f>
        <v>11.5</v>
      </c>
      <c r="BU841" s="36">
        <f>IF(OR($BQ841="",$BP841="",N($BP841)=0),"",ROUND($BQ841/$BP841,4))</f>
        <v>9.9878999999999998</v>
      </c>
      <c r="BV841" s="39">
        <f>IF(OR($BU841="",N($BT841)=0),"",$BU841/$BT841)</f>
        <v>0.86851304347826086</v>
      </c>
      <c r="BW841" s="39">
        <f>IF(N($BQ841)&gt;0,N($J841)/$BQ841,"")</f>
        <v>0.99986506544326004</v>
      </c>
      <c r="BX841" s="40" t="str">
        <f>IF(N($M841)&gt;0,(N($P841)+N($O841)+N($R841))/$M841,"")</f>
        <v/>
      </c>
      <c r="BY841" s="40" t="str">
        <f>IF(N($M841)&gt;0,N($Q841)/$M841,"")</f>
        <v/>
      </c>
      <c r="BZ841" t="str">
        <f>IF($A841="","",IF($BO841=0,"Domingo",IF($AA841&lt;&gt;"Sí","Paradas no digitadas",IF($BQ841="",IF(N($BT841)&gt;0,"Sin producción","Parada total"),IF($F841="","Sin familia",IF($BP841="","Familia sin estándar",IF(AND($BV841&lt;&gt;"",N($BV841)&gt;1.1),"Revisar rendimiento","OK")))))))</f>
        <v>OK</v>
      </c>
      <c r="CA841">
        <f>IF(OR($BU841="",$BO841&lt;&gt;1,$AA841&lt;&gt;"Sí"),0,1)</f>
        <v>1</v>
      </c>
    </row>
    <row r="842" spans="1:80" x14ac:dyDescent="0.25">
      <c r="A842" s="35">
        <v>46297</v>
      </c>
      <c r="B842" s="36">
        <v>6</v>
      </c>
      <c r="C842" t="s">
        <v>119</v>
      </c>
      <c r="D842" t="s">
        <v>6</v>
      </c>
      <c r="E842" t="s">
        <v>126</v>
      </c>
      <c r="F842" t="s">
        <v>191</v>
      </c>
      <c r="G842">
        <v>6714</v>
      </c>
      <c r="H842">
        <v>2140110747</v>
      </c>
      <c r="I842" t="s">
        <v>267</v>
      </c>
      <c r="J842" s="37">
        <v>20050</v>
      </c>
      <c r="K842" s="37">
        <v>5</v>
      </c>
      <c r="L842">
        <v>7</v>
      </c>
      <c r="O842">
        <v>15</v>
      </c>
      <c r="P842">
        <v>23</v>
      </c>
      <c r="V842" t="s">
        <v>116</v>
      </c>
      <c r="W842" t="s">
        <v>224</v>
      </c>
      <c r="Y842" s="67">
        <v>0.79166666666666663</v>
      </c>
      <c r="Z842" s="67">
        <v>4.1666666666666741E-2</v>
      </c>
      <c r="AA842" t="s">
        <v>117</v>
      </c>
      <c r="AC842" t="s">
        <v>791</v>
      </c>
      <c r="AY842">
        <v>0.33329999999999999</v>
      </c>
      <c r="BK842">
        <f>0</f>
        <v>0</v>
      </c>
      <c r="BL842">
        <f>N(AD842)+N(AE842)+N(AF842)+N(AG842)+N(AH842)+N(AI842)+N(AJ842)+N(AK842)+N(AL842)+N(AM842)+N(AN842)+N(AO842)+N(AP842)+N(AQ842)+N(AR842)+N(AS842)+N(AT842)+N(AU842)+N(AW842)+N(AX842)+N(AY842)+N(BC842)+N(BE842)+N(BF842)+N(BH842)+N(BI842)+N(BJ842)</f>
        <v>0.33329999999999999</v>
      </c>
      <c r="BM842">
        <f>N(AZ842)+N(BA842)+N(BB842)+N(BD842)</f>
        <v>0</v>
      </c>
      <c r="BN842">
        <f>N(AV842)+N(BG842)</f>
        <v>0</v>
      </c>
      <c r="BO842">
        <f>IF($A842="","",IF(WEEKDAY($A842,2)=7,0,1))</f>
        <v>1</v>
      </c>
      <c r="BP842" s="37">
        <f>IF($F842="","",IFERROR(INDEX(Familias!$C$5:$C$300,MATCH($F842,Familias!$A$5:$A$300,0)),""))</f>
        <v>3710</v>
      </c>
      <c r="BQ842" s="37">
        <f>IF(AND($J842="",$K842=""),"",N($J842)+N($K842))</f>
        <v>20055</v>
      </c>
      <c r="BR842" s="36">
        <f>IF($A842="","",ROUND(N($B842),4))</f>
        <v>6</v>
      </c>
      <c r="BS842" s="36">
        <f>IF($A842="","",ROUND(SUM($AD842:$BJ842),4))</f>
        <v>0.33329999999999999</v>
      </c>
      <c r="BT842" s="36">
        <f>IF($A842="","",ROUND(MAX(0,$BR842-$BS842),4))</f>
        <v>5.6666999999999996</v>
      </c>
      <c r="BU842" s="36">
        <f>IF(OR($BQ842="",$BP842="",N($BP842)=0),"",ROUND($BQ842/$BP842,4))</f>
        <v>5.4057000000000004</v>
      </c>
      <c r="BV842" s="39">
        <f>IF(OR($BU842="",N($BT842)=0),"",$BU842/$BT842)</f>
        <v>0.95394144740325071</v>
      </c>
      <c r="BW842" s="39">
        <f>IF(N($BQ842)&gt;0,N($J842)/$BQ842,"")</f>
        <v>0.99975068561455993</v>
      </c>
      <c r="BX842" s="40" t="str">
        <f>IF(N($M842)&gt;0,(N($P842)+N($O842)+N($R842))/$M842,"")</f>
        <v/>
      </c>
      <c r="BY842" s="40" t="str">
        <f>IF(N($M842)&gt;0,N($Q842)/$M842,"")</f>
        <v/>
      </c>
      <c r="BZ842" t="str">
        <f>IF($A842="","",IF($BO842=0,"Domingo",IF($AA842&lt;&gt;"Sí","Paradas no digitadas",IF($BQ842="",IF(N($BT842)&gt;0,"Sin producción","Parada total"),IF($F842="","Sin familia",IF($BP842="","Familia sin estándar",IF(AND($BV842&lt;&gt;"",N($BV842)&gt;1.1),"Revisar rendimiento","OK")))))))</f>
        <v>OK</v>
      </c>
      <c r="CA842">
        <f>IF(OR($BU842="",$BO842&lt;&gt;1,$AA842&lt;&gt;"Sí"),0,1)</f>
        <v>1</v>
      </c>
    </row>
    <row r="843" spans="1:80" x14ac:dyDescent="0.25">
      <c r="A843" s="35">
        <v>46297</v>
      </c>
      <c r="B843" s="36">
        <v>6</v>
      </c>
      <c r="C843" t="s">
        <v>119</v>
      </c>
      <c r="D843" t="s">
        <v>6</v>
      </c>
      <c r="E843" t="s">
        <v>147</v>
      </c>
      <c r="F843" t="s">
        <v>175</v>
      </c>
      <c r="G843">
        <v>6768</v>
      </c>
      <c r="H843">
        <v>2140110669</v>
      </c>
      <c r="I843" t="s">
        <v>177</v>
      </c>
      <c r="J843" s="37">
        <v>7925</v>
      </c>
      <c r="K843" s="37">
        <v>5</v>
      </c>
      <c r="L843">
        <v>4</v>
      </c>
      <c r="O843">
        <v>16</v>
      </c>
      <c r="P843">
        <v>18</v>
      </c>
      <c r="R843">
        <v>30</v>
      </c>
      <c r="V843" t="s">
        <v>116</v>
      </c>
      <c r="W843" t="s">
        <v>224</v>
      </c>
      <c r="Y843" s="67">
        <v>4.1666666666666741E-2</v>
      </c>
      <c r="Z843" s="67">
        <v>0.29166666666666652</v>
      </c>
      <c r="AA843" t="s">
        <v>117</v>
      </c>
      <c r="AC843" t="s">
        <v>791</v>
      </c>
      <c r="AE843">
        <v>1.3332999999999999</v>
      </c>
      <c r="AQ843">
        <v>0.16669999999999999</v>
      </c>
      <c r="BK843">
        <f>0</f>
        <v>0</v>
      </c>
      <c r="BL843">
        <f>N(AD843)+N(AE843)+N(AF843)+N(AG843)+N(AH843)+N(AI843)+N(AJ843)+N(AK843)+N(AL843)+N(AM843)+N(AN843)+N(AO843)+N(AP843)+N(AQ843)+N(AR843)+N(AS843)+N(AT843)+N(AU843)+N(AW843)+N(AX843)+N(AY843)+N(BC843)+N(BE843)+N(BF843)+N(BH843)+N(BI843)+N(BJ843)</f>
        <v>1.5</v>
      </c>
      <c r="BM843">
        <f>N(AZ843)+N(BA843)+N(BB843)+N(BD843)</f>
        <v>0</v>
      </c>
      <c r="BN843">
        <f>N(AV843)+N(BG843)</f>
        <v>0</v>
      </c>
      <c r="BO843">
        <f>IF($A843="","",IF(WEEKDAY($A843,2)=7,0,1))</f>
        <v>1</v>
      </c>
      <c r="BP843" s="37">
        <f>IF($F843="","",IFERROR(INDEX(Familias!$C$5:$C$300,MATCH($F843,Familias!$A$5:$A$300,0)),""))</f>
        <v>2370</v>
      </c>
      <c r="BQ843" s="37">
        <f>IF(AND($J843="",$K843=""),"",N($J843)+N($K843))</f>
        <v>7930</v>
      </c>
      <c r="BR843" s="36">
        <f>IF($A843="","",ROUND(N($B843),4))</f>
        <v>6</v>
      </c>
      <c r="BS843" s="36">
        <f>IF($A843="","",ROUND(SUM($AD843:$BJ843),4))</f>
        <v>1.5</v>
      </c>
      <c r="BT843" s="36">
        <f>IF($A843="","",ROUND(MAX(0,$BR843-$BS843),4))</f>
        <v>4.5</v>
      </c>
      <c r="BU843" s="36">
        <f>IF(OR($BQ843="",$BP843="",N($BP843)=0),"",ROUND($BQ843/$BP843,4))</f>
        <v>3.3460000000000001</v>
      </c>
      <c r="BV843" s="39">
        <f>IF(OR($BU843="",N($BT843)=0),"",$BU843/$BT843)</f>
        <v>0.74355555555555553</v>
      </c>
      <c r="BW843" s="39">
        <f>IF(N($BQ843)&gt;0,N($J843)/$BQ843,"")</f>
        <v>0.99936948297604034</v>
      </c>
      <c r="BX843" s="40" t="str">
        <f>IF(N($M843)&gt;0,(N($P843)+N($O843)+N($R843))/$M843,"")</f>
        <v/>
      </c>
      <c r="BY843" s="40" t="str">
        <f>IF(N($M843)&gt;0,N($Q843)/$M843,"")</f>
        <v/>
      </c>
      <c r="BZ843" t="str">
        <f>IF($A843="","",IF($BO843=0,"Domingo",IF($AA843&lt;&gt;"Sí","Paradas no digitadas",IF($BQ843="",IF(N($BT843)&gt;0,"Sin producción","Parada total"),IF($F843="","Sin familia",IF($BP843="","Familia sin estándar",IF(AND($BV843&lt;&gt;"",N($BV843)&gt;1.1),"Revisar rendimiento","OK")))))))</f>
        <v>OK</v>
      </c>
      <c r="CA843">
        <f>IF(OR($BU843="",$BO843&lt;&gt;1,$AA843&lt;&gt;"Sí"),0,1)</f>
        <v>1</v>
      </c>
    </row>
    <row r="844" spans="1:80" x14ac:dyDescent="0.25">
      <c r="A844" s="35">
        <v>46298</v>
      </c>
      <c r="B844" s="36">
        <v>12</v>
      </c>
      <c r="C844" t="s">
        <v>113</v>
      </c>
      <c r="D844" t="s">
        <v>6</v>
      </c>
      <c r="E844" t="s">
        <v>147</v>
      </c>
      <c r="F844" t="s">
        <v>175</v>
      </c>
      <c r="G844">
        <v>6768</v>
      </c>
      <c r="H844">
        <v>2140110669</v>
      </c>
      <c r="I844" t="s">
        <v>177</v>
      </c>
      <c r="J844" s="37">
        <v>22000</v>
      </c>
      <c r="K844" s="37">
        <v>15</v>
      </c>
      <c r="L844">
        <v>12</v>
      </c>
      <c r="O844">
        <v>51</v>
      </c>
      <c r="P844">
        <v>30</v>
      </c>
      <c r="Q844">
        <v>36</v>
      </c>
      <c r="V844" t="s">
        <v>120</v>
      </c>
      <c r="W844" t="s">
        <v>792</v>
      </c>
      <c r="Y844" s="67">
        <v>0.29166666666666669</v>
      </c>
      <c r="Z844" s="67">
        <v>0.79166666666666674</v>
      </c>
      <c r="AA844" t="s">
        <v>117</v>
      </c>
      <c r="AC844" t="s">
        <v>789</v>
      </c>
      <c r="AQ844">
        <v>0.16669999999999999</v>
      </c>
      <c r="BI844">
        <v>0.33329999999999999</v>
      </c>
      <c r="BK844">
        <f>0</f>
        <v>0</v>
      </c>
      <c r="BL844">
        <f>N(AD844)+N(AE844)+N(AF844)+N(AG844)+N(AH844)+N(AI844)+N(AJ844)+N(AK844)+N(AL844)+N(AM844)+N(AN844)+N(AO844)+N(AP844)+N(AQ844)+N(AR844)+N(AS844)+N(AT844)+N(AU844)+N(AW844)+N(AX844)+N(AY844)+N(BC844)+N(BE844)+N(BF844)+N(BH844)+N(BI844)+N(BJ844)</f>
        <v>0.5</v>
      </c>
      <c r="BM844">
        <f>N(AZ844)+N(BA844)+N(BB844)+N(BD844)</f>
        <v>0</v>
      </c>
      <c r="BN844">
        <f>N(AV844)+N(BG844)</f>
        <v>0</v>
      </c>
      <c r="BO844">
        <f>IF($A844="","",IF(WEEKDAY($A844,2)=7,0,1))</f>
        <v>1</v>
      </c>
      <c r="BP844" s="37">
        <f>IF($F844="","",IFERROR(INDEX(Familias!$C$5:$C$300,MATCH($F844,Familias!$A$5:$A$300,0)),""))</f>
        <v>2370</v>
      </c>
      <c r="BQ844" s="37">
        <f>IF(AND($J844="",$K844=""),"",N($J844)+N($K844))</f>
        <v>22015</v>
      </c>
      <c r="BR844" s="36">
        <f>IF($A844="","",ROUND(N($B844),4))</f>
        <v>12</v>
      </c>
      <c r="BS844" s="36">
        <f>IF($A844="","",ROUND(SUM($AD844:$BJ844),4))</f>
        <v>0.5</v>
      </c>
      <c r="BT844" s="36">
        <f>IF($A844="","",ROUND(MAX(0,$BR844-$BS844),4))</f>
        <v>11.5</v>
      </c>
      <c r="BU844" s="36">
        <f>IF(OR($BQ844="",$BP844="",N($BP844)=0),"",ROUND($BQ844/$BP844,4))</f>
        <v>9.2889999999999997</v>
      </c>
      <c r="BV844" s="39">
        <f>IF(OR($BU844="",N($BT844)=0),"",$BU844/$BT844)</f>
        <v>0.80773913043478263</v>
      </c>
      <c r="BW844" s="39">
        <f>IF(N($BQ844)&gt;0,N($J844)/$BQ844,"")</f>
        <v>0.99931864637746992</v>
      </c>
      <c r="BX844" s="40" t="str">
        <f>IF(N($M844)&gt;0,(N($P844)+N($O844)+N($R844))/$M844,"")</f>
        <v/>
      </c>
      <c r="BY844" s="40" t="str">
        <f>IF(N($M844)&gt;0,N($Q844)/$M844,"")</f>
        <v/>
      </c>
      <c r="BZ844" t="str">
        <f>IF($A844="","",IF($BO844=0,"Domingo",IF($AA844&lt;&gt;"Sí","Paradas no digitadas",IF($BQ844="",IF(N($BT844)&gt;0,"Sin producción","Parada total"),IF($F844="","Sin familia",IF($BP844="","Familia sin estándar",IF(AND($BV844&lt;&gt;"",N($BV844)&gt;1.1),"Revisar rendimiento","OK")))))))</f>
        <v>OK</v>
      </c>
      <c r="CA844">
        <f>IF(OR($BU844="",$BO844&lt;&gt;1,$AA844&lt;&gt;"Sí"),0,1)</f>
        <v>1</v>
      </c>
    </row>
    <row r="845" spans="1:80" x14ac:dyDescent="0.25">
      <c r="A845" s="35">
        <v>46298</v>
      </c>
      <c r="B845" s="36">
        <v>7</v>
      </c>
      <c r="C845" t="s">
        <v>119</v>
      </c>
      <c r="D845" t="s">
        <v>6</v>
      </c>
      <c r="E845" t="s">
        <v>147</v>
      </c>
      <c r="F845" t="s">
        <v>175</v>
      </c>
      <c r="G845">
        <v>6768</v>
      </c>
      <c r="H845">
        <v>2140110669</v>
      </c>
      <c r="I845" t="s">
        <v>177</v>
      </c>
      <c r="J845" s="37">
        <v>10125</v>
      </c>
      <c r="K845" s="37">
        <v>2</v>
      </c>
      <c r="L845">
        <v>5</v>
      </c>
      <c r="O845">
        <v>35</v>
      </c>
      <c r="P845">
        <v>14</v>
      </c>
      <c r="Q845">
        <v>30</v>
      </c>
      <c r="V845" t="s">
        <v>116</v>
      </c>
      <c r="W845" t="s">
        <v>224</v>
      </c>
      <c r="Y845" s="67">
        <v>0.79166666666666663</v>
      </c>
      <c r="Z845" s="67">
        <v>8.3333333333333259E-2</v>
      </c>
      <c r="AA845" t="s">
        <v>117</v>
      </c>
      <c r="AC845" t="s">
        <v>791</v>
      </c>
      <c r="AR845">
        <v>0.75</v>
      </c>
      <c r="BA845">
        <v>1</v>
      </c>
      <c r="BI845">
        <v>0.33329999999999999</v>
      </c>
      <c r="BK845">
        <f>0</f>
        <v>0</v>
      </c>
      <c r="BL845">
        <f>N(AD845)+N(AE845)+N(AF845)+N(AG845)+N(AH845)+N(AI845)+N(AJ845)+N(AK845)+N(AL845)+N(AM845)+N(AN845)+N(AO845)+N(AP845)+N(AQ845)+N(AR845)+N(AS845)+N(AT845)+N(AU845)+N(AW845)+N(AX845)+N(AY845)+N(BC845)+N(BE845)+N(BF845)+N(BH845)+N(BI845)+N(BJ845)</f>
        <v>1.0832999999999999</v>
      </c>
      <c r="BM845">
        <f>N(AZ845)+N(BA845)+N(BB845)+N(BD845)</f>
        <v>1</v>
      </c>
      <c r="BN845">
        <f>N(AV845)+N(BG845)</f>
        <v>0</v>
      </c>
      <c r="BO845">
        <f>IF($A845="","",IF(WEEKDAY($A845,2)=7,0,1))</f>
        <v>1</v>
      </c>
      <c r="BP845" s="37">
        <f>IF($F845="","",IFERROR(INDEX(Familias!$C$5:$C$300,MATCH($F845,Familias!$A$5:$A$300,0)),""))</f>
        <v>2370</v>
      </c>
      <c r="BQ845" s="37">
        <f>IF(AND($J845="",$K845=""),"",N($J845)+N($K845))</f>
        <v>10127</v>
      </c>
      <c r="BR845" s="36">
        <f>IF($A845="","",ROUND(N($B845),4))</f>
        <v>7</v>
      </c>
      <c r="BS845" s="36">
        <f>IF($A845="","",ROUND(SUM($AD845:$BJ845),4))</f>
        <v>2.0832999999999999</v>
      </c>
      <c r="BT845" s="36">
        <f>IF($A845="","",ROUND(MAX(0,$BR845-$BS845),4))</f>
        <v>4.9166999999999996</v>
      </c>
      <c r="BU845" s="36">
        <f>IF(OR($BQ845="",$BP845="",N($BP845)=0),"",ROUND($BQ845/$BP845,4))</f>
        <v>4.2729999999999997</v>
      </c>
      <c r="BV845" s="39">
        <f>IF(OR($BU845="",N($BT845)=0),"",$BU845/$BT845)</f>
        <v>0.86907885370268678</v>
      </c>
      <c r="BW845" s="39">
        <f>IF(N($BQ845)&gt;0,N($J845)/$BQ845,"")</f>
        <v>0.99980250814653893</v>
      </c>
      <c r="BX845" s="40" t="str">
        <f>IF(N($M845)&gt;0,(N($P845)+N($O845)+N($R845))/$M845,"")</f>
        <v/>
      </c>
      <c r="BY845" s="40" t="str">
        <f>IF(N($M845)&gt;0,N($Q845)/$M845,"")</f>
        <v/>
      </c>
      <c r="BZ845" t="str">
        <f>IF($A845="","",IF($BO845=0,"Domingo",IF($AA845&lt;&gt;"Sí","Paradas no digitadas",IF($BQ845="",IF(N($BT845)&gt;0,"Sin producción","Parada total"),IF($F845="","Sin familia",IF($BP845="","Familia sin estándar",IF(AND($BV845&lt;&gt;"",N($BV845)&gt;1.1),"Revisar rendimiento","OK")))))))</f>
        <v>OK</v>
      </c>
      <c r="CA845">
        <f>IF(OR($BU845="",$BO845&lt;&gt;1,$AA845&lt;&gt;"Sí"),0,1)</f>
        <v>1</v>
      </c>
    </row>
    <row r="846" spans="1:80" x14ac:dyDescent="0.25">
      <c r="A846" s="35">
        <v>46298</v>
      </c>
      <c r="B846" s="36">
        <v>5</v>
      </c>
      <c r="C846" t="s">
        <v>119</v>
      </c>
      <c r="D846" t="s">
        <v>6</v>
      </c>
      <c r="E846" t="s">
        <v>147</v>
      </c>
      <c r="F846" t="s">
        <v>175</v>
      </c>
      <c r="G846">
        <v>6769</v>
      </c>
      <c r="H846">
        <v>2140110666</v>
      </c>
      <c r="I846" t="s">
        <v>176</v>
      </c>
      <c r="J846" s="37">
        <v>4725</v>
      </c>
      <c r="K846" s="37">
        <v>3</v>
      </c>
      <c r="L846">
        <v>3</v>
      </c>
      <c r="O846">
        <v>17</v>
      </c>
      <c r="P846">
        <v>12</v>
      </c>
      <c r="V846" t="s">
        <v>116</v>
      </c>
      <c r="W846" t="s">
        <v>224</v>
      </c>
      <c r="Y846" s="67">
        <v>8.3333333333333259E-2</v>
      </c>
      <c r="Z846" s="67">
        <v>0.29166666666666652</v>
      </c>
      <c r="AA846" t="s">
        <v>117</v>
      </c>
      <c r="AC846" t="s">
        <v>791</v>
      </c>
      <c r="AE846">
        <v>0.33329999999999999</v>
      </c>
      <c r="AQ846">
        <v>2</v>
      </c>
      <c r="BK846">
        <f>0</f>
        <v>0</v>
      </c>
      <c r="BL846">
        <f>N(AD846)+N(AE846)+N(AF846)+N(AG846)+N(AH846)+N(AI846)+N(AJ846)+N(AK846)+N(AL846)+N(AM846)+N(AN846)+N(AO846)+N(AP846)+N(AQ846)+N(AR846)+N(AS846)+N(AT846)+N(AU846)+N(AW846)+N(AX846)+N(AY846)+N(BC846)+N(BE846)+N(BF846)+N(BH846)+N(BI846)+N(BJ846)</f>
        <v>2.3332999999999999</v>
      </c>
      <c r="BM846">
        <f>N(AZ846)+N(BA846)+N(BB846)+N(BD846)</f>
        <v>0</v>
      </c>
      <c r="BN846">
        <f>N(AV846)+N(BG846)</f>
        <v>0</v>
      </c>
      <c r="BO846">
        <f>IF($A846="","",IF(WEEKDAY($A846,2)=7,0,1))</f>
        <v>1</v>
      </c>
      <c r="BP846" s="37">
        <f>IF($F846="","",IFERROR(INDEX(Familias!$C$5:$C$300,MATCH($F846,Familias!$A$5:$A$300,0)),""))</f>
        <v>2370</v>
      </c>
      <c r="BQ846" s="37">
        <f>IF(AND($J846="",$K846=""),"",N($J846)+N($K846))</f>
        <v>4728</v>
      </c>
      <c r="BR846" s="36">
        <f>IF($A846="","",ROUND(N($B846),4))</f>
        <v>5</v>
      </c>
      <c r="BS846" s="36">
        <f>IF($A846="","",ROUND(SUM($AD846:$BJ846),4))</f>
        <v>2.3332999999999999</v>
      </c>
      <c r="BT846" s="36">
        <f>IF($A846="","",ROUND(MAX(0,$BR846-$BS846),4))</f>
        <v>2.6667000000000001</v>
      </c>
      <c r="BU846" s="36">
        <f>IF(OR($BQ846="",$BP846="",N($BP846)=0),"",ROUND($BQ846/$BP846,4))</f>
        <v>1.9948999999999999</v>
      </c>
      <c r="BV846" s="39">
        <f>IF(OR($BU846="",N($BT846)=0),"",$BU846/$BT846)</f>
        <v>0.74807814902313718</v>
      </c>
      <c r="BW846" s="39">
        <f>IF(N($BQ846)&gt;0,N($J846)/$BQ846,"")</f>
        <v>0.99936548223350252</v>
      </c>
      <c r="BX846" s="40" t="str">
        <f>IF(N($M846)&gt;0,(N($P846)+N($O846)+N($R846))/$M846,"")</f>
        <v/>
      </c>
      <c r="BY846" s="40" t="str">
        <f>IF(N($M846)&gt;0,N($Q846)/$M846,"")</f>
        <v/>
      </c>
      <c r="BZ846" t="str">
        <f>IF($A846="","",IF($BO846=0,"Domingo",IF($AA846&lt;&gt;"Sí","Paradas no digitadas",IF($BQ846="",IF(N($BT846)&gt;0,"Sin producción","Parada total"),IF($F846="","Sin familia",IF($BP846="","Familia sin estándar",IF(AND($BV846&lt;&gt;"",N($BV846)&gt;1.1),"Revisar rendimiento","OK")))))))</f>
        <v>OK</v>
      </c>
      <c r="CA846">
        <f>IF(OR($BU846="",$BO846&lt;&gt;1,$AA846&lt;&gt;"Sí"),0,1)</f>
        <v>1</v>
      </c>
    </row>
    <row r="847" spans="1:80" x14ac:dyDescent="0.25">
      <c r="A847" s="35">
        <v>46300</v>
      </c>
      <c r="B847" s="36">
        <v>12</v>
      </c>
      <c r="C847" t="s">
        <v>113</v>
      </c>
      <c r="D847" t="s">
        <v>6</v>
      </c>
      <c r="E847" t="s">
        <v>147</v>
      </c>
      <c r="F847" t="s">
        <v>175</v>
      </c>
      <c r="G847">
        <v>6769</v>
      </c>
      <c r="H847">
        <v>2140110666</v>
      </c>
      <c r="I847" t="s">
        <v>176</v>
      </c>
      <c r="J847" s="37">
        <v>19675</v>
      </c>
      <c r="K847" s="37">
        <v>10</v>
      </c>
      <c r="L847">
        <v>10</v>
      </c>
      <c r="O847">
        <v>90</v>
      </c>
      <c r="P847">
        <v>35</v>
      </c>
      <c r="Q847">
        <v>25</v>
      </c>
      <c r="V847" t="s">
        <v>116</v>
      </c>
      <c r="W847" t="s">
        <v>224</v>
      </c>
      <c r="Y847" s="67">
        <v>0.29166666666666669</v>
      </c>
      <c r="Z847" s="67">
        <v>0.79166666666666674</v>
      </c>
      <c r="AA847" t="s">
        <v>117</v>
      </c>
      <c r="AC847" t="s">
        <v>789</v>
      </c>
      <c r="AD847">
        <v>0.75</v>
      </c>
      <c r="AQ847">
        <v>0.16669999999999999</v>
      </c>
      <c r="BK847">
        <f>0</f>
        <v>0</v>
      </c>
      <c r="BL847">
        <f>N(AD847)+N(AE847)+N(AF847)+N(AG847)+N(AH847)+N(AI847)+N(AJ847)+N(AK847)+N(AL847)+N(AM847)+N(AN847)+N(AO847)+N(AP847)+N(AQ847)+N(AR847)+N(AS847)+N(AT847)+N(AU847)+N(AW847)+N(AX847)+N(AY847)+N(BC847)+N(BE847)+N(BF847)+N(BH847)+N(BI847)+N(BJ847)</f>
        <v>0.91669999999999996</v>
      </c>
      <c r="BM847">
        <f>N(AZ847)+N(BA847)+N(BB847)+N(BD847)</f>
        <v>0</v>
      </c>
      <c r="BN847">
        <f>N(AV847)+N(BG847)</f>
        <v>0</v>
      </c>
      <c r="BO847">
        <f>IF($A847="","",IF(WEEKDAY($A847,2)=7,0,1))</f>
        <v>1</v>
      </c>
      <c r="BP847" s="37">
        <f>IF($F847="","",IFERROR(INDEX(Familias!$C$5:$C$300,MATCH($F847,Familias!$A$5:$A$300,0)),""))</f>
        <v>2370</v>
      </c>
      <c r="BQ847" s="37">
        <f>IF(AND($J847="",$K847=""),"",N($J847)+N($K847))</f>
        <v>19685</v>
      </c>
      <c r="BR847" s="36">
        <f>IF($A847="","",ROUND(N($B847),4))</f>
        <v>12</v>
      </c>
      <c r="BS847" s="36">
        <f>IF($A847="","",ROUND(SUM($AD847:$BJ847),4))</f>
        <v>0.91669999999999996</v>
      </c>
      <c r="BT847" s="36">
        <f>IF($A847="","",ROUND(MAX(0,$BR847-$BS847),4))</f>
        <v>11.083299999999999</v>
      </c>
      <c r="BU847" s="36">
        <f>IF(OR($BQ847="",$BP847="",N($BP847)=0),"",ROUND($BQ847/$BP847,4))</f>
        <v>8.3058999999999994</v>
      </c>
      <c r="BV847" s="39">
        <f>IF(OR($BU847="",N($BT847)=0),"",$BU847/$BT847)</f>
        <v>0.74940676513312821</v>
      </c>
      <c r="BW847" s="39">
        <f>IF(N($BQ847)&gt;0,N($J847)/$BQ847,"")</f>
        <v>0.99949199898399799</v>
      </c>
      <c r="BX847" s="40" t="str">
        <f>IF(N($M847)&gt;0,(N($P847)+N($O847)+N($R847))/$M847,"")</f>
        <v/>
      </c>
      <c r="BY847" s="40" t="str">
        <f>IF(N($M847)&gt;0,N($Q847)/$M847,"")</f>
        <v/>
      </c>
      <c r="BZ847" t="str">
        <f>IF($A847="","",IF($BO847=0,"Domingo",IF($AA847&lt;&gt;"Sí","Paradas no digitadas",IF($BQ847="",IF(N($BT847)&gt;0,"Sin producción","Parada total"),IF($F847="","Sin familia",IF($BP847="","Familia sin estándar",IF(AND($BV847&lt;&gt;"",N($BV847)&gt;1.1),"Revisar rendimiento","OK")))))))</f>
        <v>OK</v>
      </c>
      <c r="CA847">
        <f>IF(OR($BU847="",$BO847&lt;&gt;1,$AA847&lt;&gt;"Sí"),0,1)</f>
        <v>1</v>
      </c>
    </row>
    <row r="848" spans="1:80" x14ac:dyDescent="0.25">
      <c r="A848" s="35">
        <v>46300</v>
      </c>
      <c r="B848" s="36">
        <v>12</v>
      </c>
      <c r="C848" t="s">
        <v>119</v>
      </c>
      <c r="D848" t="s">
        <v>6</v>
      </c>
      <c r="E848" t="s">
        <v>147</v>
      </c>
      <c r="F848" t="s">
        <v>175</v>
      </c>
      <c r="G848">
        <v>6769</v>
      </c>
      <c r="H848">
        <v>2140110666</v>
      </c>
      <c r="I848" t="s">
        <v>176</v>
      </c>
      <c r="J848" s="37">
        <v>16750</v>
      </c>
      <c r="K848" s="37">
        <v>10</v>
      </c>
      <c r="L848">
        <v>10</v>
      </c>
      <c r="O848">
        <v>68</v>
      </c>
      <c r="P848">
        <v>21</v>
      </c>
      <c r="Q848">
        <v>50</v>
      </c>
      <c r="V848" t="s">
        <v>120</v>
      </c>
      <c r="W848" t="s">
        <v>792</v>
      </c>
      <c r="Y848" s="67">
        <v>0.79166666666666663</v>
      </c>
      <c r="Z848" s="67">
        <v>0.29166666666666652</v>
      </c>
      <c r="AA848" t="s">
        <v>117</v>
      </c>
      <c r="AC848" t="s">
        <v>789</v>
      </c>
      <c r="AQ848">
        <v>0.16669999999999999</v>
      </c>
      <c r="BI848">
        <v>0.33329999999999999</v>
      </c>
      <c r="BK848">
        <f>0</f>
        <v>0</v>
      </c>
      <c r="BL848">
        <f>N(AD848)+N(AE848)+N(AF848)+N(AG848)+N(AH848)+N(AI848)+N(AJ848)+N(AK848)+N(AL848)+N(AM848)+N(AN848)+N(AO848)+N(AP848)+N(AQ848)+N(AR848)+N(AS848)+N(AT848)+N(AU848)+N(AW848)+N(AX848)+N(AY848)+N(BC848)+N(BE848)+N(BF848)+N(BH848)+N(BI848)+N(BJ848)</f>
        <v>0.5</v>
      </c>
      <c r="BM848">
        <f>N(AZ848)+N(BA848)+N(BB848)+N(BD848)</f>
        <v>0</v>
      </c>
      <c r="BN848">
        <f>N(AV848)+N(BG848)</f>
        <v>0</v>
      </c>
      <c r="BO848">
        <f>IF($A848="","",IF(WEEKDAY($A848,2)=7,0,1))</f>
        <v>1</v>
      </c>
      <c r="BP848" s="37">
        <f>IF($F848="","",IFERROR(INDEX(Familias!$C$5:$C$300,MATCH($F848,Familias!$A$5:$A$300,0)),""))</f>
        <v>2370</v>
      </c>
      <c r="BQ848" s="37">
        <f>IF(AND($J848="",$K848=""),"",N($J848)+N($K848))</f>
        <v>16760</v>
      </c>
      <c r="BR848" s="36">
        <f>IF($A848="","",ROUND(N($B848),4))</f>
        <v>12</v>
      </c>
      <c r="BS848" s="36">
        <f>IF($A848="","",ROUND(SUM($AD848:$BJ848),4))</f>
        <v>0.5</v>
      </c>
      <c r="BT848" s="36">
        <f>IF($A848="","",ROUND(MAX(0,$BR848-$BS848),4))</f>
        <v>11.5</v>
      </c>
      <c r="BU848" s="36">
        <f>IF(OR($BQ848="",$BP848="",N($BP848)=0),"",ROUND($BQ848/$BP848,4))</f>
        <v>7.0716999999999999</v>
      </c>
      <c r="BV848" s="39">
        <f>IF(OR($BU848="",N($BT848)=0),"",$BU848/$BT848)</f>
        <v>0.61493043478260867</v>
      </c>
      <c r="BW848" s="39">
        <f>IF(N($BQ848)&gt;0,N($J848)/$BQ848,"")</f>
        <v>0.99940334128878283</v>
      </c>
      <c r="BX848" s="40" t="str">
        <f>IF(N($M848)&gt;0,(N($P848)+N($O848)+N($R848))/$M848,"")</f>
        <v/>
      </c>
      <c r="BY848" s="40" t="str">
        <f>IF(N($M848)&gt;0,N($Q848)/$M848,"")</f>
        <v/>
      </c>
      <c r="BZ848" t="str">
        <f>IF($A848="","",IF($BO848=0,"Domingo",IF($AA848&lt;&gt;"Sí","Paradas no digitadas",IF($BQ848="",IF(N($BT848)&gt;0,"Sin producción","Parada total"),IF($F848="","Sin familia",IF($BP848="","Familia sin estándar",IF(AND($BV848&lt;&gt;"",N($BV848)&gt;1.1),"Revisar rendimiento","OK")))))))</f>
        <v>OK</v>
      </c>
      <c r="CA848">
        <f>IF(OR($BU848="",$BO848&lt;&gt;1,$AA848&lt;&gt;"Sí"),0,1)</f>
        <v>1</v>
      </c>
    </row>
  </sheetData>
  <conditionalFormatting sqref="BZ2:BZ5847">
    <cfRule type="expression" dxfId="1" priority="1">
      <formula>AND(BZ2&lt;&gt;"",BZ2&lt;&gt;"OK")</formula>
    </cfRule>
  </conditionalFormatting>
  <dataValidations count="1">
    <dataValidation type="list" allowBlank="1" sqref="AA2:AA5847" xr:uid="{00000000-0002-0000-0100-000000000000}">
      <formula1>"Sí,No,Incompleto"</formula1>
    </dataValidation>
  </dataValidations>
  <pageMargins left="0.75" right="0.75" top="1" bottom="1" header="0.5" footer="0.5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OT"/>
  <dimension ref="A1:G277"/>
  <sheetViews>
    <sheetView workbookViewId="0">
      <pane ySplit="1" topLeftCell="A2" activePane="bottomLeft" state="frozen"/>
      <selection pane="bottomLeft" activeCell="J1" sqref="J1"/>
    </sheetView>
  </sheetViews>
  <sheetFormatPr baseColWidth="10" defaultColWidth="9.140625" defaultRowHeight="15" x14ac:dyDescent="0.25"/>
  <cols>
    <col min="1" max="1" width="10" customWidth="1"/>
    <col min="2" max="2" width="14" customWidth="1"/>
    <col min="3" max="3" width="52" customWidth="1"/>
    <col min="4" max="4" width="18" customWidth="1"/>
    <col min="5" max="5" width="12" customWidth="1"/>
  </cols>
  <sheetData>
    <row r="1" spans="1:7" ht="30" customHeight="1" x14ac:dyDescent="0.25">
      <c r="A1" s="41" t="s">
        <v>20</v>
      </c>
      <c r="B1" s="41" t="s">
        <v>21</v>
      </c>
      <c r="C1" s="41" t="s">
        <v>51</v>
      </c>
      <c r="D1" s="41" t="s">
        <v>25</v>
      </c>
      <c r="E1" s="41" t="s">
        <v>268</v>
      </c>
      <c r="G1" t="s">
        <v>269</v>
      </c>
    </row>
    <row r="2" spans="1:7" x14ac:dyDescent="0.25">
      <c r="A2">
        <v>6769</v>
      </c>
      <c r="B2">
        <v>2140110666</v>
      </c>
      <c r="C2" t="s">
        <v>176</v>
      </c>
      <c r="D2" t="s">
        <v>175</v>
      </c>
      <c r="E2" s="35">
        <v>46300</v>
      </c>
    </row>
    <row r="3" spans="1:7" x14ac:dyDescent="0.25">
      <c r="A3">
        <v>6768</v>
      </c>
      <c r="B3">
        <v>2140110669</v>
      </c>
      <c r="C3" t="s">
        <v>177</v>
      </c>
      <c r="D3" t="s">
        <v>175</v>
      </c>
      <c r="E3" s="35">
        <v>46298</v>
      </c>
    </row>
    <row r="4" spans="1:7" x14ac:dyDescent="0.25">
      <c r="A4">
        <v>6714</v>
      </c>
      <c r="B4">
        <v>2140110747</v>
      </c>
      <c r="C4" t="s">
        <v>267</v>
      </c>
      <c r="D4" t="s">
        <v>191</v>
      </c>
      <c r="E4" s="35">
        <v>46297</v>
      </c>
    </row>
    <row r="5" spans="1:7" x14ac:dyDescent="0.25">
      <c r="A5">
        <v>6617</v>
      </c>
      <c r="B5">
        <v>2140110688</v>
      </c>
      <c r="C5" t="s">
        <v>195</v>
      </c>
      <c r="D5" t="s">
        <v>193</v>
      </c>
      <c r="E5" s="35">
        <v>46295</v>
      </c>
    </row>
    <row r="6" spans="1:7" x14ac:dyDescent="0.25">
      <c r="A6">
        <v>6616</v>
      </c>
      <c r="B6">
        <v>2140110689</v>
      </c>
      <c r="C6" t="s">
        <v>194</v>
      </c>
      <c r="D6" t="s">
        <v>193</v>
      </c>
      <c r="E6" s="35">
        <v>46294</v>
      </c>
    </row>
    <row r="7" spans="1:7" x14ac:dyDescent="0.25">
      <c r="A7">
        <v>6615</v>
      </c>
      <c r="B7">
        <v>2140110687</v>
      </c>
      <c r="C7" t="s">
        <v>196</v>
      </c>
      <c r="D7" t="s">
        <v>193</v>
      </c>
      <c r="E7" s="35">
        <v>46293</v>
      </c>
    </row>
    <row r="8" spans="1:7" x14ac:dyDescent="0.25">
      <c r="A8">
        <v>6360</v>
      </c>
      <c r="B8">
        <v>2140110610</v>
      </c>
      <c r="C8" t="s">
        <v>128</v>
      </c>
      <c r="D8" t="s">
        <v>127</v>
      </c>
      <c r="E8" s="35">
        <v>46290</v>
      </c>
    </row>
    <row r="9" spans="1:7" x14ac:dyDescent="0.25">
      <c r="A9">
        <v>6357</v>
      </c>
      <c r="B9">
        <v>2140110673</v>
      </c>
      <c r="C9" t="s">
        <v>129</v>
      </c>
      <c r="D9" t="s">
        <v>127</v>
      </c>
      <c r="E9" s="35">
        <v>46283</v>
      </c>
    </row>
    <row r="10" spans="1:7" x14ac:dyDescent="0.25">
      <c r="A10">
        <v>6359</v>
      </c>
      <c r="B10">
        <v>2140110674</v>
      </c>
      <c r="C10" t="s">
        <v>130</v>
      </c>
      <c r="D10" t="s">
        <v>127</v>
      </c>
      <c r="E10" s="35">
        <v>46282</v>
      </c>
    </row>
    <row r="11" spans="1:7" x14ac:dyDescent="0.25">
      <c r="A11">
        <v>4050</v>
      </c>
      <c r="B11">
        <v>2140110694</v>
      </c>
      <c r="C11" t="s">
        <v>143</v>
      </c>
      <c r="D11" t="s">
        <v>133</v>
      </c>
      <c r="E11" s="35">
        <v>46281</v>
      </c>
    </row>
    <row r="12" spans="1:7" x14ac:dyDescent="0.25">
      <c r="A12">
        <v>6294</v>
      </c>
      <c r="B12">
        <v>2140110604</v>
      </c>
      <c r="C12" t="s">
        <v>139</v>
      </c>
      <c r="D12" t="s">
        <v>133</v>
      </c>
      <c r="E12" s="35">
        <v>46280</v>
      </c>
    </row>
    <row r="13" spans="1:7" x14ac:dyDescent="0.25">
      <c r="A13">
        <v>6243</v>
      </c>
      <c r="B13">
        <v>2140110691</v>
      </c>
      <c r="C13" t="s">
        <v>221</v>
      </c>
      <c r="D13" t="s">
        <v>133</v>
      </c>
      <c r="E13" s="35">
        <v>46280</v>
      </c>
    </row>
    <row r="14" spans="1:7" x14ac:dyDescent="0.25">
      <c r="A14">
        <v>6356</v>
      </c>
      <c r="B14">
        <v>2140110694</v>
      </c>
      <c r="C14" t="s">
        <v>143</v>
      </c>
      <c r="D14" t="s">
        <v>133</v>
      </c>
      <c r="E14" s="35">
        <v>46280</v>
      </c>
    </row>
    <row r="15" spans="1:7" x14ac:dyDescent="0.25">
      <c r="A15">
        <v>6206</v>
      </c>
      <c r="B15">
        <v>2140110690</v>
      </c>
      <c r="C15" t="s">
        <v>215</v>
      </c>
      <c r="D15" t="s">
        <v>133</v>
      </c>
      <c r="E15" s="35">
        <v>46276</v>
      </c>
    </row>
    <row r="16" spans="1:7" x14ac:dyDescent="0.25">
      <c r="A16">
        <v>6244</v>
      </c>
      <c r="B16">
        <v>2140110679</v>
      </c>
      <c r="C16" t="s">
        <v>137</v>
      </c>
      <c r="D16" t="s">
        <v>133</v>
      </c>
      <c r="E16" s="35">
        <v>46274</v>
      </c>
    </row>
    <row r="17" spans="1:5" x14ac:dyDescent="0.25">
      <c r="A17">
        <v>6251</v>
      </c>
      <c r="B17">
        <v>2140110680</v>
      </c>
      <c r="C17" t="s">
        <v>138</v>
      </c>
      <c r="D17" t="s">
        <v>133</v>
      </c>
      <c r="E17" s="35">
        <v>46274</v>
      </c>
    </row>
    <row r="18" spans="1:5" x14ac:dyDescent="0.25">
      <c r="A18">
        <v>6274</v>
      </c>
      <c r="B18">
        <v>2140110678</v>
      </c>
      <c r="C18" t="s">
        <v>135</v>
      </c>
      <c r="D18" t="s">
        <v>133</v>
      </c>
      <c r="E18" s="35">
        <v>46274</v>
      </c>
    </row>
    <row r="19" spans="1:5" x14ac:dyDescent="0.25">
      <c r="A19">
        <v>5803</v>
      </c>
      <c r="B19">
        <v>2140110637</v>
      </c>
      <c r="C19" t="s">
        <v>142</v>
      </c>
      <c r="D19" t="s">
        <v>133</v>
      </c>
      <c r="E19" s="35">
        <v>46273</v>
      </c>
    </row>
    <row r="20" spans="1:5" x14ac:dyDescent="0.25">
      <c r="A20">
        <v>6207</v>
      </c>
      <c r="B20">
        <v>2140110677</v>
      </c>
      <c r="C20" t="s">
        <v>134</v>
      </c>
      <c r="D20" t="s">
        <v>133</v>
      </c>
      <c r="E20" s="35">
        <v>46273</v>
      </c>
    </row>
    <row r="21" spans="1:5" x14ac:dyDescent="0.25">
      <c r="A21">
        <v>5804</v>
      </c>
      <c r="B21">
        <v>2140110606</v>
      </c>
      <c r="C21" t="s">
        <v>141</v>
      </c>
      <c r="D21" t="s">
        <v>133</v>
      </c>
      <c r="E21" s="35">
        <v>46270</v>
      </c>
    </row>
    <row r="22" spans="1:5" x14ac:dyDescent="0.25">
      <c r="A22">
        <v>6119</v>
      </c>
      <c r="B22">
        <v>2140110732</v>
      </c>
      <c r="C22" t="s">
        <v>262</v>
      </c>
      <c r="D22" t="s">
        <v>260</v>
      </c>
      <c r="E22" s="35">
        <v>46266</v>
      </c>
    </row>
    <row r="23" spans="1:5" x14ac:dyDescent="0.25">
      <c r="A23">
        <v>6122</v>
      </c>
      <c r="B23">
        <v>2140110526</v>
      </c>
      <c r="C23" t="s">
        <v>146</v>
      </c>
      <c r="D23" t="s">
        <v>144</v>
      </c>
      <c r="E23" s="35">
        <v>46266</v>
      </c>
    </row>
    <row r="24" spans="1:5" x14ac:dyDescent="0.25">
      <c r="A24">
        <v>5955</v>
      </c>
      <c r="B24">
        <v>2140110732</v>
      </c>
      <c r="C24" t="s">
        <v>262</v>
      </c>
      <c r="D24" t="s">
        <v>260</v>
      </c>
      <c r="E24" s="35">
        <v>46265</v>
      </c>
    </row>
    <row r="25" spans="1:5" x14ac:dyDescent="0.25">
      <c r="A25">
        <v>6101</v>
      </c>
      <c r="B25">
        <v>2140110733</v>
      </c>
      <c r="C25" t="s">
        <v>264</v>
      </c>
      <c r="D25" t="s">
        <v>260</v>
      </c>
      <c r="E25" s="35">
        <v>46265</v>
      </c>
    </row>
    <row r="26" spans="1:5" x14ac:dyDescent="0.25">
      <c r="A26">
        <v>5940</v>
      </c>
      <c r="B26">
        <v>2140110731</v>
      </c>
      <c r="C26" t="s">
        <v>261</v>
      </c>
      <c r="D26" t="s">
        <v>260</v>
      </c>
      <c r="E26" s="35">
        <v>46262</v>
      </c>
    </row>
    <row r="27" spans="1:5" x14ac:dyDescent="0.25">
      <c r="A27">
        <v>5871</v>
      </c>
      <c r="B27">
        <v>2140110610</v>
      </c>
      <c r="C27" t="s">
        <v>128</v>
      </c>
      <c r="D27" t="s">
        <v>127</v>
      </c>
      <c r="E27" s="35">
        <v>46260</v>
      </c>
    </row>
    <row r="28" spans="1:5" x14ac:dyDescent="0.25">
      <c r="A28">
        <v>5671</v>
      </c>
      <c r="B28">
        <v>2140110610</v>
      </c>
      <c r="C28" t="s">
        <v>128</v>
      </c>
      <c r="D28" t="s">
        <v>127</v>
      </c>
      <c r="E28" s="35">
        <v>46259</v>
      </c>
    </row>
    <row r="29" spans="1:5" x14ac:dyDescent="0.25">
      <c r="A29">
        <v>5891</v>
      </c>
      <c r="B29">
        <v>2140110610</v>
      </c>
      <c r="C29" t="s">
        <v>128</v>
      </c>
      <c r="D29" t="s">
        <v>127</v>
      </c>
      <c r="E29" s="35">
        <v>46258</v>
      </c>
    </row>
    <row r="30" spans="1:5" x14ac:dyDescent="0.25">
      <c r="A30">
        <v>5652</v>
      </c>
      <c r="B30">
        <v>2140110653</v>
      </c>
      <c r="C30" t="s">
        <v>158</v>
      </c>
      <c r="D30" t="s">
        <v>149</v>
      </c>
      <c r="E30" s="35">
        <v>46257</v>
      </c>
    </row>
    <row r="31" spans="1:5" x14ac:dyDescent="0.25">
      <c r="A31">
        <v>5802</v>
      </c>
      <c r="B31">
        <v>2140110604</v>
      </c>
      <c r="C31" t="s">
        <v>139</v>
      </c>
      <c r="D31" t="s">
        <v>133</v>
      </c>
      <c r="E31" s="35">
        <v>46255</v>
      </c>
    </row>
    <row r="32" spans="1:5" x14ac:dyDescent="0.25">
      <c r="A32">
        <v>5650</v>
      </c>
      <c r="B32">
        <v>2140110652</v>
      </c>
      <c r="C32" t="s">
        <v>174</v>
      </c>
      <c r="D32" t="s">
        <v>149</v>
      </c>
      <c r="E32" s="35">
        <v>46253</v>
      </c>
    </row>
    <row r="33" spans="1:5" x14ac:dyDescent="0.25">
      <c r="A33">
        <v>5801</v>
      </c>
      <c r="B33">
        <v>2140110655</v>
      </c>
      <c r="C33" t="s">
        <v>183</v>
      </c>
      <c r="D33" t="s">
        <v>149</v>
      </c>
      <c r="E33" s="35">
        <v>46253</v>
      </c>
    </row>
    <row r="34" spans="1:5" x14ac:dyDescent="0.25">
      <c r="A34">
        <v>5810</v>
      </c>
      <c r="B34">
        <v>2140110616</v>
      </c>
      <c r="C34" t="s">
        <v>182</v>
      </c>
      <c r="D34" t="s">
        <v>149</v>
      </c>
      <c r="E34" s="35">
        <v>46253</v>
      </c>
    </row>
    <row r="35" spans="1:5" x14ac:dyDescent="0.25">
      <c r="A35">
        <v>5647</v>
      </c>
      <c r="B35">
        <v>2140110662</v>
      </c>
      <c r="C35" t="s">
        <v>160</v>
      </c>
      <c r="D35" t="s">
        <v>149</v>
      </c>
      <c r="E35" s="35">
        <v>46253</v>
      </c>
    </row>
    <row r="36" spans="1:5" x14ac:dyDescent="0.25">
      <c r="A36">
        <v>5813</v>
      </c>
      <c r="B36">
        <v>2140110736</v>
      </c>
      <c r="C36" t="s">
        <v>259</v>
      </c>
      <c r="D36" t="s">
        <v>149</v>
      </c>
      <c r="E36" s="35">
        <v>46252</v>
      </c>
    </row>
    <row r="37" spans="1:5" x14ac:dyDescent="0.25">
      <c r="A37">
        <v>5778</v>
      </c>
      <c r="B37">
        <v>2140110651</v>
      </c>
      <c r="C37" t="s">
        <v>189</v>
      </c>
      <c r="D37" t="s">
        <v>149</v>
      </c>
      <c r="E37" s="35">
        <v>46251</v>
      </c>
    </row>
    <row r="38" spans="1:5" x14ac:dyDescent="0.25">
      <c r="A38">
        <v>5777</v>
      </c>
      <c r="B38">
        <v>2140110642</v>
      </c>
      <c r="C38" t="s">
        <v>157</v>
      </c>
      <c r="D38" t="s">
        <v>149</v>
      </c>
      <c r="E38" s="35">
        <v>46249</v>
      </c>
    </row>
    <row r="39" spans="1:5" x14ac:dyDescent="0.25">
      <c r="A39">
        <v>5798</v>
      </c>
      <c r="B39">
        <v>2140110614</v>
      </c>
      <c r="C39" t="s">
        <v>156</v>
      </c>
      <c r="D39" t="s">
        <v>149</v>
      </c>
      <c r="E39" s="35">
        <v>46249</v>
      </c>
    </row>
    <row r="40" spans="1:5" x14ac:dyDescent="0.25">
      <c r="A40">
        <v>5799</v>
      </c>
      <c r="B40">
        <v>2140110742</v>
      </c>
      <c r="C40" t="s">
        <v>258</v>
      </c>
      <c r="D40" t="s">
        <v>149</v>
      </c>
      <c r="E40" s="35">
        <v>46249</v>
      </c>
    </row>
    <row r="41" spans="1:5" x14ac:dyDescent="0.25">
      <c r="A41">
        <v>5800</v>
      </c>
      <c r="B41">
        <v>2140110660</v>
      </c>
      <c r="C41" t="s">
        <v>155</v>
      </c>
      <c r="D41" t="s">
        <v>149</v>
      </c>
      <c r="E41" s="35">
        <v>46249</v>
      </c>
    </row>
    <row r="42" spans="1:5" x14ac:dyDescent="0.25">
      <c r="A42">
        <v>5763</v>
      </c>
      <c r="B42">
        <v>2140110661</v>
      </c>
      <c r="C42" t="s">
        <v>165</v>
      </c>
      <c r="D42" t="s">
        <v>149</v>
      </c>
      <c r="E42" s="35">
        <v>46248</v>
      </c>
    </row>
    <row r="43" spans="1:5" x14ac:dyDescent="0.25">
      <c r="A43">
        <v>5570</v>
      </c>
      <c r="B43">
        <v>2140110741</v>
      </c>
      <c r="C43" t="s">
        <v>257</v>
      </c>
      <c r="D43" t="s">
        <v>149</v>
      </c>
      <c r="E43" s="35">
        <v>46248</v>
      </c>
    </row>
    <row r="44" spans="1:5" x14ac:dyDescent="0.25">
      <c r="A44">
        <v>5648</v>
      </c>
      <c r="B44">
        <v>2140110656</v>
      </c>
      <c r="C44" t="s">
        <v>166</v>
      </c>
      <c r="D44" t="s">
        <v>149</v>
      </c>
      <c r="E44" s="35">
        <v>46248</v>
      </c>
    </row>
    <row r="45" spans="1:5" x14ac:dyDescent="0.25">
      <c r="A45">
        <v>5715</v>
      </c>
      <c r="B45">
        <v>2140110659</v>
      </c>
      <c r="C45" t="s">
        <v>163</v>
      </c>
      <c r="D45" t="s">
        <v>149</v>
      </c>
      <c r="E45" s="35">
        <v>46247</v>
      </c>
    </row>
    <row r="46" spans="1:5" x14ac:dyDescent="0.25">
      <c r="A46">
        <v>5728</v>
      </c>
      <c r="B46">
        <v>2140110657</v>
      </c>
      <c r="C46" t="s">
        <v>173</v>
      </c>
      <c r="D46" t="s">
        <v>149</v>
      </c>
      <c r="E46" s="35">
        <v>46247</v>
      </c>
    </row>
    <row r="47" spans="1:5" x14ac:dyDescent="0.25">
      <c r="A47">
        <v>5649</v>
      </c>
      <c r="B47">
        <v>2140110654</v>
      </c>
      <c r="C47" t="s">
        <v>159</v>
      </c>
      <c r="D47" t="s">
        <v>149</v>
      </c>
      <c r="E47" s="35">
        <v>46247</v>
      </c>
    </row>
    <row r="48" spans="1:5" x14ac:dyDescent="0.25">
      <c r="A48">
        <v>5770</v>
      </c>
      <c r="B48">
        <v>2140110741</v>
      </c>
      <c r="C48" t="s">
        <v>257</v>
      </c>
      <c r="D48" t="s">
        <v>149</v>
      </c>
      <c r="E48" s="35">
        <v>46247</v>
      </c>
    </row>
    <row r="49" spans="1:5" x14ac:dyDescent="0.25">
      <c r="A49">
        <v>5462</v>
      </c>
      <c r="B49">
        <v>2140110615</v>
      </c>
      <c r="C49" t="s">
        <v>151</v>
      </c>
      <c r="D49" t="s">
        <v>149</v>
      </c>
      <c r="E49" s="35">
        <v>46246</v>
      </c>
    </row>
    <row r="50" spans="1:5" x14ac:dyDescent="0.25">
      <c r="A50">
        <v>5657</v>
      </c>
      <c r="B50">
        <v>2140110734</v>
      </c>
      <c r="C50" t="s">
        <v>254</v>
      </c>
      <c r="D50" t="s">
        <v>149</v>
      </c>
      <c r="E50" s="35">
        <v>46246</v>
      </c>
    </row>
    <row r="51" spans="1:5" x14ac:dyDescent="0.25">
      <c r="A51">
        <v>5756</v>
      </c>
      <c r="B51">
        <v>2140110735</v>
      </c>
      <c r="C51" t="s">
        <v>255</v>
      </c>
      <c r="D51" t="s">
        <v>149</v>
      </c>
      <c r="E51" s="35">
        <v>46246</v>
      </c>
    </row>
    <row r="52" spans="1:5" x14ac:dyDescent="0.25">
      <c r="A52">
        <v>5686</v>
      </c>
      <c r="B52">
        <v>2140110740</v>
      </c>
      <c r="C52" t="s">
        <v>253</v>
      </c>
      <c r="D52" t="s">
        <v>149</v>
      </c>
      <c r="E52" s="35">
        <v>46245</v>
      </c>
    </row>
    <row r="53" spans="1:5" x14ac:dyDescent="0.25">
      <c r="A53">
        <v>5502</v>
      </c>
      <c r="B53">
        <v>2140110618</v>
      </c>
      <c r="C53" t="s">
        <v>171</v>
      </c>
      <c r="D53" t="s">
        <v>149</v>
      </c>
      <c r="E53" s="35">
        <v>46245</v>
      </c>
    </row>
    <row r="54" spans="1:5" x14ac:dyDescent="0.25">
      <c r="A54">
        <v>5501</v>
      </c>
      <c r="B54">
        <v>2140110644</v>
      </c>
      <c r="C54" t="s">
        <v>154</v>
      </c>
      <c r="D54" t="s">
        <v>149</v>
      </c>
      <c r="E54" s="35">
        <v>46244</v>
      </c>
    </row>
    <row r="55" spans="1:5" x14ac:dyDescent="0.25">
      <c r="A55">
        <v>5499</v>
      </c>
      <c r="B55">
        <v>2140110617</v>
      </c>
      <c r="C55" t="s">
        <v>169</v>
      </c>
      <c r="D55" t="s">
        <v>149</v>
      </c>
      <c r="E55" s="35">
        <v>46242</v>
      </c>
    </row>
    <row r="56" spans="1:5" x14ac:dyDescent="0.25">
      <c r="A56">
        <v>5498</v>
      </c>
      <c r="B56">
        <v>2140110622</v>
      </c>
      <c r="C56" t="s">
        <v>153</v>
      </c>
      <c r="D56" t="s">
        <v>149</v>
      </c>
      <c r="E56" s="35">
        <v>46241</v>
      </c>
    </row>
    <row r="57" spans="1:5" x14ac:dyDescent="0.25">
      <c r="A57">
        <v>5503</v>
      </c>
      <c r="B57">
        <v>2140110620</v>
      </c>
      <c r="C57" t="s">
        <v>152</v>
      </c>
      <c r="D57" t="s">
        <v>149</v>
      </c>
      <c r="E57" s="35">
        <v>46239</v>
      </c>
    </row>
    <row r="58" spans="1:5" x14ac:dyDescent="0.25">
      <c r="A58">
        <v>5500</v>
      </c>
      <c r="B58">
        <v>2140110643</v>
      </c>
      <c r="C58" t="s">
        <v>170</v>
      </c>
      <c r="D58" t="s">
        <v>149</v>
      </c>
      <c r="E58" s="35">
        <v>46238</v>
      </c>
    </row>
    <row r="59" spans="1:5" x14ac:dyDescent="0.25">
      <c r="A59">
        <v>5463</v>
      </c>
      <c r="B59">
        <v>2140110613</v>
      </c>
      <c r="C59" t="s">
        <v>150</v>
      </c>
      <c r="D59" t="s">
        <v>149</v>
      </c>
      <c r="E59" s="35">
        <v>46235</v>
      </c>
    </row>
    <row r="60" spans="1:5" x14ac:dyDescent="0.25">
      <c r="A60">
        <v>5431</v>
      </c>
      <c r="B60">
        <v>2140110610</v>
      </c>
      <c r="C60" t="s">
        <v>128</v>
      </c>
      <c r="D60" t="s">
        <v>127</v>
      </c>
      <c r="E60" s="35">
        <v>46227</v>
      </c>
    </row>
    <row r="61" spans="1:5" x14ac:dyDescent="0.25">
      <c r="A61">
        <v>4780</v>
      </c>
      <c r="B61">
        <v>2140110743</v>
      </c>
      <c r="C61" t="s">
        <v>251</v>
      </c>
      <c r="D61" t="s">
        <v>127</v>
      </c>
      <c r="E61" s="35">
        <v>46226</v>
      </c>
    </row>
    <row r="62" spans="1:5" x14ac:dyDescent="0.25">
      <c r="A62">
        <v>5285</v>
      </c>
      <c r="B62">
        <v>2140110700</v>
      </c>
      <c r="C62" t="s">
        <v>122</v>
      </c>
      <c r="D62" t="s">
        <v>114</v>
      </c>
      <c r="E62" s="35">
        <v>46221</v>
      </c>
    </row>
    <row r="63" spans="1:5" x14ac:dyDescent="0.25">
      <c r="A63">
        <v>5284</v>
      </c>
      <c r="B63">
        <v>2140110704</v>
      </c>
      <c r="C63" t="s">
        <v>217</v>
      </c>
      <c r="D63" t="s">
        <v>210</v>
      </c>
      <c r="E63" s="35">
        <v>46221</v>
      </c>
    </row>
    <row r="64" spans="1:5" x14ac:dyDescent="0.25">
      <c r="A64">
        <v>5240</v>
      </c>
      <c r="B64">
        <v>2140110705</v>
      </c>
      <c r="C64" t="s">
        <v>218</v>
      </c>
      <c r="D64" t="s">
        <v>210</v>
      </c>
      <c r="E64" s="35">
        <v>46220</v>
      </c>
    </row>
    <row r="65" spans="1:5" x14ac:dyDescent="0.25">
      <c r="A65">
        <v>5283</v>
      </c>
      <c r="B65">
        <v>2140110701</v>
      </c>
      <c r="C65" t="s">
        <v>123</v>
      </c>
      <c r="D65" t="s">
        <v>114</v>
      </c>
      <c r="E65" s="35">
        <v>46220</v>
      </c>
    </row>
    <row r="66" spans="1:5" x14ac:dyDescent="0.25">
      <c r="A66">
        <v>5246</v>
      </c>
      <c r="B66">
        <v>2140110709</v>
      </c>
      <c r="C66" t="s">
        <v>213</v>
      </c>
      <c r="D66" t="s">
        <v>210</v>
      </c>
      <c r="E66" s="35">
        <v>46219</v>
      </c>
    </row>
    <row r="67" spans="1:5" x14ac:dyDescent="0.25">
      <c r="A67">
        <v>5177</v>
      </c>
      <c r="B67">
        <v>2140110699</v>
      </c>
      <c r="C67" t="s">
        <v>115</v>
      </c>
      <c r="D67" t="s">
        <v>114</v>
      </c>
      <c r="E67" s="35">
        <v>46218</v>
      </c>
    </row>
    <row r="68" spans="1:5" x14ac:dyDescent="0.25">
      <c r="A68">
        <v>5171</v>
      </c>
      <c r="B68">
        <v>2140110707</v>
      </c>
      <c r="C68" t="s">
        <v>211</v>
      </c>
      <c r="D68" t="s">
        <v>210</v>
      </c>
      <c r="E68" s="35">
        <v>46217</v>
      </c>
    </row>
    <row r="69" spans="1:5" x14ac:dyDescent="0.25">
      <c r="A69">
        <v>5082</v>
      </c>
      <c r="B69">
        <v>2140110703</v>
      </c>
      <c r="C69" t="s">
        <v>216</v>
      </c>
      <c r="D69" t="s">
        <v>210</v>
      </c>
      <c r="E69" s="35">
        <v>46214</v>
      </c>
    </row>
    <row r="70" spans="1:5" x14ac:dyDescent="0.25">
      <c r="A70">
        <v>5054</v>
      </c>
      <c r="B70">
        <v>2140110669</v>
      </c>
      <c r="C70" t="s">
        <v>177</v>
      </c>
      <c r="D70" t="s">
        <v>175</v>
      </c>
      <c r="E70" s="35">
        <v>46210</v>
      </c>
    </row>
    <row r="71" spans="1:5" x14ac:dyDescent="0.25">
      <c r="A71">
        <v>5053</v>
      </c>
      <c r="B71">
        <v>2140110668</v>
      </c>
      <c r="C71" t="s">
        <v>181</v>
      </c>
      <c r="D71" t="s">
        <v>175</v>
      </c>
      <c r="E71" s="35">
        <v>46210</v>
      </c>
    </row>
    <row r="72" spans="1:5" x14ac:dyDescent="0.25">
      <c r="A72">
        <v>5077</v>
      </c>
      <c r="B72">
        <v>2140110667</v>
      </c>
      <c r="C72" t="s">
        <v>179</v>
      </c>
      <c r="D72" t="s">
        <v>175</v>
      </c>
      <c r="E72" s="35">
        <v>46210</v>
      </c>
    </row>
    <row r="73" spans="1:5" x14ac:dyDescent="0.25">
      <c r="A73">
        <v>4901</v>
      </c>
      <c r="B73">
        <v>2140110663</v>
      </c>
      <c r="C73" t="s">
        <v>148</v>
      </c>
      <c r="D73" t="s">
        <v>147</v>
      </c>
      <c r="E73" s="35">
        <v>46209</v>
      </c>
    </row>
    <row r="74" spans="1:5" x14ac:dyDescent="0.25">
      <c r="A74">
        <v>4900</v>
      </c>
      <c r="B74">
        <v>2140110665</v>
      </c>
      <c r="C74" t="s">
        <v>185</v>
      </c>
      <c r="D74" t="s">
        <v>147</v>
      </c>
      <c r="E74" s="35">
        <v>46207</v>
      </c>
    </row>
    <row r="75" spans="1:5" x14ac:dyDescent="0.25">
      <c r="A75">
        <v>5000</v>
      </c>
      <c r="B75">
        <v>2140110664</v>
      </c>
      <c r="C75" t="s">
        <v>184</v>
      </c>
      <c r="D75" t="s">
        <v>147</v>
      </c>
      <c r="E75" s="35">
        <v>46205</v>
      </c>
    </row>
    <row r="76" spans="1:5" x14ac:dyDescent="0.25">
      <c r="A76">
        <v>4832</v>
      </c>
      <c r="B76">
        <v>2140110675</v>
      </c>
      <c r="C76" t="s">
        <v>131</v>
      </c>
      <c r="D76" t="s">
        <v>127</v>
      </c>
      <c r="E76" s="35">
        <v>46199</v>
      </c>
    </row>
    <row r="77" spans="1:5" x14ac:dyDescent="0.25">
      <c r="A77">
        <v>4768</v>
      </c>
      <c r="B77">
        <v>2140110605</v>
      </c>
      <c r="C77" t="s">
        <v>140</v>
      </c>
      <c r="D77" t="s">
        <v>133</v>
      </c>
      <c r="E77" s="35">
        <v>46197</v>
      </c>
    </row>
    <row r="78" spans="1:5" x14ac:dyDescent="0.25">
      <c r="A78">
        <v>4723</v>
      </c>
      <c r="B78">
        <v>2140110604</v>
      </c>
      <c r="C78" t="s">
        <v>139</v>
      </c>
      <c r="D78" t="s">
        <v>133</v>
      </c>
      <c r="E78" s="35">
        <v>46195</v>
      </c>
    </row>
    <row r="79" spans="1:5" x14ac:dyDescent="0.25">
      <c r="A79">
        <v>45557</v>
      </c>
      <c r="B79">
        <v>2140110610</v>
      </c>
      <c r="C79" t="s">
        <v>128</v>
      </c>
      <c r="D79" t="s">
        <v>127</v>
      </c>
      <c r="E79" s="35">
        <v>46192</v>
      </c>
    </row>
    <row r="80" spans="1:5" x14ac:dyDescent="0.25">
      <c r="A80">
        <v>4557</v>
      </c>
      <c r="B80">
        <v>2140110610</v>
      </c>
      <c r="C80" t="s">
        <v>128</v>
      </c>
      <c r="D80" t="s">
        <v>127</v>
      </c>
      <c r="E80" s="35">
        <v>46191</v>
      </c>
    </row>
    <row r="81" spans="1:5" x14ac:dyDescent="0.25">
      <c r="A81">
        <v>3997</v>
      </c>
      <c r="B81">
        <v>2140110728</v>
      </c>
      <c r="C81" t="s">
        <v>214</v>
      </c>
      <c r="D81" t="s">
        <v>193</v>
      </c>
      <c r="E81" s="35">
        <v>46139</v>
      </c>
    </row>
    <row r="82" spans="1:5" x14ac:dyDescent="0.25">
      <c r="A82">
        <v>3945</v>
      </c>
      <c r="B82">
        <v>2320130717</v>
      </c>
      <c r="C82" t="s">
        <v>199</v>
      </c>
      <c r="D82" t="s">
        <v>124</v>
      </c>
      <c r="E82" s="35">
        <v>46111</v>
      </c>
    </row>
    <row r="83" spans="1:5" x14ac:dyDescent="0.25">
      <c r="A83">
        <v>3942</v>
      </c>
      <c r="B83">
        <v>2320130716</v>
      </c>
      <c r="C83" t="s">
        <v>197</v>
      </c>
      <c r="D83" t="s">
        <v>124</v>
      </c>
      <c r="E83" s="35">
        <v>46111</v>
      </c>
    </row>
    <row r="84" spans="1:5" x14ac:dyDescent="0.25">
      <c r="A84">
        <v>3918</v>
      </c>
      <c r="B84">
        <v>2140110688</v>
      </c>
      <c r="C84" t="s">
        <v>195</v>
      </c>
      <c r="D84" t="s">
        <v>193</v>
      </c>
      <c r="E84" s="35">
        <v>46109</v>
      </c>
    </row>
    <row r="85" spans="1:5" x14ac:dyDescent="0.25">
      <c r="A85">
        <v>3919</v>
      </c>
      <c r="B85">
        <v>2140110689</v>
      </c>
      <c r="C85" t="s">
        <v>194</v>
      </c>
      <c r="D85" t="s">
        <v>193</v>
      </c>
      <c r="E85" s="35">
        <v>46109</v>
      </c>
    </row>
    <row r="86" spans="1:5" x14ac:dyDescent="0.25">
      <c r="A86">
        <v>3905</v>
      </c>
      <c r="B86">
        <v>2140110687</v>
      </c>
      <c r="C86" t="s">
        <v>196</v>
      </c>
      <c r="D86" t="s">
        <v>193</v>
      </c>
      <c r="E86" s="35">
        <v>46108</v>
      </c>
    </row>
    <row r="87" spans="1:5" x14ac:dyDescent="0.25">
      <c r="A87">
        <v>3858</v>
      </c>
      <c r="B87">
        <v>2140110610</v>
      </c>
      <c r="C87" t="s">
        <v>128</v>
      </c>
      <c r="D87" t="s">
        <v>127</v>
      </c>
      <c r="E87" s="35">
        <v>46107</v>
      </c>
    </row>
    <row r="88" spans="1:5" x14ac:dyDescent="0.25">
      <c r="A88">
        <v>3840</v>
      </c>
      <c r="B88">
        <v>2140110604</v>
      </c>
      <c r="C88" t="s">
        <v>139</v>
      </c>
      <c r="D88" t="s">
        <v>133</v>
      </c>
      <c r="E88" s="35">
        <v>46105</v>
      </c>
    </row>
    <row r="89" spans="1:5" x14ac:dyDescent="0.25">
      <c r="A89">
        <v>3760</v>
      </c>
      <c r="B89">
        <v>2310320089</v>
      </c>
      <c r="C89" t="s">
        <v>125</v>
      </c>
      <c r="D89" t="s">
        <v>124</v>
      </c>
      <c r="E89" s="35">
        <v>46097</v>
      </c>
    </row>
    <row r="90" spans="1:5" x14ac:dyDescent="0.25">
      <c r="A90">
        <v>3732</v>
      </c>
      <c r="B90">
        <v>2140110721</v>
      </c>
      <c r="C90" t="s">
        <v>243</v>
      </c>
      <c r="D90" t="s">
        <v>175</v>
      </c>
      <c r="E90" s="35">
        <v>46083</v>
      </c>
    </row>
    <row r="91" spans="1:5" x14ac:dyDescent="0.25">
      <c r="A91">
        <v>3728</v>
      </c>
      <c r="B91">
        <v>2140110533</v>
      </c>
      <c r="C91" t="s">
        <v>192</v>
      </c>
      <c r="D91" t="s">
        <v>191</v>
      </c>
      <c r="E91" s="35">
        <v>46079</v>
      </c>
    </row>
    <row r="92" spans="1:5" x14ac:dyDescent="0.25">
      <c r="A92">
        <v>3655</v>
      </c>
      <c r="B92">
        <v>2140110669</v>
      </c>
      <c r="C92" t="s">
        <v>177</v>
      </c>
      <c r="D92" t="s">
        <v>175</v>
      </c>
      <c r="E92" s="35">
        <v>46077</v>
      </c>
    </row>
    <row r="93" spans="1:5" x14ac:dyDescent="0.25">
      <c r="A93">
        <v>3659</v>
      </c>
      <c r="B93">
        <v>2140110714</v>
      </c>
      <c r="C93" t="s">
        <v>190</v>
      </c>
      <c r="D93" t="s">
        <v>147</v>
      </c>
      <c r="E93" s="35">
        <v>46077</v>
      </c>
    </row>
    <row r="94" spans="1:5" x14ac:dyDescent="0.25">
      <c r="A94">
        <v>3733</v>
      </c>
      <c r="B94">
        <v>2140110720</v>
      </c>
      <c r="C94" t="s">
        <v>242</v>
      </c>
      <c r="D94" t="s">
        <v>175</v>
      </c>
      <c r="E94" s="35">
        <v>46077</v>
      </c>
    </row>
    <row r="95" spans="1:5" x14ac:dyDescent="0.25">
      <c r="A95">
        <v>3654</v>
      </c>
      <c r="B95">
        <v>2140110663</v>
      </c>
      <c r="C95" t="s">
        <v>148</v>
      </c>
      <c r="D95" t="s">
        <v>147</v>
      </c>
      <c r="E95" s="35">
        <v>46076</v>
      </c>
    </row>
    <row r="96" spans="1:5" x14ac:dyDescent="0.25">
      <c r="A96">
        <v>3658</v>
      </c>
      <c r="B96">
        <v>2140110606</v>
      </c>
      <c r="C96" t="s">
        <v>141</v>
      </c>
      <c r="D96" t="s">
        <v>133</v>
      </c>
      <c r="E96" s="35">
        <v>46073</v>
      </c>
    </row>
    <row r="97" spans="1:5" x14ac:dyDescent="0.25">
      <c r="A97">
        <v>3714</v>
      </c>
      <c r="B97">
        <v>2140110694</v>
      </c>
      <c r="C97" t="s">
        <v>143</v>
      </c>
      <c r="D97" t="s">
        <v>133</v>
      </c>
      <c r="E97" s="35">
        <v>46073</v>
      </c>
    </row>
    <row r="98" spans="1:5" x14ac:dyDescent="0.25">
      <c r="A98">
        <v>3656</v>
      </c>
      <c r="B98">
        <v>2140110605</v>
      </c>
      <c r="C98" t="s">
        <v>140</v>
      </c>
      <c r="D98" t="s">
        <v>133</v>
      </c>
      <c r="E98" s="35">
        <v>46072</v>
      </c>
    </row>
    <row r="99" spans="1:5" x14ac:dyDescent="0.25">
      <c r="A99">
        <v>3657</v>
      </c>
      <c r="B99">
        <v>2140110688</v>
      </c>
      <c r="C99" t="s">
        <v>195</v>
      </c>
      <c r="D99" t="s">
        <v>193</v>
      </c>
      <c r="E99" s="35">
        <v>46070</v>
      </c>
    </row>
    <row r="100" spans="1:5" x14ac:dyDescent="0.25">
      <c r="A100">
        <v>3653</v>
      </c>
      <c r="B100">
        <v>2140110702</v>
      </c>
      <c r="C100" t="s">
        <v>236</v>
      </c>
      <c r="D100" t="s">
        <v>114</v>
      </c>
      <c r="E100" s="35">
        <v>46069</v>
      </c>
    </row>
    <row r="101" spans="1:5" x14ac:dyDescent="0.25">
      <c r="A101">
        <v>3652</v>
      </c>
      <c r="B101">
        <v>2140110700</v>
      </c>
      <c r="C101" t="s">
        <v>122</v>
      </c>
      <c r="D101" t="s">
        <v>114</v>
      </c>
      <c r="E101" s="35">
        <v>46066</v>
      </c>
    </row>
    <row r="102" spans="1:5" x14ac:dyDescent="0.25">
      <c r="A102">
        <v>3512</v>
      </c>
      <c r="B102">
        <v>2140110704</v>
      </c>
      <c r="C102" t="s">
        <v>217</v>
      </c>
      <c r="D102" t="s">
        <v>210</v>
      </c>
      <c r="E102" s="35">
        <v>46066</v>
      </c>
    </row>
    <row r="103" spans="1:5" x14ac:dyDescent="0.25">
      <c r="A103">
        <v>3510</v>
      </c>
      <c r="B103">
        <v>2140110701</v>
      </c>
      <c r="C103" t="s">
        <v>123</v>
      </c>
      <c r="D103" t="s">
        <v>114</v>
      </c>
      <c r="E103" s="35">
        <v>46065</v>
      </c>
    </row>
    <row r="104" spans="1:5" x14ac:dyDescent="0.25">
      <c r="A104">
        <v>3517</v>
      </c>
      <c r="B104">
        <v>2140110707</v>
      </c>
      <c r="C104" t="s">
        <v>211</v>
      </c>
      <c r="D104" t="s">
        <v>210</v>
      </c>
      <c r="E104" s="35">
        <v>46065</v>
      </c>
    </row>
    <row r="105" spans="1:5" x14ac:dyDescent="0.25">
      <c r="A105">
        <v>3516</v>
      </c>
      <c r="B105">
        <v>2140110703</v>
      </c>
      <c r="C105" t="s">
        <v>216</v>
      </c>
      <c r="D105" t="s">
        <v>210</v>
      </c>
      <c r="E105" s="35">
        <v>46064</v>
      </c>
    </row>
    <row r="106" spans="1:5" x14ac:dyDescent="0.25">
      <c r="A106">
        <v>3521</v>
      </c>
      <c r="B106">
        <v>2140110699</v>
      </c>
      <c r="C106" t="s">
        <v>115</v>
      </c>
      <c r="D106" t="s">
        <v>114</v>
      </c>
      <c r="E106" s="35">
        <v>46064</v>
      </c>
    </row>
    <row r="107" spans="1:5" x14ac:dyDescent="0.25">
      <c r="A107">
        <v>521</v>
      </c>
      <c r="B107">
        <v>2140110699</v>
      </c>
      <c r="C107" t="s">
        <v>115</v>
      </c>
      <c r="D107" t="s">
        <v>114</v>
      </c>
      <c r="E107" s="35">
        <v>46063</v>
      </c>
    </row>
    <row r="108" spans="1:5" x14ac:dyDescent="0.25">
      <c r="A108">
        <v>3300</v>
      </c>
      <c r="B108">
        <v>2140110704</v>
      </c>
      <c r="C108" t="s">
        <v>217</v>
      </c>
      <c r="D108" t="s">
        <v>210</v>
      </c>
      <c r="E108" s="35">
        <v>46060</v>
      </c>
    </row>
    <row r="109" spans="1:5" x14ac:dyDescent="0.25">
      <c r="A109">
        <v>3302</v>
      </c>
      <c r="B109">
        <v>2140110708</v>
      </c>
      <c r="C109" t="s">
        <v>212</v>
      </c>
      <c r="D109" t="s">
        <v>210</v>
      </c>
      <c r="E109" s="35">
        <v>46060</v>
      </c>
    </row>
    <row r="110" spans="1:5" x14ac:dyDescent="0.25">
      <c r="A110">
        <v>3427</v>
      </c>
      <c r="B110">
        <v>2140110699</v>
      </c>
      <c r="C110" t="s">
        <v>115</v>
      </c>
      <c r="D110" t="s">
        <v>114</v>
      </c>
      <c r="E110" s="35">
        <v>46059</v>
      </c>
    </row>
    <row r="111" spans="1:5" x14ac:dyDescent="0.25">
      <c r="A111">
        <v>3299</v>
      </c>
      <c r="B111">
        <v>2140110703</v>
      </c>
      <c r="C111" t="s">
        <v>216</v>
      </c>
      <c r="D111" t="s">
        <v>210</v>
      </c>
      <c r="E111" s="35">
        <v>46058</v>
      </c>
    </row>
    <row r="112" spans="1:5" x14ac:dyDescent="0.25">
      <c r="A112">
        <v>3304</v>
      </c>
      <c r="B112">
        <v>2140110705</v>
      </c>
      <c r="C112" t="s">
        <v>218</v>
      </c>
      <c r="D112" t="s">
        <v>210</v>
      </c>
      <c r="E112" s="35">
        <v>46057</v>
      </c>
    </row>
    <row r="113" spans="1:5" x14ac:dyDescent="0.25">
      <c r="A113">
        <v>3301</v>
      </c>
      <c r="B113">
        <v>2140110707</v>
      </c>
      <c r="C113" t="s">
        <v>211</v>
      </c>
      <c r="D113" t="s">
        <v>210</v>
      </c>
      <c r="E113" s="35">
        <v>46057</v>
      </c>
    </row>
    <row r="114" spans="1:5" x14ac:dyDescent="0.25">
      <c r="A114">
        <v>3259</v>
      </c>
      <c r="B114">
        <v>2140110703</v>
      </c>
      <c r="C114" t="s">
        <v>216</v>
      </c>
      <c r="D114" t="s">
        <v>210</v>
      </c>
      <c r="E114" s="35">
        <v>46057</v>
      </c>
    </row>
    <row r="115" spans="1:5" x14ac:dyDescent="0.25">
      <c r="A115">
        <v>3313</v>
      </c>
      <c r="B115">
        <v>2140110727</v>
      </c>
      <c r="C115" t="s">
        <v>235</v>
      </c>
      <c r="D115" t="s">
        <v>193</v>
      </c>
      <c r="E115" s="35">
        <v>46056</v>
      </c>
    </row>
    <row r="116" spans="1:5" x14ac:dyDescent="0.25">
      <c r="A116">
        <v>3376</v>
      </c>
      <c r="B116">
        <v>2140110711</v>
      </c>
      <c r="C116" t="s">
        <v>232</v>
      </c>
      <c r="D116" t="s">
        <v>193</v>
      </c>
      <c r="E116" s="35">
        <v>46055</v>
      </c>
    </row>
    <row r="117" spans="1:5" x14ac:dyDescent="0.25">
      <c r="A117">
        <v>3374</v>
      </c>
      <c r="B117">
        <v>2140110712</v>
      </c>
      <c r="C117" t="s">
        <v>233</v>
      </c>
      <c r="D117" t="s">
        <v>193</v>
      </c>
      <c r="E117" s="35">
        <v>46055</v>
      </c>
    </row>
    <row r="118" spans="1:5" x14ac:dyDescent="0.25">
      <c r="A118">
        <v>3292</v>
      </c>
      <c r="B118">
        <v>2140110724</v>
      </c>
      <c r="C118" t="s">
        <v>231</v>
      </c>
      <c r="D118" t="s">
        <v>175</v>
      </c>
      <c r="E118" s="35">
        <v>46051</v>
      </c>
    </row>
    <row r="119" spans="1:5" x14ac:dyDescent="0.25">
      <c r="A119">
        <v>3298</v>
      </c>
      <c r="B119">
        <v>2140110673</v>
      </c>
      <c r="C119" t="s">
        <v>129</v>
      </c>
      <c r="D119" t="s">
        <v>127</v>
      </c>
      <c r="E119" s="35">
        <v>46050</v>
      </c>
    </row>
    <row r="120" spans="1:5" x14ac:dyDescent="0.25">
      <c r="A120">
        <v>3375</v>
      </c>
      <c r="B120">
        <v>2140110715</v>
      </c>
      <c r="C120" t="s">
        <v>229</v>
      </c>
      <c r="D120" t="s">
        <v>147</v>
      </c>
      <c r="E120" s="35">
        <v>46050</v>
      </c>
    </row>
    <row r="121" spans="1:5" x14ac:dyDescent="0.25">
      <c r="A121">
        <v>3373</v>
      </c>
      <c r="B121">
        <v>2140110723</v>
      </c>
      <c r="C121" t="s">
        <v>230</v>
      </c>
      <c r="D121" t="s">
        <v>147</v>
      </c>
      <c r="E121" s="35">
        <v>46050</v>
      </c>
    </row>
    <row r="122" spans="1:5" x14ac:dyDescent="0.25">
      <c r="A122">
        <v>3320</v>
      </c>
      <c r="B122">
        <v>2140110675</v>
      </c>
      <c r="C122" t="s">
        <v>131</v>
      </c>
      <c r="D122" t="s">
        <v>127</v>
      </c>
      <c r="E122" s="35">
        <v>46049</v>
      </c>
    </row>
    <row r="123" spans="1:5" x14ac:dyDescent="0.25">
      <c r="A123">
        <v>3294</v>
      </c>
      <c r="B123">
        <v>2140110674</v>
      </c>
      <c r="C123" t="s">
        <v>130</v>
      </c>
      <c r="D123" t="s">
        <v>127</v>
      </c>
      <c r="E123" s="35">
        <v>46049</v>
      </c>
    </row>
    <row r="124" spans="1:5" x14ac:dyDescent="0.25">
      <c r="A124">
        <v>3321</v>
      </c>
      <c r="B124">
        <v>2140110716</v>
      </c>
      <c r="C124" t="s">
        <v>227</v>
      </c>
      <c r="D124" t="s">
        <v>147</v>
      </c>
      <c r="E124" s="35">
        <v>46048</v>
      </c>
    </row>
    <row r="125" spans="1:5" x14ac:dyDescent="0.25">
      <c r="A125">
        <v>3314</v>
      </c>
      <c r="B125">
        <v>2140110713</v>
      </c>
      <c r="C125" t="s">
        <v>228</v>
      </c>
      <c r="D125" t="s">
        <v>193</v>
      </c>
      <c r="E125" s="35">
        <v>46048</v>
      </c>
    </row>
    <row r="126" spans="1:5" x14ac:dyDescent="0.25">
      <c r="A126">
        <v>3309</v>
      </c>
      <c r="B126">
        <v>2140110676</v>
      </c>
      <c r="C126" t="s">
        <v>132</v>
      </c>
      <c r="D126" t="s">
        <v>127</v>
      </c>
      <c r="E126" s="35">
        <v>46045</v>
      </c>
    </row>
    <row r="127" spans="1:5" x14ac:dyDescent="0.25">
      <c r="A127">
        <v>3290</v>
      </c>
      <c r="B127">
        <v>2140110676</v>
      </c>
      <c r="C127" t="s">
        <v>132</v>
      </c>
      <c r="D127" t="s">
        <v>127</v>
      </c>
      <c r="E127" s="35">
        <v>46045</v>
      </c>
    </row>
    <row r="128" spans="1:5" x14ac:dyDescent="0.25">
      <c r="A128">
        <v>3284</v>
      </c>
      <c r="B128">
        <v>2140110667</v>
      </c>
      <c r="C128" t="s">
        <v>179</v>
      </c>
      <c r="D128" t="s">
        <v>175</v>
      </c>
      <c r="E128" s="35">
        <v>46044</v>
      </c>
    </row>
    <row r="129" spans="1:5" x14ac:dyDescent="0.25">
      <c r="A129">
        <v>3285</v>
      </c>
      <c r="B129">
        <v>2140110670</v>
      </c>
      <c r="C129" t="s">
        <v>178</v>
      </c>
      <c r="D129" t="s">
        <v>175</v>
      </c>
      <c r="E129" s="35">
        <v>46044</v>
      </c>
    </row>
    <row r="130" spans="1:5" x14ac:dyDescent="0.25">
      <c r="A130">
        <v>3281</v>
      </c>
      <c r="B130">
        <v>2140110606</v>
      </c>
      <c r="C130" t="s">
        <v>141</v>
      </c>
      <c r="D130" t="s">
        <v>133</v>
      </c>
      <c r="E130" s="35">
        <v>46043</v>
      </c>
    </row>
    <row r="131" spans="1:5" x14ac:dyDescent="0.25">
      <c r="A131">
        <v>3282</v>
      </c>
      <c r="B131">
        <v>2140110671</v>
      </c>
      <c r="C131" t="s">
        <v>180</v>
      </c>
      <c r="D131" t="s">
        <v>175</v>
      </c>
      <c r="E131" s="35">
        <v>46043</v>
      </c>
    </row>
    <row r="132" spans="1:5" x14ac:dyDescent="0.25">
      <c r="A132">
        <v>3283</v>
      </c>
      <c r="B132">
        <v>2140110668</v>
      </c>
      <c r="C132" t="s">
        <v>181</v>
      </c>
      <c r="D132" t="s">
        <v>175</v>
      </c>
      <c r="E132" s="35">
        <v>46043</v>
      </c>
    </row>
    <row r="133" spans="1:5" x14ac:dyDescent="0.25">
      <c r="A133">
        <v>3280</v>
      </c>
      <c r="B133">
        <v>2140110669</v>
      </c>
      <c r="C133" t="s">
        <v>177</v>
      </c>
      <c r="D133" t="s">
        <v>175</v>
      </c>
      <c r="E133" s="35">
        <v>46041</v>
      </c>
    </row>
    <row r="134" spans="1:5" x14ac:dyDescent="0.25">
      <c r="A134">
        <v>3146</v>
      </c>
      <c r="B134">
        <v>2140110610</v>
      </c>
      <c r="C134" t="s">
        <v>128</v>
      </c>
      <c r="D134" t="s">
        <v>127</v>
      </c>
      <c r="E134" s="35">
        <v>46038</v>
      </c>
    </row>
    <row r="135" spans="1:5" x14ac:dyDescent="0.25">
      <c r="A135">
        <v>3279</v>
      </c>
      <c r="B135">
        <v>2140110666</v>
      </c>
      <c r="C135" t="s">
        <v>176</v>
      </c>
      <c r="D135" t="s">
        <v>175</v>
      </c>
      <c r="E135" s="35">
        <v>46038</v>
      </c>
    </row>
    <row r="136" spans="1:5" x14ac:dyDescent="0.25">
      <c r="A136">
        <v>2997</v>
      </c>
      <c r="B136">
        <v>2140110604</v>
      </c>
      <c r="C136" t="s">
        <v>139</v>
      </c>
      <c r="D136" t="s">
        <v>133</v>
      </c>
      <c r="E136" s="35">
        <v>46034</v>
      </c>
    </row>
    <row r="137" spans="1:5" x14ac:dyDescent="0.25">
      <c r="A137">
        <v>2853</v>
      </c>
      <c r="B137">
        <v>2140110533</v>
      </c>
      <c r="C137" t="s">
        <v>192</v>
      </c>
      <c r="D137" t="s">
        <v>191</v>
      </c>
      <c r="E137" s="35">
        <v>46027</v>
      </c>
    </row>
    <row r="138" spans="1:5" x14ac:dyDescent="0.25">
      <c r="A138">
        <v>2861</v>
      </c>
      <c r="B138">
        <v>2140110705</v>
      </c>
      <c r="C138" t="s">
        <v>218</v>
      </c>
      <c r="D138" t="s">
        <v>210</v>
      </c>
      <c r="E138" s="35">
        <v>46024</v>
      </c>
    </row>
    <row r="139" spans="1:5" x14ac:dyDescent="0.25">
      <c r="A139">
        <v>2860</v>
      </c>
      <c r="B139">
        <v>2140110708</v>
      </c>
      <c r="C139" t="s">
        <v>212</v>
      </c>
      <c r="D139" t="s">
        <v>210</v>
      </c>
      <c r="E139" s="35">
        <v>46021</v>
      </c>
    </row>
    <row r="140" spans="1:5" x14ac:dyDescent="0.25">
      <c r="A140">
        <v>2859</v>
      </c>
      <c r="B140">
        <v>2140110704</v>
      </c>
      <c r="C140" t="s">
        <v>217</v>
      </c>
      <c r="D140" t="s">
        <v>210</v>
      </c>
      <c r="E140" s="35">
        <v>46021</v>
      </c>
    </row>
    <row r="141" spans="1:5" x14ac:dyDescent="0.25">
      <c r="A141">
        <v>2862</v>
      </c>
      <c r="B141">
        <v>2140110709</v>
      </c>
      <c r="C141" t="s">
        <v>213</v>
      </c>
      <c r="D141" t="s">
        <v>210</v>
      </c>
      <c r="E141" s="35">
        <v>46021</v>
      </c>
    </row>
    <row r="142" spans="1:5" x14ac:dyDescent="0.25">
      <c r="A142">
        <v>2858</v>
      </c>
      <c r="B142">
        <v>2140110707</v>
      </c>
      <c r="C142" t="s">
        <v>211</v>
      </c>
      <c r="D142" t="s">
        <v>210</v>
      </c>
      <c r="E142" s="35">
        <v>46020</v>
      </c>
    </row>
    <row r="143" spans="1:5" x14ac:dyDescent="0.25">
      <c r="A143">
        <v>2857</v>
      </c>
      <c r="B143">
        <v>2140110703</v>
      </c>
      <c r="C143" t="s">
        <v>216</v>
      </c>
      <c r="D143" t="s">
        <v>210</v>
      </c>
      <c r="E143" s="35">
        <v>46018</v>
      </c>
    </row>
    <row r="144" spans="1:5" x14ac:dyDescent="0.25">
      <c r="A144">
        <v>2587</v>
      </c>
      <c r="B144">
        <v>2140110703</v>
      </c>
      <c r="C144" t="s">
        <v>216</v>
      </c>
      <c r="D144" t="s">
        <v>210</v>
      </c>
      <c r="E144" s="35">
        <v>46014</v>
      </c>
    </row>
    <row r="145" spans="1:5" x14ac:dyDescent="0.25">
      <c r="A145">
        <v>2574</v>
      </c>
      <c r="B145">
        <v>2140110726</v>
      </c>
      <c r="C145" t="s">
        <v>223</v>
      </c>
      <c r="D145" t="s">
        <v>124</v>
      </c>
      <c r="E145" s="35">
        <v>46013</v>
      </c>
    </row>
    <row r="146" spans="1:5" x14ac:dyDescent="0.25">
      <c r="A146">
        <v>2742</v>
      </c>
      <c r="B146">
        <v>2140110669</v>
      </c>
      <c r="C146" t="s">
        <v>177</v>
      </c>
      <c r="D146" t="s">
        <v>175</v>
      </c>
      <c r="E146" s="35">
        <v>46007</v>
      </c>
    </row>
    <row r="147" spans="1:5" x14ac:dyDescent="0.25">
      <c r="A147">
        <v>2627</v>
      </c>
      <c r="B147">
        <v>2140110687</v>
      </c>
      <c r="C147" t="s">
        <v>196</v>
      </c>
      <c r="D147" t="s">
        <v>193</v>
      </c>
      <c r="E147" s="35">
        <v>46006</v>
      </c>
    </row>
    <row r="148" spans="1:5" x14ac:dyDescent="0.25">
      <c r="A148">
        <v>2691</v>
      </c>
      <c r="B148">
        <v>2140110688</v>
      </c>
      <c r="C148" t="s">
        <v>195</v>
      </c>
      <c r="D148" t="s">
        <v>193</v>
      </c>
      <c r="E148" s="35">
        <v>46006</v>
      </c>
    </row>
    <row r="149" spans="1:5" x14ac:dyDescent="0.25">
      <c r="A149">
        <v>2678</v>
      </c>
      <c r="B149">
        <v>2140110533</v>
      </c>
      <c r="C149" t="s">
        <v>192</v>
      </c>
      <c r="D149" t="s">
        <v>191</v>
      </c>
      <c r="E149" s="35">
        <v>46002</v>
      </c>
    </row>
    <row r="150" spans="1:5" x14ac:dyDescent="0.25">
      <c r="A150">
        <v>2556</v>
      </c>
      <c r="B150">
        <v>2140110610</v>
      </c>
      <c r="C150" t="s">
        <v>128</v>
      </c>
      <c r="D150" t="s">
        <v>127</v>
      </c>
      <c r="E150" s="35">
        <v>46001</v>
      </c>
    </row>
    <row r="151" spans="1:5" x14ac:dyDescent="0.25">
      <c r="A151">
        <v>2626</v>
      </c>
      <c r="B151">
        <v>2140110674</v>
      </c>
      <c r="C151" t="s">
        <v>130</v>
      </c>
      <c r="D151" t="s">
        <v>127</v>
      </c>
      <c r="E151" s="35">
        <v>46001</v>
      </c>
    </row>
    <row r="152" spans="1:5" x14ac:dyDescent="0.25">
      <c r="A152">
        <v>2531</v>
      </c>
      <c r="B152">
        <v>2140110690</v>
      </c>
      <c r="C152" t="s">
        <v>215</v>
      </c>
      <c r="D152" t="s">
        <v>133</v>
      </c>
      <c r="E152" s="35">
        <v>45994</v>
      </c>
    </row>
    <row r="153" spans="1:5" x14ac:dyDescent="0.25">
      <c r="A153">
        <v>2410</v>
      </c>
      <c r="B153">
        <v>2140110606</v>
      </c>
      <c r="C153" t="s">
        <v>141</v>
      </c>
      <c r="D153" t="s">
        <v>133</v>
      </c>
      <c r="E153" s="35">
        <v>45994</v>
      </c>
    </row>
    <row r="154" spans="1:5" x14ac:dyDescent="0.25">
      <c r="A154">
        <v>2534</v>
      </c>
      <c r="B154">
        <v>2140110730</v>
      </c>
      <c r="C154" t="s">
        <v>222</v>
      </c>
      <c r="D154" t="s">
        <v>133</v>
      </c>
      <c r="E154" s="35">
        <v>45994</v>
      </c>
    </row>
    <row r="155" spans="1:5" x14ac:dyDescent="0.25">
      <c r="A155">
        <v>2532</v>
      </c>
      <c r="B155">
        <v>2140110691</v>
      </c>
      <c r="C155" t="s">
        <v>221</v>
      </c>
      <c r="D155" t="s">
        <v>133</v>
      </c>
      <c r="E155" s="35">
        <v>45993</v>
      </c>
    </row>
    <row r="156" spans="1:5" x14ac:dyDescent="0.25">
      <c r="A156">
        <v>2377</v>
      </c>
      <c r="B156">
        <v>2140110604</v>
      </c>
      <c r="C156" t="s">
        <v>139</v>
      </c>
      <c r="D156" t="s">
        <v>133</v>
      </c>
      <c r="E156" s="35">
        <v>45993</v>
      </c>
    </row>
    <row r="157" spans="1:5" x14ac:dyDescent="0.25">
      <c r="A157">
        <v>2453</v>
      </c>
      <c r="B157">
        <v>2140110705</v>
      </c>
      <c r="C157" t="s">
        <v>218</v>
      </c>
      <c r="D157" t="s">
        <v>210</v>
      </c>
      <c r="E157" s="35">
        <v>45992</v>
      </c>
    </row>
    <row r="158" spans="1:5" x14ac:dyDescent="0.25">
      <c r="A158">
        <v>2533</v>
      </c>
      <c r="B158">
        <v>2140110794</v>
      </c>
      <c r="C158" t="s">
        <v>220</v>
      </c>
      <c r="D158" t="s">
        <v>124</v>
      </c>
      <c r="E158" s="35">
        <v>45992</v>
      </c>
    </row>
    <row r="159" spans="1:5" x14ac:dyDescent="0.25">
      <c r="A159">
        <v>2412</v>
      </c>
      <c r="B159">
        <v>2140110703</v>
      </c>
      <c r="C159" t="s">
        <v>216</v>
      </c>
      <c r="D159" t="s">
        <v>210</v>
      </c>
      <c r="E159" s="35">
        <v>45989</v>
      </c>
    </row>
    <row r="160" spans="1:5" x14ac:dyDescent="0.25">
      <c r="A160">
        <v>2452</v>
      </c>
      <c r="B160">
        <v>2140110704</v>
      </c>
      <c r="C160" t="s">
        <v>217</v>
      </c>
      <c r="D160" t="s">
        <v>210</v>
      </c>
      <c r="E160" s="35">
        <v>45989</v>
      </c>
    </row>
    <row r="161" spans="1:5" x14ac:dyDescent="0.25">
      <c r="A161">
        <v>2327</v>
      </c>
      <c r="B161">
        <v>2140110728</v>
      </c>
      <c r="C161" t="s">
        <v>214</v>
      </c>
      <c r="D161" t="s">
        <v>193</v>
      </c>
      <c r="E161" s="35">
        <v>45987</v>
      </c>
    </row>
    <row r="162" spans="1:5" x14ac:dyDescent="0.25">
      <c r="A162">
        <v>3635</v>
      </c>
      <c r="B162">
        <v>2140110690</v>
      </c>
      <c r="C162" t="s">
        <v>215</v>
      </c>
      <c r="D162" t="s">
        <v>133</v>
      </c>
      <c r="E162" s="35">
        <v>45987</v>
      </c>
    </row>
    <row r="163" spans="1:5" x14ac:dyDescent="0.25">
      <c r="A163">
        <v>2286</v>
      </c>
      <c r="B163">
        <v>2140110689</v>
      </c>
      <c r="C163" t="s">
        <v>194</v>
      </c>
      <c r="D163" t="s">
        <v>193</v>
      </c>
      <c r="E163" s="35">
        <v>45981</v>
      </c>
    </row>
    <row r="164" spans="1:5" x14ac:dyDescent="0.25">
      <c r="A164">
        <v>2301</v>
      </c>
      <c r="B164">
        <v>2140110687</v>
      </c>
      <c r="C164" t="s">
        <v>196</v>
      </c>
      <c r="D164" t="s">
        <v>193</v>
      </c>
      <c r="E164" s="35">
        <v>45981</v>
      </c>
    </row>
    <row r="165" spans="1:5" x14ac:dyDescent="0.25">
      <c r="A165">
        <v>2285</v>
      </c>
      <c r="B165">
        <v>2140110665</v>
      </c>
      <c r="C165" t="s">
        <v>185</v>
      </c>
      <c r="D165" t="s">
        <v>147</v>
      </c>
      <c r="E165" s="35">
        <v>45980</v>
      </c>
    </row>
    <row r="166" spans="1:5" x14ac:dyDescent="0.25">
      <c r="A166">
        <v>2244</v>
      </c>
      <c r="B166">
        <v>2140110663</v>
      </c>
      <c r="C166" t="s">
        <v>148</v>
      </c>
      <c r="D166" t="s">
        <v>147</v>
      </c>
      <c r="E166" s="35">
        <v>45979</v>
      </c>
    </row>
    <row r="167" spans="1:5" x14ac:dyDescent="0.25">
      <c r="A167">
        <v>2231</v>
      </c>
      <c r="B167">
        <v>2140110606</v>
      </c>
      <c r="C167" t="s">
        <v>141</v>
      </c>
      <c r="D167" t="s">
        <v>133</v>
      </c>
      <c r="E167" s="35">
        <v>45978</v>
      </c>
    </row>
    <row r="168" spans="1:5" x14ac:dyDescent="0.25">
      <c r="A168">
        <v>2208</v>
      </c>
      <c r="B168">
        <v>2140110604</v>
      </c>
      <c r="C168" t="s">
        <v>139</v>
      </c>
      <c r="D168" t="s">
        <v>133</v>
      </c>
      <c r="E168" s="35">
        <v>45975</v>
      </c>
    </row>
    <row r="169" spans="1:5" x14ac:dyDescent="0.25">
      <c r="A169">
        <v>2152</v>
      </c>
      <c r="B169">
        <v>2140110632</v>
      </c>
      <c r="C169" t="s">
        <v>187</v>
      </c>
      <c r="D169" t="s">
        <v>186</v>
      </c>
      <c r="E169" s="35">
        <v>45974</v>
      </c>
    </row>
    <row r="170" spans="1:5" x14ac:dyDescent="0.25">
      <c r="A170">
        <v>2190</v>
      </c>
      <c r="B170">
        <v>2140110610</v>
      </c>
      <c r="C170" t="s">
        <v>128</v>
      </c>
      <c r="D170" t="s">
        <v>127</v>
      </c>
      <c r="E170" s="35">
        <v>45973</v>
      </c>
    </row>
    <row r="171" spans="1:5" x14ac:dyDescent="0.25">
      <c r="A171">
        <v>2147</v>
      </c>
      <c r="B171">
        <v>2140110631</v>
      </c>
      <c r="C171" t="s">
        <v>202</v>
      </c>
      <c r="D171" t="s">
        <v>186</v>
      </c>
      <c r="E171" s="35">
        <v>45972</v>
      </c>
    </row>
    <row r="172" spans="1:5" x14ac:dyDescent="0.25">
      <c r="A172">
        <v>2149</v>
      </c>
      <c r="B172">
        <v>2140110631</v>
      </c>
      <c r="C172" t="s">
        <v>202</v>
      </c>
      <c r="D172" t="s">
        <v>186</v>
      </c>
      <c r="E172" s="35">
        <v>45972</v>
      </c>
    </row>
    <row r="173" spans="1:5" x14ac:dyDescent="0.25">
      <c r="A173">
        <v>2150</v>
      </c>
      <c r="B173">
        <v>2140110633</v>
      </c>
      <c r="C173" t="s">
        <v>188</v>
      </c>
      <c r="D173" t="s">
        <v>186</v>
      </c>
      <c r="E173" s="35">
        <v>45972</v>
      </c>
    </row>
    <row r="174" spans="1:5" x14ac:dyDescent="0.25">
      <c r="A174">
        <v>2126</v>
      </c>
      <c r="B174">
        <v>2140110709</v>
      </c>
      <c r="C174" t="s">
        <v>213</v>
      </c>
      <c r="D174" t="s">
        <v>210</v>
      </c>
      <c r="E174" s="35">
        <v>45971</v>
      </c>
    </row>
    <row r="175" spans="1:5" x14ac:dyDescent="0.25">
      <c r="A175">
        <v>2077</v>
      </c>
      <c r="B175">
        <v>2140110707</v>
      </c>
      <c r="C175" t="s">
        <v>211</v>
      </c>
      <c r="D175" t="s">
        <v>210</v>
      </c>
      <c r="E175" s="35">
        <v>45968</v>
      </c>
    </row>
    <row r="176" spans="1:5" x14ac:dyDescent="0.25">
      <c r="A176">
        <v>2124</v>
      </c>
      <c r="B176">
        <v>2140110708</v>
      </c>
      <c r="C176" t="s">
        <v>212</v>
      </c>
      <c r="D176" t="s">
        <v>210</v>
      </c>
      <c r="E176" s="35">
        <v>45968</v>
      </c>
    </row>
    <row r="177" spans="1:5" x14ac:dyDescent="0.25">
      <c r="A177">
        <v>2010</v>
      </c>
      <c r="B177">
        <v>2140110633</v>
      </c>
      <c r="C177" t="s">
        <v>188</v>
      </c>
      <c r="D177" t="s">
        <v>186</v>
      </c>
      <c r="E177" s="35">
        <v>45966</v>
      </c>
    </row>
    <row r="178" spans="1:5" x14ac:dyDescent="0.25">
      <c r="A178">
        <v>1971</v>
      </c>
      <c r="B178">
        <v>2140110631</v>
      </c>
      <c r="C178" t="s">
        <v>202</v>
      </c>
      <c r="D178" t="s">
        <v>186</v>
      </c>
      <c r="E178" s="35">
        <v>45965</v>
      </c>
    </row>
    <row r="179" spans="1:5" x14ac:dyDescent="0.25">
      <c r="A179">
        <v>2006</v>
      </c>
      <c r="B179">
        <v>2140110632</v>
      </c>
      <c r="C179" t="s">
        <v>187</v>
      </c>
      <c r="D179" t="s">
        <v>186</v>
      </c>
      <c r="E179" s="35">
        <v>45965</v>
      </c>
    </row>
    <row r="180" spans="1:5" x14ac:dyDescent="0.25">
      <c r="A180">
        <v>1899</v>
      </c>
      <c r="B180">
        <v>2140110663</v>
      </c>
      <c r="C180" t="s">
        <v>148</v>
      </c>
      <c r="D180" t="s">
        <v>147</v>
      </c>
      <c r="E180" s="35">
        <v>45961</v>
      </c>
    </row>
    <row r="181" spans="1:5" x14ac:dyDescent="0.25">
      <c r="A181">
        <v>1924</v>
      </c>
      <c r="B181">
        <v>2140110663</v>
      </c>
      <c r="C181" t="s">
        <v>148</v>
      </c>
      <c r="D181" t="s">
        <v>147</v>
      </c>
      <c r="E181" s="35">
        <v>45961</v>
      </c>
    </row>
    <row r="182" spans="1:5" x14ac:dyDescent="0.25">
      <c r="A182">
        <v>1889</v>
      </c>
      <c r="B182">
        <v>2140110663</v>
      </c>
      <c r="C182" t="s">
        <v>148</v>
      </c>
      <c r="D182" t="s">
        <v>147</v>
      </c>
      <c r="E182" s="35">
        <v>45960</v>
      </c>
    </row>
    <row r="183" spans="1:5" x14ac:dyDescent="0.25">
      <c r="A183">
        <v>1878</v>
      </c>
      <c r="B183">
        <v>2140110673</v>
      </c>
      <c r="C183" t="s">
        <v>129</v>
      </c>
      <c r="D183" t="s">
        <v>127</v>
      </c>
      <c r="E183" s="35">
        <v>45959</v>
      </c>
    </row>
    <row r="184" spans="1:5" x14ac:dyDescent="0.25">
      <c r="A184">
        <v>1723</v>
      </c>
      <c r="B184">
        <v>2140110610</v>
      </c>
      <c r="C184" t="s">
        <v>128</v>
      </c>
      <c r="D184" t="s">
        <v>127</v>
      </c>
      <c r="E184" s="35">
        <v>45958</v>
      </c>
    </row>
    <row r="185" spans="1:5" x14ac:dyDescent="0.25">
      <c r="A185">
        <v>1816</v>
      </c>
      <c r="B185">
        <v>2140110676</v>
      </c>
      <c r="C185" t="s">
        <v>132</v>
      </c>
      <c r="D185" t="s">
        <v>127</v>
      </c>
      <c r="E185" s="35">
        <v>45957</v>
      </c>
    </row>
    <row r="186" spans="1:5" x14ac:dyDescent="0.25">
      <c r="A186">
        <v>1687</v>
      </c>
      <c r="B186">
        <v>2140110689</v>
      </c>
      <c r="C186" t="s">
        <v>194</v>
      </c>
      <c r="D186" t="s">
        <v>193</v>
      </c>
      <c r="E186" s="35">
        <v>45952</v>
      </c>
    </row>
    <row r="187" spans="1:5" x14ac:dyDescent="0.25">
      <c r="A187">
        <v>1679</v>
      </c>
      <c r="B187">
        <v>2140110718</v>
      </c>
      <c r="C187" t="s">
        <v>207</v>
      </c>
      <c r="D187" t="s">
        <v>175</v>
      </c>
      <c r="E187" s="35">
        <v>45952</v>
      </c>
    </row>
    <row r="188" spans="1:5" x14ac:dyDescent="0.25">
      <c r="A188">
        <v>1680</v>
      </c>
      <c r="B188">
        <v>2140110719</v>
      </c>
      <c r="C188" t="s">
        <v>208</v>
      </c>
      <c r="D188" t="s">
        <v>175</v>
      </c>
      <c r="E188" s="35">
        <v>45952</v>
      </c>
    </row>
    <row r="189" spans="1:5" x14ac:dyDescent="0.25">
      <c r="A189">
        <v>1686</v>
      </c>
      <c r="B189">
        <v>2140110688</v>
      </c>
      <c r="C189" t="s">
        <v>195</v>
      </c>
      <c r="D189" t="s">
        <v>193</v>
      </c>
      <c r="E189" s="35">
        <v>45950</v>
      </c>
    </row>
    <row r="190" spans="1:5" x14ac:dyDescent="0.25">
      <c r="A190">
        <v>1678</v>
      </c>
      <c r="B190">
        <v>2140110683</v>
      </c>
      <c r="C190" t="s">
        <v>206</v>
      </c>
      <c r="D190" t="s">
        <v>175</v>
      </c>
      <c r="E190" s="35">
        <v>45950</v>
      </c>
    </row>
    <row r="191" spans="1:5" x14ac:dyDescent="0.25">
      <c r="A191">
        <v>1643</v>
      </c>
      <c r="B191">
        <v>2310320424</v>
      </c>
      <c r="C191" t="s">
        <v>205</v>
      </c>
      <c r="D191" t="s">
        <v>124</v>
      </c>
      <c r="E191" s="35">
        <v>45946</v>
      </c>
    </row>
    <row r="192" spans="1:5" x14ac:dyDescent="0.25">
      <c r="A192">
        <v>1641</v>
      </c>
      <c r="B192">
        <v>2310320423</v>
      </c>
      <c r="C192" t="s">
        <v>203</v>
      </c>
      <c r="D192" t="s">
        <v>124</v>
      </c>
      <c r="E192" s="35">
        <v>45945</v>
      </c>
    </row>
    <row r="193" spans="1:5" x14ac:dyDescent="0.25">
      <c r="A193">
        <v>1642</v>
      </c>
      <c r="B193">
        <v>2310320422</v>
      </c>
      <c r="C193" t="s">
        <v>204</v>
      </c>
      <c r="D193" t="s">
        <v>124</v>
      </c>
      <c r="E193" s="35">
        <v>45945</v>
      </c>
    </row>
    <row r="194" spans="1:5" x14ac:dyDescent="0.25">
      <c r="A194">
        <v>1599</v>
      </c>
      <c r="B194">
        <v>2140110631</v>
      </c>
      <c r="C194" t="s">
        <v>202</v>
      </c>
      <c r="D194" t="s">
        <v>186</v>
      </c>
      <c r="E194" s="35">
        <v>45943</v>
      </c>
    </row>
    <row r="195" spans="1:5" x14ac:dyDescent="0.25">
      <c r="A195">
        <v>1523</v>
      </c>
      <c r="B195">
        <v>2140110632</v>
      </c>
      <c r="C195" t="s">
        <v>187</v>
      </c>
      <c r="D195" t="s">
        <v>186</v>
      </c>
      <c r="E195" s="35">
        <v>45941</v>
      </c>
    </row>
    <row r="196" spans="1:5" x14ac:dyDescent="0.25">
      <c r="A196">
        <v>1498</v>
      </c>
      <c r="B196">
        <v>2140110687</v>
      </c>
      <c r="C196" t="s">
        <v>196</v>
      </c>
      <c r="D196" t="s">
        <v>193</v>
      </c>
      <c r="E196" s="35">
        <v>45934</v>
      </c>
    </row>
    <row r="197" spans="1:5" x14ac:dyDescent="0.25">
      <c r="A197">
        <v>1475</v>
      </c>
      <c r="B197">
        <v>2320130717</v>
      </c>
      <c r="C197" t="s">
        <v>199</v>
      </c>
      <c r="D197" t="s">
        <v>124</v>
      </c>
      <c r="E197" s="35">
        <v>45930</v>
      </c>
    </row>
    <row r="198" spans="1:5" x14ac:dyDescent="0.25">
      <c r="A198">
        <v>1474</v>
      </c>
      <c r="B198">
        <v>2320130716</v>
      </c>
      <c r="C198" t="s">
        <v>197</v>
      </c>
      <c r="D198" t="s">
        <v>124</v>
      </c>
      <c r="E198" s="35">
        <v>45929</v>
      </c>
    </row>
    <row r="199" spans="1:5" x14ac:dyDescent="0.25">
      <c r="A199">
        <v>1473</v>
      </c>
      <c r="B199">
        <v>2320130715</v>
      </c>
      <c r="C199" t="s">
        <v>198</v>
      </c>
      <c r="D199" t="s">
        <v>124</v>
      </c>
      <c r="E199" s="35">
        <v>45929</v>
      </c>
    </row>
    <row r="200" spans="1:5" x14ac:dyDescent="0.25">
      <c r="A200">
        <v>1366</v>
      </c>
      <c r="B200">
        <v>2140110687</v>
      </c>
      <c r="C200" t="s">
        <v>196</v>
      </c>
      <c r="D200" t="s">
        <v>193</v>
      </c>
      <c r="E200" s="35">
        <v>45927</v>
      </c>
    </row>
    <row r="201" spans="1:5" x14ac:dyDescent="0.25">
      <c r="A201">
        <v>1312</v>
      </c>
      <c r="B201">
        <v>2140110689</v>
      </c>
      <c r="C201" t="s">
        <v>194</v>
      </c>
      <c r="D201" t="s">
        <v>193</v>
      </c>
      <c r="E201" s="35">
        <v>45926</v>
      </c>
    </row>
    <row r="202" spans="1:5" x14ac:dyDescent="0.25">
      <c r="A202">
        <v>1320</v>
      </c>
      <c r="B202">
        <v>2140110688</v>
      </c>
      <c r="C202" t="s">
        <v>195</v>
      </c>
      <c r="D202" t="s">
        <v>193</v>
      </c>
      <c r="E202" s="35">
        <v>45926</v>
      </c>
    </row>
    <row r="203" spans="1:5" x14ac:dyDescent="0.25">
      <c r="A203">
        <v>1298</v>
      </c>
      <c r="B203">
        <v>2140110604</v>
      </c>
      <c r="C203" t="s">
        <v>139</v>
      </c>
      <c r="D203" t="s">
        <v>133</v>
      </c>
      <c r="E203" s="35">
        <v>45925</v>
      </c>
    </row>
    <row r="204" spans="1:5" x14ac:dyDescent="0.25">
      <c r="A204">
        <v>1287</v>
      </c>
      <c r="B204">
        <v>2140110637</v>
      </c>
      <c r="C204" t="s">
        <v>142</v>
      </c>
      <c r="D204" t="s">
        <v>133</v>
      </c>
      <c r="E204" s="35">
        <v>45924</v>
      </c>
    </row>
    <row r="205" spans="1:5" x14ac:dyDescent="0.25">
      <c r="A205">
        <v>1246</v>
      </c>
      <c r="B205">
        <v>2140110606</v>
      </c>
      <c r="C205" t="s">
        <v>141</v>
      </c>
      <c r="D205" t="s">
        <v>133</v>
      </c>
      <c r="E205" s="35">
        <v>45923</v>
      </c>
    </row>
    <row r="206" spans="1:5" x14ac:dyDescent="0.25">
      <c r="A206">
        <v>1227</v>
      </c>
      <c r="B206">
        <v>2140110605</v>
      </c>
      <c r="C206" t="s">
        <v>140</v>
      </c>
      <c r="D206" t="s">
        <v>133</v>
      </c>
      <c r="E206" s="35">
        <v>45920</v>
      </c>
    </row>
    <row r="207" spans="1:5" x14ac:dyDescent="0.25">
      <c r="A207">
        <v>1203</v>
      </c>
      <c r="B207">
        <v>2140110604</v>
      </c>
      <c r="C207" t="s">
        <v>139</v>
      </c>
      <c r="D207" t="s">
        <v>133</v>
      </c>
      <c r="E207" s="35">
        <v>45918</v>
      </c>
    </row>
    <row r="208" spans="1:5" x14ac:dyDescent="0.25">
      <c r="A208">
        <v>1161</v>
      </c>
      <c r="B208">
        <v>2140110533</v>
      </c>
      <c r="C208" t="s">
        <v>192</v>
      </c>
      <c r="D208" t="s">
        <v>191</v>
      </c>
      <c r="E208" s="35">
        <v>45916</v>
      </c>
    </row>
    <row r="209" spans="1:5" x14ac:dyDescent="0.25">
      <c r="A209">
        <v>1087</v>
      </c>
      <c r="B209">
        <v>2140110604</v>
      </c>
      <c r="C209" t="s">
        <v>139</v>
      </c>
      <c r="D209" t="s">
        <v>133</v>
      </c>
      <c r="E209" s="35">
        <v>45913</v>
      </c>
    </row>
    <row r="210" spans="1:5" x14ac:dyDescent="0.25">
      <c r="A210">
        <v>1152</v>
      </c>
      <c r="B210">
        <v>2140110606</v>
      </c>
      <c r="C210" t="s">
        <v>141</v>
      </c>
      <c r="D210" t="s">
        <v>133</v>
      </c>
      <c r="E210" s="35">
        <v>45913</v>
      </c>
    </row>
    <row r="211" spans="1:5" x14ac:dyDescent="0.25">
      <c r="A211">
        <v>1072</v>
      </c>
      <c r="B211">
        <v>2140110524</v>
      </c>
      <c r="C211" t="s">
        <v>145</v>
      </c>
      <c r="D211" t="s">
        <v>144</v>
      </c>
      <c r="E211" s="35">
        <v>45910</v>
      </c>
    </row>
    <row r="212" spans="1:5" x14ac:dyDescent="0.25">
      <c r="A212">
        <v>1016</v>
      </c>
      <c r="B212">
        <v>2140110663</v>
      </c>
      <c r="C212" t="s">
        <v>148</v>
      </c>
      <c r="D212" t="s">
        <v>147</v>
      </c>
      <c r="E212" s="35">
        <v>45909</v>
      </c>
    </row>
    <row r="213" spans="1:5" x14ac:dyDescent="0.25">
      <c r="A213">
        <v>1023</v>
      </c>
      <c r="B213">
        <v>2140110665</v>
      </c>
      <c r="C213" t="s">
        <v>185</v>
      </c>
      <c r="D213" t="s">
        <v>147</v>
      </c>
      <c r="E213" s="35">
        <v>45906</v>
      </c>
    </row>
    <row r="214" spans="1:5" x14ac:dyDescent="0.25">
      <c r="A214">
        <v>1024</v>
      </c>
      <c r="B214">
        <v>2140110664</v>
      </c>
      <c r="C214" t="s">
        <v>184</v>
      </c>
      <c r="D214" t="s">
        <v>147</v>
      </c>
      <c r="E214" s="35">
        <v>45905</v>
      </c>
    </row>
    <row r="215" spans="1:5" x14ac:dyDescent="0.25">
      <c r="A215">
        <v>691</v>
      </c>
      <c r="B215">
        <v>2140110714</v>
      </c>
      <c r="C215" t="s">
        <v>190</v>
      </c>
      <c r="D215" t="s">
        <v>147</v>
      </c>
      <c r="E215" s="35">
        <v>45903</v>
      </c>
    </row>
    <row r="216" spans="1:5" x14ac:dyDescent="0.25">
      <c r="A216">
        <v>861</v>
      </c>
      <c r="B216">
        <v>2140110633</v>
      </c>
      <c r="C216" t="s">
        <v>188</v>
      </c>
      <c r="D216" t="s">
        <v>186</v>
      </c>
      <c r="E216" s="35">
        <v>45902</v>
      </c>
    </row>
    <row r="217" spans="1:5" x14ac:dyDescent="0.25">
      <c r="A217">
        <v>716</v>
      </c>
      <c r="B217">
        <v>2140110651</v>
      </c>
      <c r="C217" t="s">
        <v>189</v>
      </c>
      <c r="D217" t="s">
        <v>149</v>
      </c>
      <c r="E217" s="35">
        <v>45902</v>
      </c>
    </row>
    <row r="218" spans="1:5" x14ac:dyDescent="0.25">
      <c r="A218">
        <v>862</v>
      </c>
      <c r="B218">
        <v>2140110632</v>
      </c>
      <c r="C218" t="s">
        <v>187</v>
      </c>
      <c r="D218" t="s">
        <v>186</v>
      </c>
      <c r="E218" s="35">
        <v>45901</v>
      </c>
    </row>
    <row r="219" spans="1:5" x14ac:dyDescent="0.25">
      <c r="A219">
        <v>849</v>
      </c>
      <c r="B219">
        <v>2140110665</v>
      </c>
      <c r="C219" t="s">
        <v>185</v>
      </c>
      <c r="D219" t="s">
        <v>147</v>
      </c>
      <c r="E219" s="35">
        <v>45897</v>
      </c>
    </row>
    <row r="220" spans="1:5" x14ac:dyDescent="0.25">
      <c r="A220">
        <v>793</v>
      </c>
      <c r="B220">
        <v>2140110664</v>
      </c>
      <c r="C220" t="s">
        <v>184</v>
      </c>
      <c r="D220" t="s">
        <v>147</v>
      </c>
      <c r="E220" s="35">
        <v>45896</v>
      </c>
    </row>
    <row r="221" spans="1:5" x14ac:dyDescent="0.25">
      <c r="A221">
        <v>797</v>
      </c>
      <c r="B221">
        <v>2140110606</v>
      </c>
      <c r="C221" t="s">
        <v>141</v>
      </c>
      <c r="D221" t="s">
        <v>133</v>
      </c>
      <c r="E221" s="35">
        <v>45895</v>
      </c>
    </row>
    <row r="222" spans="1:5" x14ac:dyDescent="0.25">
      <c r="A222">
        <v>697</v>
      </c>
      <c r="B222">
        <v>2140110605</v>
      </c>
      <c r="C222" t="s">
        <v>140</v>
      </c>
      <c r="D222" t="s">
        <v>133</v>
      </c>
      <c r="E222" s="35">
        <v>45894</v>
      </c>
    </row>
    <row r="223" spans="1:5" x14ac:dyDescent="0.25">
      <c r="A223">
        <v>692</v>
      </c>
      <c r="B223">
        <v>2140110604</v>
      </c>
      <c r="C223" t="s">
        <v>139</v>
      </c>
      <c r="D223" t="s">
        <v>133</v>
      </c>
      <c r="E223" s="35">
        <v>45892</v>
      </c>
    </row>
    <row r="224" spans="1:5" x14ac:dyDescent="0.25">
      <c r="A224">
        <v>652</v>
      </c>
      <c r="B224">
        <v>2140110652</v>
      </c>
      <c r="C224" t="s">
        <v>174</v>
      </c>
      <c r="D224" t="s">
        <v>149</v>
      </c>
      <c r="E224" s="35">
        <v>45890</v>
      </c>
    </row>
    <row r="225" spans="1:5" x14ac:dyDescent="0.25">
      <c r="A225">
        <v>715</v>
      </c>
      <c r="B225">
        <v>2140110655</v>
      </c>
      <c r="C225" t="s">
        <v>183</v>
      </c>
      <c r="D225" t="s">
        <v>149</v>
      </c>
      <c r="E225" s="35">
        <v>45890</v>
      </c>
    </row>
    <row r="226" spans="1:5" x14ac:dyDescent="0.25">
      <c r="A226">
        <v>713</v>
      </c>
      <c r="B226">
        <v>2140110642</v>
      </c>
      <c r="C226" t="s">
        <v>157</v>
      </c>
      <c r="D226" t="s">
        <v>149</v>
      </c>
      <c r="E226" s="35">
        <v>45889</v>
      </c>
    </row>
    <row r="227" spans="1:5" x14ac:dyDescent="0.25">
      <c r="A227">
        <v>633</v>
      </c>
      <c r="B227">
        <v>2140110616</v>
      </c>
      <c r="C227" t="s">
        <v>182</v>
      </c>
      <c r="D227" t="s">
        <v>149</v>
      </c>
      <c r="E227" s="35">
        <v>45889</v>
      </c>
    </row>
    <row r="228" spans="1:5" x14ac:dyDescent="0.25">
      <c r="A228">
        <v>712</v>
      </c>
      <c r="B228">
        <v>2140110660</v>
      </c>
      <c r="C228" t="s">
        <v>155</v>
      </c>
      <c r="D228" t="s">
        <v>149</v>
      </c>
      <c r="E228" s="35">
        <v>45889</v>
      </c>
    </row>
    <row r="229" spans="1:5" x14ac:dyDescent="0.25">
      <c r="A229">
        <v>686</v>
      </c>
      <c r="B229">
        <v>2140110667</v>
      </c>
      <c r="C229" t="s">
        <v>179</v>
      </c>
      <c r="D229" t="s">
        <v>175</v>
      </c>
      <c r="E229" s="35">
        <v>45888</v>
      </c>
    </row>
    <row r="230" spans="1:5" x14ac:dyDescent="0.25">
      <c r="A230">
        <v>689</v>
      </c>
      <c r="B230">
        <v>2140110671</v>
      </c>
      <c r="C230" t="s">
        <v>180</v>
      </c>
      <c r="D230" t="s">
        <v>175</v>
      </c>
      <c r="E230" s="35">
        <v>45888</v>
      </c>
    </row>
    <row r="231" spans="1:5" x14ac:dyDescent="0.25">
      <c r="A231">
        <v>688</v>
      </c>
      <c r="B231">
        <v>2140110668</v>
      </c>
      <c r="C231" t="s">
        <v>181</v>
      </c>
      <c r="D231" t="s">
        <v>175</v>
      </c>
      <c r="E231" s="35">
        <v>45888</v>
      </c>
    </row>
    <row r="232" spans="1:5" x14ac:dyDescent="0.25">
      <c r="A232">
        <v>651</v>
      </c>
      <c r="B232">
        <v>2140110669</v>
      </c>
      <c r="C232" t="s">
        <v>177</v>
      </c>
      <c r="D232" t="s">
        <v>175</v>
      </c>
      <c r="E232" s="35">
        <v>45887</v>
      </c>
    </row>
    <row r="233" spans="1:5" x14ac:dyDescent="0.25">
      <c r="A233">
        <v>687</v>
      </c>
      <c r="B233">
        <v>2140110670</v>
      </c>
      <c r="C233" t="s">
        <v>178</v>
      </c>
      <c r="D233" t="s">
        <v>175</v>
      </c>
      <c r="E233" s="35">
        <v>45887</v>
      </c>
    </row>
    <row r="234" spans="1:5" x14ac:dyDescent="0.25">
      <c r="A234">
        <v>648</v>
      </c>
      <c r="B234">
        <v>2140110666</v>
      </c>
      <c r="C234" t="s">
        <v>176</v>
      </c>
      <c r="D234" t="s">
        <v>175</v>
      </c>
      <c r="E234" s="35">
        <v>45885</v>
      </c>
    </row>
    <row r="235" spans="1:5" x14ac:dyDescent="0.25">
      <c r="A235">
        <v>632</v>
      </c>
      <c r="B235">
        <v>2140110614</v>
      </c>
      <c r="C235" t="s">
        <v>156</v>
      </c>
      <c r="D235" t="s">
        <v>149</v>
      </c>
      <c r="E235" s="35">
        <v>45884</v>
      </c>
    </row>
    <row r="236" spans="1:5" x14ac:dyDescent="0.25">
      <c r="A236">
        <v>653</v>
      </c>
      <c r="B236">
        <v>2140110653</v>
      </c>
      <c r="C236" t="s">
        <v>158</v>
      </c>
      <c r="D236" t="s">
        <v>149</v>
      </c>
      <c r="E236" s="35">
        <v>45884</v>
      </c>
    </row>
    <row r="237" spans="1:5" x14ac:dyDescent="0.25">
      <c r="A237">
        <v>656</v>
      </c>
      <c r="B237">
        <v>2140110659</v>
      </c>
      <c r="C237" t="s">
        <v>163</v>
      </c>
      <c r="D237" t="s">
        <v>149</v>
      </c>
      <c r="E237" s="35">
        <v>45884</v>
      </c>
    </row>
    <row r="238" spans="1:5" x14ac:dyDescent="0.25">
      <c r="A238">
        <v>654</v>
      </c>
      <c r="B238">
        <v>2140110656</v>
      </c>
      <c r="C238" t="s">
        <v>166</v>
      </c>
      <c r="D238" t="s">
        <v>149</v>
      </c>
      <c r="E238" s="35">
        <v>45884</v>
      </c>
    </row>
    <row r="239" spans="1:5" x14ac:dyDescent="0.25">
      <c r="A239">
        <v>655</v>
      </c>
      <c r="B239">
        <v>2140110657</v>
      </c>
      <c r="C239" t="s">
        <v>173</v>
      </c>
      <c r="D239" t="s">
        <v>149</v>
      </c>
      <c r="E239" s="35">
        <v>45884</v>
      </c>
    </row>
    <row r="240" spans="1:5" x14ac:dyDescent="0.25">
      <c r="A240">
        <v>506</v>
      </c>
      <c r="B240">
        <v>2140110618</v>
      </c>
      <c r="C240" t="s">
        <v>171</v>
      </c>
      <c r="D240" t="s">
        <v>149</v>
      </c>
      <c r="E240" s="35">
        <v>45883</v>
      </c>
    </row>
    <row r="241" spans="1:5" x14ac:dyDescent="0.25">
      <c r="A241">
        <v>511</v>
      </c>
      <c r="B241">
        <v>2140110644</v>
      </c>
      <c r="C241" t="s">
        <v>154</v>
      </c>
      <c r="D241" t="s">
        <v>149</v>
      </c>
      <c r="E241" s="35">
        <v>45882</v>
      </c>
    </row>
    <row r="242" spans="1:5" x14ac:dyDescent="0.25">
      <c r="A242">
        <v>508</v>
      </c>
      <c r="B242">
        <v>2140110620</v>
      </c>
      <c r="C242" t="s">
        <v>152</v>
      </c>
      <c r="D242" t="s">
        <v>149</v>
      </c>
      <c r="E242" s="35">
        <v>45881</v>
      </c>
    </row>
    <row r="243" spans="1:5" x14ac:dyDescent="0.25">
      <c r="A243">
        <v>505</v>
      </c>
      <c r="B243">
        <v>2140110617</v>
      </c>
      <c r="C243" t="s">
        <v>169</v>
      </c>
      <c r="D243" t="s">
        <v>149</v>
      </c>
      <c r="E243" s="35">
        <v>45880</v>
      </c>
    </row>
    <row r="244" spans="1:5" x14ac:dyDescent="0.25">
      <c r="A244">
        <v>510</v>
      </c>
      <c r="B244">
        <v>2140110643</v>
      </c>
      <c r="C244" t="s">
        <v>170</v>
      </c>
      <c r="D244" t="s">
        <v>149</v>
      </c>
      <c r="E244" s="35">
        <v>45880</v>
      </c>
    </row>
    <row r="245" spans="1:5" x14ac:dyDescent="0.25">
      <c r="A245">
        <v>509</v>
      </c>
      <c r="B245">
        <v>2140110622</v>
      </c>
      <c r="C245" t="s">
        <v>153</v>
      </c>
      <c r="D245" t="s">
        <v>149</v>
      </c>
      <c r="E245" s="35">
        <v>45878</v>
      </c>
    </row>
    <row r="246" spans="1:5" x14ac:dyDescent="0.25">
      <c r="A246">
        <v>507</v>
      </c>
      <c r="B246">
        <v>2140110619</v>
      </c>
      <c r="C246" t="s">
        <v>168</v>
      </c>
      <c r="D246" t="s">
        <v>149</v>
      </c>
      <c r="E246" s="35">
        <v>45877</v>
      </c>
    </row>
    <row r="247" spans="1:5" x14ac:dyDescent="0.25">
      <c r="A247">
        <v>471</v>
      </c>
      <c r="B247">
        <v>2140110615</v>
      </c>
      <c r="C247" t="s">
        <v>151</v>
      </c>
      <c r="D247" t="s">
        <v>149</v>
      </c>
      <c r="E247" s="35">
        <v>45877</v>
      </c>
    </row>
    <row r="248" spans="1:5" x14ac:dyDescent="0.25">
      <c r="A248">
        <v>470</v>
      </c>
      <c r="B248">
        <v>2140110613</v>
      </c>
      <c r="C248" t="s">
        <v>150</v>
      </c>
      <c r="D248" t="s">
        <v>149</v>
      </c>
      <c r="E248" s="35">
        <v>45876</v>
      </c>
    </row>
    <row r="249" spans="1:5" x14ac:dyDescent="0.25">
      <c r="A249">
        <v>467</v>
      </c>
      <c r="B249">
        <v>2140110658</v>
      </c>
      <c r="C249" t="s">
        <v>167</v>
      </c>
      <c r="D249" t="s">
        <v>149</v>
      </c>
      <c r="E249" s="35">
        <v>45874</v>
      </c>
    </row>
    <row r="250" spans="1:5" x14ac:dyDescent="0.25">
      <c r="A250">
        <v>460</v>
      </c>
      <c r="B250">
        <v>2140110662</v>
      </c>
      <c r="C250" t="s">
        <v>160</v>
      </c>
      <c r="D250" t="s">
        <v>149</v>
      </c>
      <c r="E250" s="35">
        <v>45873</v>
      </c>
    </row>
    <row r="251" spans="1:5" x14ac:dyDescent="0.25">
      <c r="A251">
        <v>459</v>
      </c>
      <c r="B251">
        <v>2140110659</v>
      </c>
      <c r="C251" t="s">
        <v>163</v>
      </c>
      <c r="D251" t="s">
        <v>149</v>
      </c>
      <c r="E251" s="35">
        <v>45873</v>
      </c>
    </row>
    <row r="252" spans="1:5" x14ac:dyDescent="0.25">
      <c r="A252">
        <v>468</v>
      </c>
      <c r="B252">
        <v>2140110661</v>
      </c>
      <c r="C252" t="s">
        <v>165</v>
      </c>
      <c r="D252" t="s">
        <v>149</v>
      </c>
      <c r="E252" s="35">
        <v>45873</v>
      </c>
    </row>
    <row r="253" spans="1:5" x14ac:dyDescent="0.25">
      <c r="A253">
        <v>461</v>
      </c>
      <c r="B253">
        <v>2140110656</v>
      </c>
      <c r="C253" t="s">
        <v>166</v>
      </c>
      <c r="D253" t="s">
        <v>149</v>
      </c>
      <c r="E253" s="35">
        <v>45873</v>
      </c>
    </row>
    <row r="254" spans="1:5" x14ac:dyDescent="0.25">
      <c r="A254">
        <v>362</v>
      </c>
      <c r="B254">
        <v>2140110614</v>
      </c>
      <c r="C254" t="s">
        <v>156</v>
      </c>
      <c r="D254" t="s">
        <v>149</v>
      </c>
      <c r="E254" s="35">
        <v>45870</v>
      </c>
    </row>
    <row r="255" spans="1:5" x14ac:dyDescent="0.25">
      <c r="A255">
        <v>360</v>
      </c>
      <c r="B255">
        <v>2140110642</v>
      </c>
      <c r="C255" t="s">
        <v>157</v>
      </c>
      <c r="D255" t="s">
        <v>149</v>
      </c>
      <c r="E255" s="35">
        <v>45870</v>
      </c>
    </row>
    <row r="256" spans="1:5" x14ac:dyDescent="0.25">
      <c r="A256">
        <v>457</v>
      </c>
      <c r="B256">
        <v>2140110653</v>
      </c>
      <c r="C256" t="s">
        <v>158</v>
      </c>
      <c r="D256" t="s">
        <v>149</v>
      </c>
      <c r="E256" s="35">
        <v>45870</v>
      </c>
    </row>
    <row r="257" spans="1:5" x14ac:dyDescent="0.25">
      <c r="A257">
        <v>458</v>
      </c>
      <c r="B257">
        <v>2140110654</v>
      </c>
      <c r="C257" t="s">
        <v>159</v>
      </c>
      <c r="D257" t="s">
        <v>149</v>
      </c>
      <c r="E257" s="35">
        <v>45870</v>
      </c>
    </row>
    <row r="258" spans="1:5" x14ac:dyDescent="0.25">
      <c r="A258">
        <v>355</v>
      </c>
      <c r="B258">
        <v>2140110622</v>
      </c>
      <c r="C258" t="s">
        <v>153</v>
      </c>
      <c r="D258" t="s">
        <v>149</v>
      </c>
      <c r="E258" s="35">
        <v>45868</v>
      </c>
    </row>
    <row r="259" spans="1:5" x14ac:dyDescent="0.25">
      <c r="A259">
        <v>357</v>
      </c>
      <c r="B259">
        <v>2140110644</v>
      </c>
      <c r="C259" t="s">
        <v>154</v>
      </c>
      <c r="D259" t="s">
        <v>149</v>
      </c>
      <c r="E259" s="35">
        <v>45868</v>
      </c>
    </row>
    <row r="260" spans="1:5" x14ac:dyDescent="0.25">
      <c r="A260">
        <v>364</v>
      </c>
      <c r="B260">
        <v>2140110660</v>
      </c>
      <c r="C260" t="s">
        <v>155</v>
      </c>
      <c r="D260" t="s">
        <v>149</v>
      </c>
      <c r="E260" s="35">
        <v>45868</v>
      </c>
    </row>
    <row r="261" spans="1:5" x14ac:dyDescent="0.25">
      <c r="A261">
        <v>354</v>
      </c>
      <c r="B261">
        <v>2140110620</v>
      </c>
      <c r="C261" t="s">
        <v>152</v>
      </c>
      <c r="D261" t="s">
        <v>149</v>
      </c>
      <c r="E261" s="35">
        <v>45864</v>
      </c>
    </row>
    <row r="262" spans="1:5" x14ac:dyDescent="0.25">
      <c r="A262">
        <v>281</v>
      </c>
      <c r="B262">
        <v>2140110613</v>
      </c>
      <c r="C262" t="s">
        <v>150</v>
      </c>
      <c r="D262" t="s">
        <v>149</v>
      </c>
      <c r="E262" s="35">
        <v>45863</v>
      </c>
    </row>
    <row r="263" spans="1:5" x14ac:dyDescent="0.25">
      <c r="A263">
        <v>282</v>
      </c>
      <c r="B263">
        <v>2140110615</v>
      </c>
      <c r="C263" t="s">
        <v>151</v>
      </c>
      <c r="D263" t="s">
        <v>149</v>
      </c>
      <c r="E263" s="35">
        <v>45863</v>
      </c>
    </row>
    <row r="264" spans="1:5" x14ac:dyDescent="0.25">
      <c r="A264">
        <v>283</v>
      </c>
      <c r="B264">
        <v>2140110663</v>
      </c>
      <c r="C264" t="s">
        <v>148</v>
      </c>
      <c r="D264" t="s">
        <v>147</v>
      </c>
      <c r="E264" s="35">
        <v>45862</v>
      </c>
    </row>
    <row r="265" spans="1:5" x14ac:dyDescent="0.25">
      <c r="A265">
        <v>240</v>
      </c>
      <c r="B265">
        <v>2140110526</v>
      </c>
      <c r="C265" t="s">
        <v>146</v>
      </c>
      <c r="D265" t="s">
        <v>144</v>
      </c>
      <c r="E265" s="35">
        <v>45857</v>
      </c>
    </row>
    <row r="266" spans="1:5" x14ac:dyDescent="0.25">
      <c r="A266">
        <v>253</v>
      </c>
      <c r="B266">
        <v>2140110524</v>
      </c>
      <c r="C266" t="s">
        <v>145</v>
      </c>
      <c r="D266" t="s">
        <v>144</v>
      </c>
      <c r="E266" s="35">
        <v>45856</v>
      </c>
    </row>
    <row r="267" spans="1:5" x14ac:dyDescent="0.25">
      <c r="A267">
        <v>115</v>
      </c>
      <c r="B267">
        <v>2140110610</v>
      </c>
      <c r="C267" t="s">
        <v>128</v>
      </c>
      <c r="D267" t="s">
        <v>127</v>
      </c>
      <c r="E267" s="35">
        <v>45854</v>
      </c>
    </row>
    <row r="268" spans="1:5" x14ac:dyDescent="0.25">
      <c r="A268">
        <v>24615</v>
      </c>
      <c r="B268">
        <v>2140110610</v>
      </c>
      <c r="C268" t="s">
        <v>128</v>
      </c>
      <c r="D268" t="s">
        <v>127</v>
      </c>
      <c r="E268" s="35">
        <v>45825</v>
      </c>
    </row>
    <row r="269" spans="1:5" x14ac:dyDescent="0.25">
      <c r="A269">
        <v>24573</v>
      </c>
      <c r="B269">
        <v>2140110701</v>
      </c>
      <c r="C269" t="s">
        <v>123</v>
      </c>
      <c r="D269" t="s">
        <v>114</v>
      </c>
      <c r="E269" s="35">
        <v>45821</v>
      </c>
    </row>
    <row r="270" spans="1:5" x14ac:dyDescent="0.25">
      <c r="A270">
        <v>24546</v>
      </c>
      <c r="B270">
        <v>2140110694</v>
      </c>
      <c r="C270" t="s">
        <v>143</v>
      </c>
      <c r="D270" t="s">
        <v>133</v>
      </c>
      <c r="E270" s="35">
        <v>45812</v>
      </c>
    </row>
    <row r="271" spans="1:5" x14ac:dyDescent="0.25">
      <c r="A271">
        <v>24522</v>
      </c>
      <c r="B271">
        <v>2140110604</v>
      </c>
      <c r="C271" t="s">
        <v>139</v>
      </c>
      <c r="D271" t="s">
        <v>133</v>
      </c>
      <c r="E271" s="35">
        <v>45808</v>
      </c>
    </row>
    <row r="272" spans="1:5" x14ac:dyDescent="0.25">
      <c r="A272">
        <v>24483</v>
      </c>
      <c r="B272">
        <v>2140110610</v>
      </c>
      <c r="C272" t="s">
        <v>128</v>
      </c>
      <c r="D272" t="s">
        <v>127</v>
      </c>
      <c r="E272" s="35">
        <v>45806</v>
      </c>
    </row>
    <row r="273" spans="1:5" x14ac:dyDescent="0.25">
      <c r="A273">
        <v>24464</v>
      </c>
      <c r="B273">
        <v>2140110701</v>
      </c>
      <c r="C273" t="s">
        <v>123</v>
      </c>
      <c r="D273" t="s">
        <v>114</v>
      </c>
      <c r="E273" s="35">
        <v>45792</v>
      </c>
    </row>
    <row r="274" spans="1:5" x14ac:dyDescent="0.25">
      <c r="A274">
        <v>24480</v>
      </c>
      <c r="B274">
        <v>2310320089</v>
      </c>
      <c r="C274" t="s">
        <v>125</v>
      </c>
      <c r="D274" t="s">
        <v>124</v>
      </c>
      <c r="E274" s="35">
        <v>45792</v>
      </c>
    </row>
    <row r="275" spans="1:5" x14ac:dyDescent="0.25">
      <c r="A275">
        <v>6802</v>
      </c>
      <c r="B275">
        <v>2140110663</v>
      </c>
      <c r="C275" t="s">
        <v>148</v>
      </c>
      <c r="D275" t="s">
        <v>147</v>
      </c>
      <c r="E275" s="35">
        <v>46302</v>
      </c>
    </row>
    <row r="276" spans="1:5" x14ac:dyDescent="0.25">
      <c r="A276">
        <v>6856</v>
      </c>
      <c r="B276">
        <v>2140110668</v>
      </c>
      <c r="C276" t="s">
        <v>181</v>
      </c>
      <c r="D276" t="s">
        <v>175</v>
      </c>
      <c r="E276" s="35">
        <v>46304</v>
      </c>
    </row>
    <row r="277" spans="1:5" x14ac:dyDescent="0.25">
      <c r="A277">
        <v>6897</v>
      </c>
      <c r="B277">
        <v>2140110671</v>
      </c>
      <c r="C277" t="s">
        <v>180</v>
      </c>
      <c r="D277" t="s">
        <v>175</v>
      </c>
      <c r="E277" s="35">
        <v>46305</v>
      </c>
    </row>
  </sheetData>
  <pageMargins left="0.75" right="0.75" top="1" bottom="1" header="0.5" footer="0.5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Familias"/>
  <dimension ref="A1:J25"/>
  <sheetViews>
    <sheetView topLeftCell="A5" workbookViewId="0">
      <selection activeCell="A2" sqref="A2"/>
    </sheetView>
  </sheetViews>
  <sheetFormatPr baseColWidth="10" defaultColWidth="9.140625" defaultRowHeight="15" x14ac:dyDescent="0.25"/>
  <cols>
    <col min="1" max="1" width="20" customWidth="1"/>
    <col min="2" max="4" width="14" customWidth="1"/>
    <col min="5" max="5" width="10" customWidth="1"/>
    <col min="6" max="6" width="66" customWidth="1"/>
    <col min="7" max="7" width="16" customWidth="1"/>
    <col min="9" max="9" width="34" customWidth="1"/>
    <col min="10" max="10" width="10" customWidth="1"/>
  </cols>
  <sheetData>
    <row r="1" spans="1:10" ht="18" x14ac:dyDescent="0.25">
      <c r="A1" s="42" t="s">
        <v>270</v>
      </c>
    </row>
    <row r="2" spans="1:10" x14ac:dyDescent="0.25">
      <c r="A2" s="1"/>
    </row>
    <row r="4" spans="1:10" ht="30" customHeight="1" x14ac:dyDescent="0.25">
      <c r="A4" s="41" t="s">
        <v>25</v>
      </c>
      <c r="B4" s="41" t="s">
        <v>271</v>
      </c>
      <c r="C4" s="41" t="s">
        <v>103</v>
      </c>
      <c r="D4" s="41" t="s">
        <v>272</v>
      </c>
      <c r="E4" s="41" t="s">
        <v>273</v>
      </c>
      <c r="F4" s="41" t="s">
        <v>274</v>
      </c>
      <c r="G4" s="41" t="s">
        <v>275</v>
      </c>
      <c r="I4" s="43" t="s">
        <v>276</v>
      </c>
      <c r="J4" s="44">
        <v>9.75</v>
      </c>
    </row>
    <row r="5" spans="1:10" x14ac:dyDescent="0.25">
      <c r="A5" s="45" t="s">
        <v>277</v>
      </c>
      <c r="B5" s="45" t="s">
        <v>277</v>
      </c>
      <c r="C5" s="46">
        <v>2800</v>
      </c>
      <c r="D5" s="47">
        <v>2060</v>
      </c>
      <c r="E5" s="45">
        <v>0</v>
      </c>
      <c r="F5" s="45" t="s">
        <v>278</v>
      </c>
      <c r="G5" s="48">
        <f>IF(C5="","",ROUND(C5*Familias!$J$4,0))</f>
        <v>27300</v>
      </c>
      <c r="I5" s="49" t="s">
        <v>279</v>
      </c>
    </row>
    <row r="6" spans="1:10" x14ac:dyDescent="0.25">
      <c r="A6" s="45" t="s">
        <v>114</v>
      </c>
      <c r="B6" s="45" t="s">
        <v>114</v>
      </c>
      <c r="C6" s="46">
        <v>2990</v>
      </c>
      <c r="D6" s="47">
        <v>2700</v>
      </c>
      <c r="E6" s="45">
        <v>31</v>
      </c>
      <c r="F6" s="45" t="s">
        <v>280</v>
      </c>
      <c r="G6" s="48">
        <f>IF(C6="","",ROUND(C6*Familias!$J$4,0))</f>
        <v>29153</v>
      </c>
    </row>
    <row r="7" spans="1:10" x14ac:dyDescent="0.25">
      <c r="A7" s="45" t="s">
        <v>210</v>
      </c>
      <c r="B7" s="45" t="s">
        <v>114</v>
      </c>
      <c r="C7" s="46">
        <v>2520</v>
      </c>
      <c r="D7" s="47">
        <v>2290</v>
      </c>
      <c r="E7" s="45">
        <v>36</v>
      </c>
      <c r="F7" s="45" t="s">
        <v>281</v>
      </c>
      <c r="G7" s="48">
        <f>IF(C7="","",ROUND(C7*Familias!$J$4,0))</f>
        <v>24570</v>
      </c>
    </row>
    <row r="8" spans="1:10" x14ac:dyDescent="0.25">
      <c r="A8" s="45" t="s">
        <v>282</v>
      </c>
      <c r="B8" s="45"/>
      <c r="C8" s="46">
        <v>2800</v>
      </c>
      <c r="D8" s="47">
        <v>2060</v>
      </c>
      <c r="E8" s="45">
        <v>0</v>
      </c>
      <c r="F8" s="45" t="s">
        <v>278</v>
      </c>
      <c r="G8" s="48">
        <f>IF(C8="","",ROUND(C8*Familias!$J$4,0))</f>
        <v>27300</v>
      </c>
    </row>
    <row r="9" spans="1:10" x14ac:dyDescent="0.25">
      <c r="A9" s="45" t="s">
        <v>283</v>
      </c>
      <c r="B9" s="45"/>
      <c r="C9" s="46">
        <v>2800</v>
      </c>
      <c r="D9" s="47">
        <v>2060</v>
      </c>
      <c r="E9" s="45">
        <v>0</v>
      </c>
      <c r="F9" s="45" t="s">
        <v>278</v>
      </c>
      <c r="G9" s="48">
        <f>IF(C9="","",ROUND(C9*Familias!$J$4,0))</f>
        <v>27300</v>
      </c>
    </row>
    <row r="10" spans="1:10" x14ac:dyDescent="0.25">
      <c r="A10" s="45" t="s">
        <v>284</v>
      </c>
      <c r="B10" s="45"/>
      <c r="C10" s="46">
        <v>2800</v>
      </c>
      <c r="D10" s="47">
        <v>2060</v>
      </c>
      <c r="E10" s="45">
        <v>0</v>
      </c>
      <c r="F10" s="45" t="s">
        <v>278</v>
      </c>
      <c r="G10" s="48">
        <f>IF(C10="","",ROUND(C10*Familias!$J$4,0))</f>
        <v>27300</v>
      </c>
    </row>
    <row r="11" spans="1:10" x14ac:dyDescent="0.25">
      <c r="A11" s="45" t="s">
        <v>186</v>
      </c>
      <c r="B11" s="45"/>
      <c r="C11" s="46">
        <v>3160</v>
      </c>
      <c r="D11" s="47">
        <v>2430</v>
      </c>
      <c r="E11" s="45">
        <v>21</v>
      </c>
      <c r="F11" s="45" t="s">
        <v>285</v>
      </c>
      <c r="G11" s="48">
        <f>IF(C11="","",ROUND(C11*Familias!$J$4,0))</f>
        <v>30810</v>
      </c>
    </row>
    <row r="12" spans="1:10" x14ac:dyDescent="0.25">
      <c r="A12" s="45" t="s">
        <v>286</v>
      </c>
      <c r="B12" s="45"/>
      <c r="C12" s="46">
        <v>2800</v>
      </c>
      <c r="D12" s="47">
        <v>2060</v>
      </c>
      <c r="E12" s="45">
        <v>0</v>
      </c>
      <c r="F12" s="45" t="s">
        <v>278</v>
      </c>
      <c r="G12" s="48">
        <f>IF(C12="","",ROUND(C12*Familias!$J$4,0))</f>
        <v>27300</v>
      </c>
    </row>
    <row r="13" spans="1:10" x14ac:dyDescent="0.25">
      <c r="A13" s="45" t="s">
        <v>287</v>
      </c>
      <c r="B13" s="45"/>
      <c r="C13" s="46">
        <v>2800</v>
      </c>
      <c r="D13" s="47">
        <v>2060</v>
      </c>
      <c r="E13" s="45">
        <v>0</v>
      </c>
      <c r="F13" s="45" t="s">
        <v>278</v>
      </c>
      <c r="G13" s="48">
        <f>IF(C13="","",ROUND(C13*Familias!$J$4,0))</f>
        <v>27300</v>
      </c>
    </row>
    <row r="14" spans="1:10" x14ac:dyDescent="0.25">
      <c r="A14" s="45" t="s">
        <v>149</v>
      </c>
      <c r="B14" s="45" t="s">
        <v>126</v>
      </c>
      <c r="C14" s="46">
        <v>2740</v>
      </c>
      <c r="D14" s="47">
        <v>2190</v>
      </c>
      <c r="E14" s="45">
        <v>55</v>
      </c>
      <c r="F14" s="45" t="s">
        <v>288</v>
      </c>
      <c r="G14" s="48">
        <f>IF(C14="","",ROUND(C14*Familias!$J$4,0))</f>
        <v>26715</v>
      </c>
    </row>
    <row r="15" spans="1:10" x14ac:dyDescent="0.25">
      <c r="A15" s="45" t="s">
        <v>133</v>
      </c>
      <c r="B15" s="45" t="s">
        <v>126</v>
      </c>
      <c r="C15" s="46">
        <v>2320</v>
      </c>
      <c r="D15" s="47">
        <v>2010</v>
      </c>
      <c r="E15" s="45">
        <v>85</v>
      </c>
      <c r="F15" s="45" t="s">
        <v>289</v>
      </c>
      <c r="G15" s="48">
        <f>IF(C15="","",ROUND(C15*Familias!$J$4,0))</f>
        <v>22620</v>
      </c>
    </row>
    <row r="16" spans="1:10" x14ac:dyDescent="0.25">
      <c r="A16" s="45" t="s">
        <v>124</v>
      </c>
      <c r="B16" s="45"/>
      <c r="C16" s="46">
        <v>2840</v>
      </c>
      <c r="D16" s="47">
        <v>2010</v>
      </c>
      <c r="E16" s="45">
        <v>10</v>
      </c>
      <c r="F16" s="45" t="s">
        <v>290</v>
      </c>
      <c r="G16" s="48">
        <f>IF(C16="","",ROUND(C16*Familias!$J$4,0))</f>
        <v>27690</v>
      </c>
    </row>
    <row r="17" spans="1:7" x14ac:dyDescent="0.25">
      <c r="A17" s="45" t="s">
        <v>191</v>
      </c>
      <c r="B17" s="45" t="s">
        <v>126</v>
      </c>
      <c r="C17" s="46">
        <v>3710</v>
      </c>
      <c r="D17" s="47">
        <v>3220</v>
      </c>
      <c r="E17" s="45">
        <v>11</v>
      </c>
      <c r="F17" s="45" t="s">
        <v>291</v>
      </c>
      <c r="G17" s="48">
        <f>IF(C17="","",ROUND(C17*Familias!$J$4,0))</f>
        <v>36173</v>
      </c>
    </row>
    <row r="18" spans="1:7" x14ac:dyDescent="0.25">
      <c r="A18" s="45" t="s">
        <v>260</v>
      </c>
      <c r="B18" s="45" t="s">
        <v>126</v>
      </c>
      <c r="C18" s="46">
        <v>2100</v>
      </c>
      <c r="D18" s="47">
        <v>1900</v>
      </c>
      <c r="E18" s="45">
        <v>5</v>
      </c>
      <c r="F18" s="45" t="s">
        <v>292</v>
      </c>
      <c r="G18" s="48">
        <f>IF(C18="","",ROUND(C18*Familias!$J$4,0))</f>
        <v>20475</v>
      </c>
    </row>
    <row r="19" spans="1:7" x14ac:dyDescent="0.25">
      <c r="A19" s="45" t="s">
        <v>147</v>
      </c>
      <c r="B19" s="45" t="s">
        <v>147</v>
      </c>
      <c r="C19" s="46">
        <v>2280</v>
      </c>
      <c r="D19" s="47">
        <v>2050</v>
      </c>
      <c r="E19" s="45">
        <v>37</v>
      </c>
      <c r="F19" s="45" t="s">
        <v>293</v>
      </c>
      <c r="G19" s="48">
        <f>IF(C19="","",ROUND(C19*Familias!$J$4,0))</f>
        <v>22230</v>
      </c>
    </row>
    <row r="20" spans="1:7" x14ac:dyDescent="0.25">
      <c r="A20" s="45" t="s">
        <v>193</v>
      </c>
      <c r="B20" s="45" t="s">
        <v>147</v>
      </c>
      <c r="C20" s="46">
        <v>1880</v>
      </c>
      <c r="D20" s="47">
        <v>1630</v>
      </c>
      <c r="E20" s="45">
        <v>35</v>
      </c>
      <c r="F20" s="45" t="s">
        <v>294</v>
      </c>
      <c r="G20" s="48">
        <f>IF(C20="","",ROUND(C20*Familias!$J$4,0))</f>
        <v>18330</v>
      </c>
    </row>
    <row r="21" spans="1:7" x14ac:dyDescent="0.25">
      <c r="A21" s="45" t="s">
        <v>175</v>
      </c>
      <c r="B21" s="45" t="s">
        <v>147</v>
      </c>
      <c r="C21" s="46">
        <v>2370</v>
      </c>
      <c r="D21" s="47">
        <v>2310</v>
      </c>
      <c r="E21" s="45">
        <v>9</v>
      </c>
      <c r="F21" s="45" t="s">
        <v>295</v>
      </c>
      <c r="G21" s="48">
        <f>IF(C21="","",ROUND(C21*Familias!$J$4,0))</f>
        <v>23108</v>
      </c>
    </row>
    <row r="22" spans="1:7" x14ac:dyDescent="0.25">
      <c r="A22" s="45" t="s">
        <v>127</v>
      </c>
      <c r="B22" s="45" t="s">
        <v>126</v>
      </c>
      <c r="C22" s="46">
        <v>2450</v>
      </c>
      <c r="D22" s="47">
        <v>1960</v>
      </c>
      <c r="E22" s="45">
        <v>93</v>
      </c>
      <c r="F22" s="45" t="s">
        <v>296</v>
      </c>
      <c r="G22" s="48">
        <f>IF(C22="","",ROUND(C22*Familias!$J$4,0))</f>
        <v>23888</v>
      </c>
    </row>
    <row r="23" spans="1:7" x14ac:dyDescent="0.25">
      <c r="A23" s="45" t="s">
        <v>297</v>
      </c>
      <c r="B23" s="45" t="s">
        <v>297</v>
      </c>
      <c r="C23" s="46">
        <v>2800</v>
      </c>
      <c r="D23" s="47">
        <v>2060</v>
      </c>
      <c r="E23" s="45">
        <v>0</v>
      </c>
      <c r="F23" s="45" t="s">
        <v>278</v>
      </c>
      <c r="G23" s="48">
        <f>IF(C23="","",ROUND(C23*Familias!$J$4,0))</f>
        <v>27300</v>
      </c>
    </row>
    <row r="24" spans="1:7" x14ac:dyDescent="0.25">
      <c r="A24" s="45" t="s">
        <v>144</v>
      </c>
      <c r="B24" s="45" t="s">
        <v>126</v>
      </c>
      <c r="C24" s="46">
        <v>2040</v>
      </c>
      <c r="D24" s="47">
        <v>1920</v>
      </c>
      <c r="E24" s="45">
        <v>6</v>
      </c>
      <c r="F24" s="45" t="s">
        <v>298</v>
      </c>
      <c r="G24" s="48">
        <f>IF(C24="","",ROUND(C24*Familias!$J$4,0))</f>
        <v>19890</v>
      </c>
    </row>
    <row r="25" spans="1:7" x14ac:dyDescent="0.25">
      <c r="A25" s="45" t="s">
        <v>299</v>
      </c>
      <c r="B25" s="45" t="s">
        <v>126</v>
      </c>
      <c r="C25" s="46">
        <v>2800</v>
      </c>
      <c r="D25" s="47">
        <v>2060</v>
      </c>
      <c r="E25" s="45">
        <v>0</v>
      </c>
      <c r="F25" s="45" t="s">
        <v>278</v>
      </c>
      <c r="G25" s="48">
        <f>IF(C25="","",ROUND(C25*Familias!$J$4,0))</f>
        <v>27300</v>
      </c>
    </row>
  </sheetData>
  <pageMargins left="0.75" right="0.75" top="1" bottom="1" header="0.5" footer="0.5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Motivos"/>
  <dimension ref="A1:J37"/>
  <sheetViews>
    <sheetView topLeftCell="A11" workbookViewId="0">
      <selection activeCell="J6" sqref="J6"/>
    </sheetView>
  </sheetViews>
  <sheetFormatPr baseColWidth="10" defaultColWidth="9.140625" defaultRowHeight="15" x14ac:dyDescent="0.25"/>
  <cols>
    <col min="1" max="1" width="44" customWidth="1"/>
    <col min="2" max="2" width="18" customWidth="1"/>
    <col min="3" max="3" width="16" customWidth="1"/>
    <col min="4" max="4" width="8" customWidth="1"/>
    <col min="5" max="5" width="14" customWidth="1"/>
    <col min="6" max="6" width="7" customWidth="1"/>
    <col min="7" max="7" width="44" customWidth="1"/>
    <col min="8" max="8" width="22" customWidth="1"/>
  </cols>
  <sheetData>
    <row r="1" spans="1:10" ht="18" x14ac:dyDescent="0.25">
      <c r="A1" s="42" t="s">
        <v>300</v>
      </c>
      <c r="J1" s="50"/>
    </row>
    <row r="2" spans="1:10" x14ac:dyDescent="0.25">
      <c r="A2" s="1"/>
      <c r="J2" s="50"/>
    </row>
    <row r="3" spans="1:10" x14ac:dyDescent="0.25">
      <c r="J3" s="50"/>
    </row>
    <row r="4" spans="1:10" ht="30" customHeight="1" x14ac:dyDescent="0.25">
      <c r="A4" s="41" t="s">
        <v>301</v>
      </c>
      <c r="B4" s="41" t="s">
        <v>34</v>
      </c>
      <c r="C4" s="41" t="s">
        <v>302</v>
      </c>
      <c r="D4" s="41" t="s">
        <v>303</v>
      </c>
      <c r="E4" s="41" t="s">
        <v>304</v>
      </c>
      <c r="F4" s="41" t="s">
        <v>305</v>
      </c>
      <c r="G4" s="41" t="s">
        <v>788</v>
      </c>
      <c r="H4" s="41" t="s">
        <v>271</v>
      </c>
      <c r="J4" s="50"/>
    </row>
    <row r="5" spans="1:10" x14ac:dyDescent="0.25">
      <c r="A5" s="45" t="s">
        <v>65</v>
      </c>
      <c r="B5" s="45" t="s">
        <v>99</v>
      </c>
      <c r="C5" s="45" t="s">
        <v>306</v>
      </c>
      <c r="D5" s="45" t="s">
        <v>117</v>
      </c>
      <c r="E5" s="51">
        <f>ROUND(SUM(BD!$AD$2:$AD$5847),2)</f>
        <v>133.43</v>
      </c>
      <c r="F5" s="52">
        <v>1</v>
      </c>
      <c r="G5" s="45" t="s">
        <v>65</v>
      </c>
      <c r="H5" s="45" t="s">
        <v>307</v>
      </c>
      <c r="J5" s="50"/>
    </row>
    <row r="6" spans="1:10" x14ac:dyDescent="0.25">
      <c r="A6" s="45" t="s">
        <v>66</v>
      </c>
      <c r="B6" s="45" t="s">
        <v>99</v>
      </c>
      <c r="C6" s="45" t="s">
        <v>306</v>
      </c>
      <c r="D6" s="45" t="s">
        <v>117</v>
      </c>
      <c r="E6" s="51">
        <f>ROUND(SUM(BD!$AE$2:$AE$5847),2)</f>
        <v>162.41999999999999</v>
      </c>
      <c r="F6" s="52">
        <v>2</v>
      </c>
      <c r="G6" s="45" t="s">
        <v>66</v>
      </c>
      <c r="H6" s="45" t="s">
        <v>308</v>
      </c>
      <c r="J6" s="50"/>
    </row>
    <row r="7" spans="1:10" x14ac:dyDescent="0.25">
      <c r="A7" s="45" t="s">
        <v>67</v>
      </c>
      <c r="B7" s="45" t="s">
        <v>99</v>
      </c>
      <c r="C7" s="45" t="s">
        <v>306</v>
      </c>
      <c r="D7" s="45" t="s">
        <v>117</v>
      </c>
      <c r="E7" s="51">
        <f>ROUND(SUM(BD!$AF$2:$AF$5847),2)</f>
        <v>83.4</v>
      </c>
      <c r="F7" s="52">
        <v>3</v>
      </c>
      <c r="G7" s="45" t="s">
        <v>67</v>
      </c>
      <c r="H7" s="45" t="s">
        <v>308</v>
      </c>
    </row>
    <row r="8" spans="1:10" x14ac:dyDescent="0.25">
      <c r="A8" s="45" t="s">
        <v>68</v>
      </c>
      <c r="B8" s="45" t="s">
        <v>99</v>
      </c>
      <c r="C8" s="45" t="s">
        <v>306</v>
      </c>
      <c r="D8" s="45" t="s">
        <v>117</v>
      </c>
      <c r="E8" s="51">
        <f>ROUND(SUM(BD!$AG$2:$AG$5847),2)</f>
        <v>64.48</v>
      </c>
      <c r="F8" s="52">
        <v>4</v>
      </c>
      <c r="G8" s="45" t="s">
        <v>68</v>
      </c>
      <c r="H8" s="45" t="s">
        <v>308</v>
      </c>
    </row>
    <row r="9" spans="1:10" x14ac:dyDescent="0.25">
      <c r="A9" s="45" t="s">
        <v>69</v>
      </c>
      <c r="B9" s="45" t="s">
        <v>99</v>
      </c>
      <c r="C9" s="45" t="s">
        <v>306</v>
      </c>
      <c r="D9" s="45" t="s">
        <v>117</v>
      </c>
      <c r="E9" s="51">
        <f>ROUND(SUM(BD!$AH$2:$AH$5847),2)</f>
        <v>3.5</v>
      </c>
      <c r="F9" s="52">
        <v>5</v>
      </c>
      <c r="G9" s="45" t="s">
        <v>69</v>
      </c>
      <c r="H9" s="45" t="s">
        <v>309</v>
      </c>
    </row>
    <row r="10" spans="1:10" x14ac:dyDescent="0.25">
      <c r="A10" s="45" t="s">
        <v>70</v>
      </c>
      <c r="B10" s="45" t="s">
        <v>99</v>
      </c>
      <c r="C10" s="45" t="s">
        <v>306</v>
      </c>
      <c r="D10" s="45" t="s">
        <v>117</v>
      </c>
      <c r="E10" s="51">
        <f>ROUND(SUM(BD!$AI$2:$AI$5847),2)</f>
        <v>8.25</v>
      </c>
      <c r="F10" s="52">
        <v>6</v>
      </c>
      <c r="G10" s="45" t="s">
        <v>70</v>
      </c>
      <c r="H10" s="45" t="s">
        <v>308</v>
      </c>
    </row>
    <row r="11" spans="1:10" x14ac:dyDescent="0.25">
      <c r="A11" s="45" t="s">
        <v>71</v>
      </c>
      <c r="B11" s="45" t="s">
        <v>99</v>
      </c>
      <c r="C11" s="45" t="s">
        <v>306</v>
      </c>
      <c r="D11" s="45" t="s">
        <v>117</v>
      </c>
      <c r="E11" s="51">
        <f>ROUND(SUM(BD!$AJ$2:$AJ$5847),2)</f>
        <v>32.25</v>
      </c>
      <c r="F11" s="52">
        <v>7</v>
      </c>
      <c r="G11" s="45" t="s">
        <v>71</v>
      </c>
      <c r="H11" s="45" t="s">
        <v>309</v>
      </c>
    </row>
    <row r="12" spans="1:10" x14ac:dyDescent="0.25">
      <c r="A12" s="45" t="s">
        <v>72</v>
      </c>
      <c r="B12" s="45" t="s">
        <v>99</v>
      </c>
      <c r="C12" s="45" t="s">
        <v>306</v>
      </c>
      <c r="D12" s="45" t="s">
        <v>117</v>
      </c>
      <c r="E12" s="51">
        <f>ROUND(SUM(BD!$AK$2:$AK$5847),2)</f>
        <v>20.079999999999998</v>
      </c>
      <c r="F12" s="52">
        <v>8</v>
      </c>
      <c r="G12" s="45" t="s">
        <v>72</v>
      </c>
      <c r="H12" s="45" t="s">
        <v>309</v>
      </c>
    </row>
    <row r="13" spans="1:10" x14ac:dyDescent="0.25">
      <c r="A13" s="45" t="s">
        <v>73</v>
      </c>
      <c r="B13" s="45" t="s">
        <v>99</v>
      </c>
      <c r="C13" s="45" t="s">
        <v>306</v>
      </c>
      <c r="D13" s="45" t="s">
        <v>117</v>
      </c>
      <c r="E13" s="51">
        <f>ROUND(SUM(BD!$AL$2:$AL$5847),2)</f>
        <v>24.08</v>
      </c>
      <c r="F13" s="52">
        <v>9</v>
      </c>
      <c r="G13" s="45" t="s">
        <v>73</v>
      </c>
      <c r="H13" s="45" t="s">
        <v>309</v>
      </c>
    </row>
    <row r="14" spans="1:10" x14ac:dyDescent="0.25">
      <c r="A14" s="45" t="s">
        <v>74</v>
      </c>
      <c r="B14" s="45" t="s">
        <v>99</v>
      </c>
      <c r="C14" s="45" t="s">
        <v>306</v>
      </c>
      <c r="D14" s="45" t="s">
        <v>117</v>
      </c>
      <c r="E14" s="51">
        <f>ROUND(SUM(BD!$AM$2:$AM$5847),2)</f>
        <v>15.5</v>
      </c>
      <c r="F14" s="52">
        <v>10</v>
      </c>
      <c r="G14" s="45" t="s">
        <v>74</v>
      </c>
      <c r="H14" s="45" t="s">
        <v>309</v>
      </c>
    </row>
    <row r="15" spans="1:10" x14ac:dyDescent="0.25">
      <c r="A15" s="45" t="s">
        <v>75</v>
      </c>
      <c r="B15" s="45" t="s">
        <v>99</v>
      </c>
      <c r="C15" s="45" t="s">
        <v>306</v>
      </c>
      <c r="D15" s="45" t="s">
        <v>117</v>
      </c>
      <c r="E15" s="51">
        <f>ROUND(SUM(BD!$AN$2:$AN$5847),2)</f>
        <v>11</v>
      </c>
      <c r="F15" s="52">
        <v>11</v>
      </c>
      <c r="G15" s="45" t="s">
        <v>75</v>
      </c>
      <c r="H15" s="45" t="s">
        <v>308</v>
      </c>
    </row>
    <row r="16" spans="1:10" x14ac:dyDescent="0.25">
      <c r="A16" s="45" t="s">
        <v>76</v>
      </c>
      <c r="B16" s="45" t="s">
        <v>99</v>
      </c>
      <c r="C16" s="45" t="s">
        <v>306</v>
      </c>
      <c r="D16" s="45" t="s">
        <v>117</v>
      </c>
      <c r="E16" s="51">
        <f>ROUND(SUM(BD!$AO$2:$AO$5847),2)</f>
        <v>71.75</v>
      </c>
      <c r="F16" s="52">
        <v>12</v>
      </c>
      <c r="G16" s="45" t="s">
        <v>76</v>
      </c>
      <c r="H16" s="45" t="s">
        <v>308</v>
      </c>
    </row>
    <row r="17" spans="1:8" x14ac:dyDescent="0.25">
      <c r="A17" s="45" t="s">
        <v>77</v>
      </c>
      <c r="B17" s="45" t="s">
        <v>99</v>
      </c>
      <c r="C17" s="45" t="s">
        <v>306</v>
      </c>
      <c r="D17" s="45" t="s">
        <v>117</v>
      </c>
      <c r="E17" s="51">
        <f>ROUND(SUM(BD!$AP$2:$AP$5847),2)</f>
        <v>0</v>
      </c>
      <c r="F17" s="52">
        <v>13</v>
      </c>
      <c r="G17" s="45" t="s">
        <v>77</v>
      </c>
      <c r="H17" s="45" t="s">
        <v>309</v>
      </c>
    </row>
    <row r="18" spans="1:8" x14ac:dyDescent="0.25">
      <c r="A18" s="45" t="s">
        <v>78</v>
      </c>
      <c r="B18" s="45" t="s">
        <v>99</v>
      </c>
      <c r="C18" s="45" t="s">
        <v>306</v>
      </c>
      <c r="D18" s="45" t="s">
        <v>117</v>
      </c>
      <c r="E18" s="51">
        <f>ROUND(SUM(BD!$AQ$2:$AQ$5847),2)</f>
        <v>210.57</v>
      </c>
      <c r="F18" s="52">
        <v>14</v>
      </c>
      <c r="G18" s="45" t="s">
        <v>78</v>
      </c>
      <c r="H18" s="45" t="s">
        <v>307</v>
      </c>
    </row>
    <row r="19" spans="1:8" x14ac:dyDescent="0.25">
      <c r="A19" s="45" t="s">
        <v>79</v>
      </c>
      <c r="B19" s="45" t="s">
        <v>99</v>
      </c>
      <c r="C19" s="45" t="s">
        <v>310</v>
      </c>
      <c r="D19" s="45" t="s">
        <v>117</v>
      </c>
      <c r="E19" s="51">
        <f>ROUND(SUM(BD!$AR$2:$AR$5847),2)</f>
        <v>393.33</v>
      </c>
      <c r="F19" s="52">
        <v>15</v>
      </c>
      <c r="G19" s="45" t="s">
        <v>79</v>
      </c>
      <c r="H19" s="45" t="s">
        <v>79</v>
      </c>
    </row>
    <row r="20" spans="1:8" x14ac:dyDescent="0.25">
      <c r="A20" s="45" t="s">
        <v>80</v>
      </c>
      <c r="B20" s="45" t="s">
        <v>99</v>
      </c>
      <c r="C20" s="45" t="s">
        <v>306</v>
      </c>
      <c r="D20" s="45" t="s">
        <v>117</v>
      </c>
      <c r="E20" s="51">
        <f>ROUND(SUM(BD!$AS$2:$AS$5847),2)</f>
        <v>9.67</v>
      </c>
      <c r="F20" s="52">
        <v>16</v>
      </c>
      <c r="G20" s="45" t="s">
        <v>80</v>
      </c>
      <c r="H20" s="45" t="s">
        <v>309</v>
      </c>
    </row>
    <row r="21" spans="1:8" x14ac:dyDescent="0.25">
      <c r="A21" s="45" t="s">
        <v>81</v>
      </c>
      <c r="B21" s="45" t="s">
        <v>99</v>
      </c>
      <c r="C21" s="45" t="s">
        <v>306</v>
      </c>
      <c r="D21" s="45" t="s">
        <v>117</v>
      </c>
      <c r="E21" s="51">
        <f>ROUND(SUM(BD!$AT$2:$AT$5847),2)</f>
        <v>0</v>
      </c>
      <c r="F21" s="52">
        <v>17</v>
      </c>
      <c r="G21" s="45" t="s">
        <v>81</v>
      </c>
      <c r="H21" s="45" t="s">
        <v>311</v>
      </c>
    </row>
    <row r="22" spans="1:8" x14ac:dyDescent="0.25">
      <c r="A22" s="45" t="s">
        <v>82</v>
      </c>
      <c r="B22" s="45" t="s">
        <v>99</v>
      </c>
      <c r="C22" s="45" t="s">
        <v>306</v>
      </c>
      <c r="D22" s="45" t="s">
        <v>117</v>
      </c>
      <c r="E22" s="51">
        <f>ROUND(SUM(BD!$AU$2:$AU$5847),2)</f>
        <v>14.33</v>
      </c>
      <c r="F22" s="52">
        <v>18</v>
      </c>
      <c r="G22" s="45" t="s">
        <v>82</v>
      </c>
      <c r="H22" s="45" t="s">
        <v>84</v>
      </c>
    </row>
    <row r="23" spans="1:8" x14ac:dyDescent="0.25">
      <c r="A23" s="45" t="s">
        <v>83</v>
      </c>
      <c r="B23" s="45" t="s">
        <v>101</v>
      </c>
      <c r="C23" s="45" t="s">
        <v>306</v>
      </c>
      <c r="D23" s="45" t="s">
        <v>117</v>
      </c>
      <c r="E23" s="51">
        <f>ROUND(SUM(BD!$AV$2:$AV$5847),2)</f>
        <v>15.67</v>
      </c>
      <c r="F23" s="52">
        <v>19</v>
      </c>
      <c r="G23" s="45" t="s">
        <v>83</v>
      </c>
      <c r="H23" s="45" t="s">
        <v>312</v>
      </c>
    </row>
    <row r="24" spans="1:8" x14ac:dyDescent="0.25">
      <c r="A24" s="45" t="s">
        <v>84</v>
      </c>
      <c r="B24" s="45" t="s">
        <v>99</v>
      </c>
      <c r="C24" s="45" t="s">
        <v>306</v>
      </c>
      <c r="D24" s="45" t="s">
        <v>117</v>
      </c>
      <c r="E24" s="51">
        <f>ROUND(SUM(BD!$AW$2:$AW$5847),2)</f>
        <v>50</v>
      </c>
      <c r="F24" s="52">
        <v>20</v>
      </c>
      <c r="G24" s="45" t="s">
        <v>84</v>
      </c>
      <c r="H24" s="45" t="s">
        <v>84</v>
      </c>
    </row>
    <row r="25" spans="1:8" x14ac:dyDescent="0.25">
      <c r="A25" s="45" t="s">
        <v>85</v>
      </c>
      <c r="B25" s="45" t="s">
        <v>99</v>
      </c>
      <c r="C25" s="45" t="s">
        <v>310</v>
      </c>
      <c r="D25" s="45" t="s">
        <v>117</v>
      </c>
      <c r="E25" s="51">
        <f>ROUND(SUM(BD!$AX$2:$AX$5847),2)</f>
        <v>0</v>
      </c>
      <c r="F25" s="52">
        <v>21</v>
      </c>
      <c r="G25" s="45" t="s">
        <v>85</v>
      </c>
      <c r="H25" s="45" t="s">
        <v>313</v>
      </c>
    </row>
    <row r="26" spans="1:8" x14ac:dyDescent="0.25">
      <c r="A26" s="45" t="s">
        <v>86</v>
      </c>
      <c r="B26" s="45" t="s">
        <v>99</v>
      </c>
      <c r="C26" s="45" t="s">
        <v>306</v>
      </c>
      <c r="D26" s="45" t="s">
        <v>117</v>
      </c>
      <c r="E26" s="51">
        <f>ROUND(SUM(BD!$AY$2:$AY$5847),2)</f>
        <v>7</v>
      </c>
      <c r="F26" s="52">
        <v>22</v>
      </c>
      <c r="G26" s="45" t="s">
        <v>86</v>
      </c>
      <c r="H26" s="45" t="s">
        <v>314</v>
      </c>
    </row>
    <row r="27" spans="1:8" x14ac:dyDescent="0.25">
      <c r="A27" s="45" t="s">
        <v>87</v>
      </c>
      <c r="B27" s="45" t="s">
        <v>100</v>
      </c>
      <c r="C27" s="45" t="s">
        <v>310</v>
      </c>
      <c r="D27" s="45" t="s">
        <v>117</v>
      </c>
      <c r="E27" s="51">
        <f>ROUND(SUM(BD!$AZ$2:$AZ$5847),2)</f>
        <v>12.6</v>
      </c>
      <c r="F27" s="52">
        <v>23</v>
      </c>
      <c r="G27" s="45" t="s">
        <v>87</v>
      </c>
      <c r="H27" s="45" t="s">
        <v>87</v>
      </c>
    </row>
    <row r="28" spans="1:8" x14ac:dyDescent="0.25">
      <c r="A28" s="45" t="s">
        <v>88</v>
      </c>
      <c r="B28" s="45" t="s">
        <v>100</v>
      </c>
      <c r="C28" s="45" t="s">
        <v>306</v>
      </c>
      <c r="D28" s="45" t="s">
        <v>117</v>
      </c>
      <c r="E28" s="51">
        <f>ROUND(SUM(BD!$BA$2:$BA$5847),2)</f>
        <v>91.7</v>
      </c>
      <c r="F28" s="52">
        <v>24</v>
      </c>
      <c r="G28" s="45" t="s">
        <v>88</v>
      </c>
      <c r="H28" s="45" t="s">
        <v>315</v>
      </c>
    </row>
    <row r="29" spans="1:8" x14ac:dyDescent="0.25">
      <c r="A29" s="45" t="s">
        <v>89</v>
      </c>
      <c r="B29" s="45" t="s">
        <v>100</v>
      </c>
      <c r="C29" s="45" t="s">
        <v>306</v>
      </c>
      <c r="D29" s="45" t="s">
        <v>117</v>
      </c>
      <c r="E29" s="51">
        <f>ROUND(SUM(BD!$BB$2:$BB$5847),2)</f>
        <v>15.25</v>
      </c>
      <c r="F29" s="52">
        <v>25</v>
      </c>
      <c r="G29" s="45" t="s">
        <v>89</v>
      </c>
      <c r="H29" s="45" t="s">
        <v>316</v>
      </c>
    </row>
    <row r="30" spans="1:8" x14ac:dyDescent="0.25">
      <c r="A30" s="45" t="s">
        <v>90</v>
      </c>
      <c r="B30" s="45" t="s">
        <v>99</v>
      </c>
      <c r="C30" s="45" t="s">
        <v>306</v>
      </c>
      <c r="D30" s="45" t="s">
        <v>117</v>
      </c>
      <c r="E30" s="51">
        <f>ROUND(SUM(BD!$BC$2:$BC$5847),2)</f>
        <v>58.92</v>
      </c>
      <c r="F30" s="52">
        <v>26</v>
      </c>
      <c r="G30" s="45" t="s">
        <v>90</v>
      </c>
      <c r="H30" s="45" t="s">
        <v>307</v>
      </c>
    </row>
    <row r="31" spans="1:8" x14ac:dyDescent="0.25">
      <c r="A31" s="45" t="s">
        <v>91</v>
      </c>
      <c r="B31" s="45" t="s">
        <v>100</v>
      </c>
      <c r="C31" s="45" t="s">
        <v>306</v>
      </c>
      <c r="D31" s="45" t="s">
        <v>117</v>
      </c>
      <c r="E31" s="51">
        <f>ROUND(SUM(BD!$BD$2:$BD$5847),2)</f>
        <v>0.33</v>
      </c>
      <c r="F31" s="52">
        <v>27</v>
      </c>
      <c r="G31" s="45" t="s">
        <v>91</v>
      </c>
      <c r="H31" s="45" t="s">
        <v>317</v>
      </c>
    </row>
    <row r="32" spans="1:8" x14ac:dyDescent="0.25">
      <c r="A32" s="45" t="s">
        <v>92</v>
      </c>
      <c r="B32" s="45" t="s">
        <v>99</v>
      </c>
      <c r="C32" s="45" t="s">
        <v>306</v>
      </c>
      <c r="D32" s="45" t="s">
        <v>117</v>
      </c>
      <c r="E32" s="51">
        <f>ROUND(SUM(BD!$BE$2:$BE$5847),2)</f>
        <v>46.58</v>
      </c>
      <c r="F32" s="52">
        <v>28</v>
      </c>
      <c r="G32" s="45" t="s">
        <v>92</v>
      </c>
      <c r="H32" s="45" t="s">
        <v>318</v>
      </c>
    </row>
    <row r="33" spans="1:8" x14ac:dyDescent="0.25">
      <c r="A33" s="45" t="s">
        <v>93</v>
      </c>
      <c r="B33" s="45" t="s">
        <v>99</v>
      </c>
      <c r="C33" s="45" t="s">
        <v>306</v>
      </c>
      <c r="D33" s="45" t="s">
        <v>117</v>
      </c>
      <c r="E33" s="51">
        <f>ROUND(SUM(BD!$BF$2:$BF$5847),2)</f>
        <v>0</v>
      </c>
      <c r="F33" s="52">
        <v>29</v>
      </c>
      <c r="G33" s="45" t="s">
        <v>93</v>
      </c>
      <c r="H33" s="45" t="s">
        <v>319</v>
      </c>
    </row>
    <row r="34" spans="1:8" x14ac:dyDescent="0.25">
      <c r="A34" s="45" t="s">
        <v>94</v>
      </c>
      <c r="B34" s="45" t="s">
        <v>101</v>
      </c>
      <c r="C34" s="45" t="s">
        <v>306</v>
      </c>
      <c r="D34" s="45" t="s">
        <v>117</v>
      </c>
      <c r="E34" s="51">
        <f>ROUND(SUM(BD!$BG$2:$BG$5847),2)</f>
        <v>0</v>
      </c>
      <c r="F34" s="52">
        <v>30</v>
      </c>
      <c r="G34" s="45" t="s">
        <v>94</v>
      </c>
      <c r="H34" s="45" t="s">
        <v>311</v>
      </c>
    </row>
    <row r="35" spans="1:8" x14ac:dyDescent="0.25">
      <c r="A35" s="45" t="s">
        <v>95</v>
      </c>
      <c r="B35" s="45" t="s">
        <v>99</v>
      </c>
      <c r="C35" s="45" t="s">
        <v>310</v>
      </c>
      <c r="D35" s="45" t="s">
        <v>117</v>
      </c>
      <c r="E35" s="51">
        <f>ROUND(SUM(BD!$BH$2:$BH$5847),2)</f>
        <v>0.5</v>
      </c>
      <c r="F35" s="52">
        <v>31</v>
      </c>
      <c r="G35" s="45" t="s">
        <v>95</v>
      </c>
      <c r="H35" s="45" t="s">
        <v>320</v>
      </c>
    </row>
    <row r="36" spans="1:8" x14ac:dyDescent="0.25">
      <c r="A36" s="45" t="s">
        <v>96</v>
      </c>
      <c r="B36" s="45" t="s">
        <v>99</v>
      </c>
      <c r="C36" s="45" t="s">
        <v>306</v>
      </c>
      <c r="D36" s="45" t="s">
        <v>117</v>
      </c>
      <c r="E36" s="51">
        <f>ROUND(SUM(BD!$BI$2:$BI$5847),2)</f>
        <v>149.1</v>
      </c>
      <c r="F36" s="52">
        <v>32</v>
      </c>
      <c r="G36" s="45" t="s">
        <v>96</v>
      </c>
      <c r="H36" s="45" t="s">
        <v>307</v>
      </c>
    </row>
    <row r="37" spans="1:8" x14ac:dyDescent="0.25">
      <c r="A37" s="45" t="s">
        <v>97</v>
      </c>
      <c r="B37" s="45" t="s">
        <v>99</v>
      </c>
      <c r="C37" s="45" t="s">
        <v>306</v>
      </c>
      <c r="D37" s="45" t="s">
        <v>117</v>
      </c>
      <c r="E37" s="51">
        <f>ROUND(SUM(BD!$BJ$2:$BJ$5847),2)</f>
        <v>283.13</v>
      </c>
      <c r="F37" s="52">
        <v>33</v>
      </c>
      <c r="G37" s="45" t="s">
        <v>97</v>
      </c>
      <c r="H37" s="45" t="s">
        <v>97</v>
      </c>
    </row>
  </sheetData>
  <dataValidations count="1">
    <dataValidation type="list" sqref="B5:B200" xr:uid="{00000000-0002-0000-0400-000000000000}">
      <formula1>"PRODUCCION,MANTENIMIENTO,MATRICERIA,CDC"</formula1>
    </dataValidation>
  </dataValidations>
  <pageMargins left="0.75" right="0.75" top="1" bottom="1" header="0.5" footer="0.5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Maestros"/>
  <dimension ref="A1:J11"/>
  <sheetViews>
    <sheetView workbookViewId="0">
      <selection activeCell="H12" sqref="H12"/>
    </sheetView>
  </sheetViews>
  <sheetFormatPr baseColWidth="10" defaultColWidth="9.140625" defaultRowHeight="15" x14ac:dyDescent="0.25"/>
  <cols>
    <col min="1" max="1" width="12" customWidth="1"/>
    <col min="2" max="2" width="10" customWidth="1"/>
    <col min="3" max="3" width="3" customWidth="1"/>
    <col min="4" max="4" width="10" customWidth="1"/>
    <col min="5" max="5" width="3" customWidth="1"/>
    <col min="6" max="6" width="28" customWidth="1"/>
    <col min="7" max="7" width="3" customWidth="1"/>
    <col min="8" max="8" width="32" customWidth="1"/>
    <col min="9" max="9" width="3" customWidth="1"/>
    <col min="10" max="10" width="18" customWidth="1"/>
  </cols>
  <sheetData>
    <row r="1" spans="1:10" ht="18" x14ac:dyDescent="0.25">
      <c r="A1" s="42" t="s">
        <v>321</v>
      </c>
    </row>
    <row r="3" spans="1:10" x14ac:dyDescent="0.25">
      <c r="A3" s="49" t="s">
        <v>322</v>
      </c>
    </row>
    <row r="4" spans="1:10" x14ac:dyDescent="0.25">
      <c r="A4" s="41" t="s">
        <v>323</v>
      </c>
      <c r="B4" s="41" t="s">
        <v>324</v>
      </c>
      <c r="D4" s="41" t="s">
        <v>325</v>
      </c>
      <c r="F4" s="41" t="s">
        <v>326</v>
      </c>
      <c r="H4" s="41" t="s">
        <v>327</v>
      </c>
      <c r="J4" s="41" t="s">
        <v>328</v>
      </c>
    </row>
    <row r="5" spans="1:10" x14ac:dyDescent="0.25">
      <c r="A5" t="s">
        <v>6</v>
      </c>
      <c r="B5" t="s">
        <v>329</v>
      </c>
      <c r="D5" t="s">
        <v>113</v>
      </c>
      <c r="H5" t="s">
        <v>330</v>
      </c>
      <c r="J5" t="s">
        <v>331</v>
      </c>
    </row>
    <row r="6" spans="1:10" x14ac:dyDescent="0.25">
      <c r="D6" t="s">
        <v>119</v>
      </c>
      <c r="H6" t="s">
        <v>120</v>
      </c>
      <c r="J6" t="s">
        <v>332</v>
      </c>
    </row>
    <row r="7" spans="1:10" x14ac:dyDescent="0.25">
      <c r="H7" t="s">
        <v>224</v>
      </c>
      <c r="J7" t="s">
        <v>333</v>
      </c>
    </row>
    <row r="8" spans="1:10" x14ac:dyDescent="0.25">
      <c r="H8" t="s">
        <v>209</v>
      </c>
      <c r="J8" t="s">
        <v>85</v>
      </c>
    </row>
    <row r="9" spans="1:10" x14ac:dyDescent="0.25">
      <c r="H9" t="s">
        <v>116</v>
      </c>
    </row>
    <row r="10" spans="1:10" x14ac:dyDescent="0.25">
      <c r="H10" t="s">
        <v>790</v>
      </c>
    </row>
    <row r="11" spans="1:10" x14ac:dyDescent="0.25">
      <c r="H11" t="s">
        <v>792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Productos"/>
  <dimension ref="A1:K551"/>
  <sheetViews>
    <sheetView workbookViewId="0">
      <pane ySplit="1" topLeftCell="A2" activePane="bottomLeft" state="frozen"/>
      <selection pane="bottomLeft"/>
    </sheetView>
  </sheetViews>
  <sheetFormatPr baseColWidth="10" defaultColWidth="9.140625" defaultRowHeight="15" x14ac:dyDescent="0.25"/>
  <cols>
    <col min="1" max="1" width="14" customWidth="1"/>
    <col min="2" max="2" width="60" customWidth="1"/>
    <col min="3" max="5" width="18" customWidth="1"/>
    <col min="6" max="9" width="9" customWidth="1"/>
    <col min="10" max="11" width="12" customWidth="1"/>
  </cols>
  <sheetData>
    <row r="1" spans="1:11" ht="30" customHeight="1" x14ac:dyDescent="0.25">
      <c r="A1" s="41" t="s">
        <v>21</v>
      </c>
      <c r="B1" s="41" t="s">
        <v>23</v>
      </c>
      <c r="C1" s="41" t="s">
        <v>24</v>
      </c>
      <c r="D1" s="41" t="s">
        <v>25</v>
      </c>
      <c r="E1" s="41" t="s">
        <v>334</v>
      </c>
      <c r="F1" s="41" t="s">
        <v>335</v>
      </c>
      <c r="G1" s="41" t="s">
        <v>336</v>
      </c>
      <c r="H1" s="41" t="s">
        <v>337</v>
      </c>
      <c r="I1" s="41" t="s">
        <v>338</v>
      </c>
      <c r="J1" s="41" t="s">
        <v>339</v>
      </c>
      <c r="K1" s="41" t="s">
        <v>340</v>
      </c>
    </row>
    <row r="2" spans="1:11" x14ac:dyDescent="0.25">
      <c r="A2" s="53">
        <v>2140110607</v>
      </c>
      <c r="B2" s="53" t="s">
        <v>341</v>
      </c>
      <c r="C2" s="53"/>
      <c r="D2" s="53" t="s">
        <v>124</v>
      </c>
      <c r="E2" s="53" t="s">
        <v>342</v>
      </c>
      <c r="F2" s="53"/>
      <c r="G2" s="53"/>
      <c r="H2" s="53"/>
      <c r="I2" s="53"/>
      <c r="J2" t="str">
        <f t="shared" ref="J2:J65" si="0">IF(COUNT(F2:I2)=4,ROUND(G2/1000*H2/100*I2/100*F2/3,4),"")</f>
        <v/>
      </c>
      <c r="K2" s="54">
        <v>7.4136799999998237E-3</v>
      </c>
    </row>
    <row r="3" spans="1:11" x14ac:dyDescent="0.25">
      <c r="A3" s="53">
        <v>2140110608</v>
      </c>
      <c r="B3" s="53" t="s">
        <v>343</v>
      </c>
      <c r="C3" s="53"/>
      <c r="D3" s="53" t="s">
        <v>124</v>
      </c>
      <c r="E3" s="53" t="s">
        <v>342</v>
      </c>
      <c r="F3" s="53"/>
      <c r="G3" s="53"/>
      <c r="H3" s="53"/>
      <c r="I3" s="53"/>
      <c r="J3" t="str">
        <f t="shared" si="0"/>
        <v/>
      </c>
      <c r="K3" s="54">
        <v>7.4136799999998237E-3</v>
      </c>
    </row>
    <row r="4" spans="1:11" x14ac:dyDescent="0.25">
      <c r="A4" s="53">
        <v>2140110794</v>
      </c>
      <c r="B4" s="53" t="s">
        <v>220</v>
      </c>
      <c r="C4" s="53"/>
      <c r="D4" s="53" t="s">
        <v>124</v>
      </c>
      <c r="E4" s="53" t="s">
        <v>342</v>
      </c>
      <c r="F4" s="53">
        <v>40</v>
      </c>
      <c r="G4" s="53">
        <v>70</v>
      </c>
      <c r="H4" s="53">
        <v>84</v>
      </c>
      <c r="I4" s="53">
        <v>42.5</v>
      </c>
      <c r="J4">
        <f t="shared" si="0"/>
        <v>0.3332</v>
      </c>
      <c r="K4" s="54">
        <v>8.6490000000000004E-3</v>
      </c>
    </row>
    <row r="5" spans="1:11" x14ac:dyDescent="0.25">
      <c r="A5" s="53">
        <v>2140250013</v>
      </c>
      <c r="B5" s="53" t="s">
        <v>344</v>
      </c>
      <c r="C5" s="53"/>
      <c r="D5" s="53" t="s">
        <v>124</v>
      </c>
      <c r="E5" s="53" t="s">
        <v>342</v>
      </c>
      <c r="F5" s="53"/>
      <c r="G5" s="53"/>
      <c r="H5" s="53"/>
      <c r="I5" s="53"/>
      <c r="J5" t="str">
        <f t="shared" si="0"/>
        <v/>
      </c>
      <c r="K5" s="54">
        <v>0</v>
      </c>
    </row>
    <row r="6" spans="1:11" x14ac:dyDescent="0.25">
      <c r="A6" s="53">
        <v>2140250022</v>
      </c>
      <c r="B6" s="53" t="s">
        <v>345</v>
      </c>
      <c r="C6" s="53"/>
      <c r="D6" s="53" t="s">
        <v>124</v>
      </c>
      <c r="E6" s="53" t="s">
        <v>342</v>
      </c>
      <c r="F6" s="53"/>
      <c r="G6" s="53"/>
      <c r="H6" s="53"/>
      <c r="I6" s="53"/>
      <c r="J6" t="str">
        <f t="shared" si="0"/>
        <v/>
      </c>
      <c r="K6" s="54">
        <v>0</v>
      </c>
    </row>
    <row r="7" spans="1:11" x14ac:dyDescent="0.25">
      <c r="A7" s="53">
        <v>2140250023</v>
      </c>
      <c r="B7" s="53" t="s">
        <v>346</v>
      </c>
      <c r="C7" s="53"/>
      <c r="D7" s="53" t="s">
        <v>124</v>
      </c>
      <c r="E7" s="53" t="s">
        <v>342</v>
      </c>
      <c r="F7" s="53"/>
      <c r="G7" s="53"/>
      <c r="H7" s="53"/>
      <c r="I7" s="53"/>
      <c r="J7" t="str">
        <f t="shared" si="0"/>
        <v/>
      </c>
      <c r="K7" s="54">
        <v>0</v>
      </c>
    </row>
    <row r="8" spans="1:11" x14ac:dyDescent="0.25">
      <c r="A8" s="53">
        <v>2140250026</v>
      </c>
      <c r="B8" s="53" t="s">
        <v>347</v>
      </c>
      <c r="C8" s="53"/>
      <c r="D8" s="53" t="s">
        <v>124</v>
      </c>
      <c r="E8" s="53" t="s">
        <v>342</v>
      </c>
      <c r="F8" s="53"/>
      <c r="G8" s="53"/>
      <c r="H8" s="53"/>
      <c r="I8" s="53"/>
      <c r="J8" t="str">
        <f t="shared" si="0"/>
        <v/>
      </c>
      <c r="K8" s="54">
        <v>0</v>
      </c>
    </row>
    <row r="9" spans="1:11" x14ac:dyDescent="0.25">
      <c r="A9" s="53">
        <v>2140250027</v>
      </c>
      <c r="B9" s="53" t="s">
        <v>348</v>
      </c>
      <c r="C9" s="53"/>
      <c r="D9" s="53" t="s">
        <v>124</v>
      </c>
      <c r="E9" s="53" t="s">
        <v>342</v>
      </c>
      <c r="F9" s="53"/>
      <c r="G9" s="53"/>
      <c r="H9" s="53"/>
      <c r="I9" s="53"/>
      <c r="J9" t="str">
        <f t="shared" si="0"/>
        <v/>
      </c>
      <c r="K9" s="54">
        <v>0</v>
      </c>
    </row>
    <row r="10" spans="1:11" x14ac:dyDescent="0.25">
      <c r="A10" s="53">
        <v>2140250028</v>
      </c>
      <c r="B10" s="53" t="s">
        <v>349</v>
      </c>
      <c r="C10" s="53"/>
      <c r="D10" s="53" t="s">
        <v>124</v>
      </c>
      <c r="E10" s="53" t="s">
        <v>342</v>
      </c>
      <c r="F10" s="53"/>
      <c r="G10" s="53"/>
      <c r="H10" s="53"/>
      <c r="I10" s="53"/>
      <c r="J10" t="str">
        <f t="shared" si="0"/>
        <v/>
      </c>
      <c r="K10" s="54">
        <v>0</v>
      </c>
    </row>
    <row r="11" spans="1:11" x14ac:dyDescent="0.25">
      <c r="A11" s="53">
        <v>2140250030</v>
      </c>
      <c r="B11" s="53" t="s">
        <v>350</v>
      </c>
      <c r="C11" s="53"/>
      <c r="D11" s="53" t="s">
        <v>124</v>
      </c>
      <c r="E11" s="53" t="s">
        <v>342</v>
      </c>
      <c r="F11" s="53"/>
      <c r="G11" s="53"/>
      <c r="H11" s="53"/>
      <c r="I11" s="53"/>
      <c r="J11" t="str">
        <f t="shared" si="0"/>
        <v/>
      </c>
      <c r="K11" s="54">
        <v>2.6493599999999999E-2</v>
      </c>
    </row>
    <row r="12" spans="1:11" x14ac:dyDescent="0.25">
      <c r="A12" s="53">
        <v>2140250031</v>
      </c>
      <c r="B12" s="53" t="s">
        <v>351</v>
      </c>
      <c r="C12" s="53"/>
      <c r="D12" s="53" t="s">
        <v>124</v>
      </c>
      <c r="E12" s="53" t="s">
        <v>342</v>
      </c>
      <c r="F12" s="53"/>
      <c r="G12" s="53"/>
      <c r="H12" s="53"/>
      <c r="I12" s="53"/>
      <c r="J12" t="str">
        <f t="shared" si="0"/>
        <v/>
      </c>
      <c r="K12" s="54">
        <v>2.6493599999999999E-2</v>
      </c>
    </row>
    <row r="13" spans="1:11" x14ac:dyDescent="0.25">
      <c r="A13" s="53">
        <v>2310320089</v>
      </c>
      <c r="B13" s="53" t="s">
        <v>125</v>
      </c>
      <c r="C13" s="53"/>
      <c r="D13" s="53" t="s">
        <v>124</v>
      </c>
      <c r="E13" s="53" t="s">
        <v>342</v>
      </c>
      <c r="F13" s="53">
        <v>35</v>
      </c>
      <c r="G13" s="53">
        <v>56</v>
      </c>
      <c r="H13" s="53">
        <v>83</v>
      </c>
      <c r="I13" s="53">
        <v>42</v>
      </c>
      <c r="J13">
        <f t="shared" si="0"/>
        <v>0.2278</v>
      </c>
      <c r="K13" s="54">
        <v>8.1270000000000005E-3</v>
      </c>
    </row>
    <row r="14" spans="1:11" x14ac:dyDescent="0.25">
      <c r="A14" s="53">
        <v>2310320412</v>
      </c>
      <c r="B14" s="53" t="s">
        <v>352</v>
      </c>
      <c r="C14" s="53"/>
      <c r="D14" s="53" t="s">
        <v>124</v>
      </c>
      <c r="E14" s="53" t="s">
        <v>342</v>
      </c>
      <c r="F14" s="53"/>
      <c r="G14" s="53"/>
      <c r="H14" s="53"/>
      <c r="I14" s="53"/>
      <c r="J14" t="str">
        <f t="shared" si="0"/>
        <v/>
      </c>
      <c r="K14" s="54">
        <v>0</v>
      </c>
    </row>
    <row r="15" spans="1:11" x14ac:dyDescent="0.25">
      <c r="A15" s="53">
        <v>2310320413</v>
      </c>
      <c r="B15" s="53" t="s">
        <v>353</v>
      </c>
      <c r="C15" s="53"/>
      <c r="D15" s="53" t="s">
        <v>124</v>
      </c>
      <c r="E15" s="53" t="s">
        <v>342</v>
      </c>
      <c r="F15" s="53"/>
      <c r="G15" s="53"/>
      <c r="H15" s="53"/>
      <c r="I15" s="53"/>
      <c r="J15" t="str">
        <f t="shared" si="0"/>
        <v/>
      </c>
      <c r="K15" s="54">
        <v>0</v>
      </c>
    </row>
    <row r="16" spans="1:11" x14ac:dyDescent="0.25">
      <c r="A16" s="53">
        <v>2310320414</v>
      </c>
      <c r="B16" s="53" t="s">
        <v>354</v>
      </c>
      <c r="C16" s="53"/>
      <c r="D16" s="53" t="s">
        <v>124</v>
      </c>
      <c r="E16" s="53" t="s">
        <v>342</v>
      </c>
      <c r="F16" s="53"/>
      <c r="G16" s="53"/>
      <c r="H16" s="53"/>
      <c r="I16" s="53"/>
      <c r="J16" t="str">
        <f t="shared" si="0"/>
        <v/>
      </c>
      <c r="K16" s="54">
        <v>0</v>
      </c>
    </row>
    <row r="17" spans="1:11" x14ac:dyDescent="0.25">
      <c r="A17" s="53">
        <v>2310320415</v>
      </c>
      <c r="B17" s="53" t="s">
        <v>355</v>
      </c>
      <c r="C17" s="53"/>
      <c r="D17" s="53" t="s">
        <v>124</v>
      </c>
      <c r="E17" s="53" t="s">
        <v>342</v>
      </c>
      <c r="F17" s="53"/>
      <c r="G17" s="53"/>
      <c r="H17" s="53"/>
      <c r="I17" s="53"/>
      <c r="J17" t="str">
        <f t="shared" si="0"/>
        <v/>
      </c>
      <c r="K17" s="54">
        <v>0</v>
      </c>
    </row>
    <row r="18" spans="1:11" x14ac:dyDescent="0.25">
      <c r="A18" s="53">
        <v>2310320416</v>
      </c>
      <c r="B18" s="53" t="s">
        <v>356</v>
      </c>
      <c r="C18" s="53"/>
      <c r="D18" s="53" t="s">
        <v>124</v>
      </c>
      <c r="E18" s="53" t="s">
        <v>342</v>
      </c>
      <c r="F18" s="53"/>
      <c r="G18" s="53"/>
      <c r="H18" s="53"/>
      <c r="I18" s="53"/>
      <c r="J18" t="str">
        <f t="shared" si="0"/>
        <v/>
      </c>
      <c r="K18" s="54">
        <v>0</v>
      </c>
    </row>
    <row r="19" spans="1:11" x14ac:dyDescent="0.25">
      <c r="A19" s="53">
        <v>2310320417</v>
      </c>
      <c r="B19" s="53" t="s">
        <v>357</v>
      </c>
      <c r="C19" s="53"/>
      <c r="D19" s="53" t="s">
        <v>124</v>
      </c>
      <c r="E19" s="53" t="s">
        <v>342</v>
      </c>
      <c r="F19" s="53"/>
      <c r="G19" s="53"/>
      <c r="H19" s="53"/>
      <c r="I19" s="53"/>
      <c r="J19" t="str">
        <f t="shared" si="0"/>
        <v/>
      </c>
      <c r="K19" s="54">
        <v>0</v>
      </c>
    </row>
    <row r="20" spans="1:11" x14ac:dyDescent="0.25">
      <c r="A20" s="53">
        <v>2310320418</v>
      </c>
      <c r="B20" s="53" t="s">
        <v>358</v>
      </c>
      <c r="C20" s="53"/>
      <c r="D20" s="53" t="s">
        <v>124</v>
      </c>
      <c r="E20" s="53" t="s">
        <v>342</v>
      </c>
      <c r="F20" s="53"/>
      <c r="G20" s="53"/>
      <c r="H20" s="53"/>
      <c r="I20" s="53"/>
      <c r="J20" t="str">
        <f t="shared" si="0"/>
        <v/>
      </c>
      <c r="K20" s="54">
        <v>0</v>
      </c>
    </row>
    <row r="21" spans="1:11" x14ac:dyDescent="0.25">
      <c r="A21" s="53">
        <v>2310320419</v>
      </c>
      <c r="B21" s="53" t="s">
        <v>359</v>
      </c>
      <c r="C21" s="53"/>
      <c r="D21" s="53" t="s">
        <v>124</v>
      </c>
      <c r="E21" s="53" t="s">
        <v>342</v>
      </c>
      <c r="F21" s="53"/>
      <c r="G21" s="53"/>
      <c r="H21" s="53"/>
      <c r="I21" s="53"/>
      <c r="J21" t="str">
        <f t="shared" si="0"/>
        <v/>
      </c>
      <c r="K21" s="54">
        <v>0</v>
      </c>
    </row>
    <row r="22" spans="1:11" x14ac:dyDescent="0.25">
      <c r="A22" s="53">
        <v>2310320420</v>
      </c>
      <c r="B22" s="53" t="s">
        <v>360</v>
      </c>
      <c r="C22" s="53"/>
      <c r="D22" s="53" t="s">
        <v>124</v>
      </c>
      <c r="E22" s="53" t="s">
        <v>342</v>
      </c>
      <c r="F22" s="53"/>
      <c r="G22" s="53"/>
      <c r="H22" s="53"/>
      <c r="I22" s="53"/>
      <c r="J22" t="str">
        <f t="shared" si="0"/>
        <v/>
      </c>
      <c r="K22" s="54">
        <v>0</v>
      </c>
    </row>
    <row r="23" spans="1:11" x14ac:dyDescent="0.25">
      <c r="A23" s="53">
        <v>2310320421</v>
      </c>
      <c r="B23" s="53" t="s">
        <v>361</v>
      </c>
      <c r="C23" s="53"/>
      <c r="D23" s="53" t="s">
        <v>124</v>
      </c>
      <c r="E23" s="53" t="s">
        <v>342</v>
      </c>
      <c r="F23" s="53"/>
      <c r="G23" s="53"/>
      <c r="H23" s="53"/>
      <c r="I23" s="53"/>
      <c r="J23" t="str">
        <f t="shared" si="0"/>
        <v/>
      </c>
      <c r="K23" s="54">
        <v>0</v>
      </c>
    </row>
    <row r="24" spans="1:11" x14ac:dyDescent="0.25">
      <c r="A24" s="53">
        <v>2310320422</v>
      </c>
      <c r="B24" s="53" t="s">
        <v>204</v>
      </c>
      <c r="C24" s="53"/>
      <c r="D24" s="53" t="s">
        <v>124</v>
      </c>
      <c r="E24" s="53" t="s">
        <v>342</v>
      </c>
      <c r="F24" s="53">
        <v>1</v>
      </c>
      <c r="G24" s="53">
        <v>60</v>
      </c>
      <c r="H24" s="53">
        <v>84</v>
      </c>
      <c r="I24" s="53">
        <v>64</v>
      </c>
      <c r="J24">
        <f t="shared" si="0"/>
        <v>1.0800000000000001E-2</v>
      </c>
      <c r="K24" s="54">
        <v>0</v>
      </c>
    </row>
    <row r="25" spans="1:11" x14ac:dyDescent="0.25">
      <c r="A25" s="53">
        <v>2310320423</v>
      </c>
      <c r="B25" s="53" t="s">
        <v>203</v>
      </c>
      <c r="C25" s="53"/>
      <c r="D25" s="53" t="s">
        <v>124</v>
      </c>
      <c r="E25" s="53" t="s">
        <v>342</v>
      </c>
      <c r="F25" s="53">
        <v>1</v>
      </c>
      <c r="G25" s="53">
        <v>60</v>
      </c>
      <c r="H25" s="53">
        <v>84</v>
      </c>
      <c r="I25" s="53">
        <v>64</v>
      </c>
      <c r="J25">
        <f t="shared" si="0"/>
        <v>1.0800000000000001E-2</v>
      </c>
      <c r="K25" s="54">
        <v>0</v>
      </c>
    </row>
    <row r="26" spans="1:11" x14ac:dyDescent="0.25">
      <c r="A26" s="53">
        <v>2310320424</v>
      </c>
      <c r="B26" s="53" t="s">
        <v>205</v>
      </c>
      <c r="C26" s="53"/>
      <c r="D26" s="53" t="s">
        <v>124</v>
      </c>
      <c r="E26" s="53" t="s">
        <v>342</v>
      </c>
      <c r="F26" s="53">
        <v>1</v>
      </c>
      <c r="G26" s="53">
        <v>60</v>
      </c>
      <c r="H26" s="53">
        <v>84</v>
      </c>
      <c r="I26" s="53">
        <v>64</v>
      </c>
      <c r="J26">
        <f t="shared" si="0"/>
        <v>1.0800000000000001E-2</v>
      </c>
      <c r="K26" s="54">
        <v>0</v>
      </c>
    </row>
    <row r="27" spans="1:11" x14ac:dyDescent="0.25">
      <c r="A27" s="53">
        <v>2310320441</v>
      </c>
      <c r="B27" s="53" t="s">
        <v>362</v>
      </c>
      <c r="C27" s="53"/>
      <c r="D27" s="53" t="s">
        <v>124</v>
      </c>
      <c r="E27" s="53" t="s">
        <v>342</v>
      </c>
      <c r="F27" s="53"/>
      <c r="G27" s="53"/>
      <c r="H27" s="53"/>
      <c r="I27" s="53"/>
      <c r="J27" t="str">
        <f t="shared" si="0"/>
        <v/>
      </c>
      <c r="K27" s="54">
        <v>0</v>
      </c>
    </row>
    <row r="28" spans="1:11" x14ac:dyDescent="0.25">
      <c r="A28" s="53">
        <v>2310320442</v>
      </c>
      <c r="B28" s="53" t="s">
        <v>363</v>
      </c>
      <c r="C28" s="53"/>
      <c r="D28" s="53" t="s">
        <v>124</v>
      </c>
      <c r="E28" s="53" t="s">
        <v>342</v>
      </c>
      <c r="F28" s="53"/>
      <c r="G28" s="53"/>
      <c r="H28" s="53"/>
      <c r="I28" s="53"/>
      <c r="J28" t="str">
        <f t="shared" si="0"/>
        <v/>
      </c>
      <c r="K28" s="54">
        <v>0</v>
      </c>
    </row>
    <row r="29" spans="1:11" x14ac:dyDescent="0.25">
      <c r="A29" s="53">
        <v>2310320443</v>
      </c>
      <c r="B29" s="53" t="s">
        <v>364</v>
      </c>
      <c r="C29" s="53"/>
      <c r="D29" s="53" t="s">
        <v>124</v>
      </c>
      <c r="E29" s="53" t="s">
        <v>342</v>
      </c>
      <c r="F29" s="53"/>
      <c r="G29" s="53"/>
      <c r="H29" s="53"/>
      <c r="I29" s="53"/>
      <c r="J29" t="str">
        <f t="shared" si="0"/>
        <v/>
      </c>
      <c r="K29" s="54">
        <v>0</v>
      </c>
    </row>
    <row r="30" spans="1:11" x14ac:dyDescent="0.25">
      <c r="A30" s="53">
        <v>2310320444</v>
      </c>
      <c r="B30" s="53" t="s">
        <v>365</v>
      </c>
      <c r="C30" s="53"/>
      <c r="D30" s="53" t="s">
        <v>124</v>
      </c>
      <c r="E30" s="53" t="s">
        <v>342</v>
      </c>
      <c r="F30" s="53"/>
      <c r="G30" s="53"/>
      <c r="H30" s="53"/>
      <c r="I30" s="53"/>
      <c r="J30" t="str">
        <f t="shared" si="0"/>
        <v/>
      </c>
      <c r="K30" s="54">
        <v>0</v>
      </c>
    </row>
    <row r="31" spans="1:11" x14ac:dyDescent="0.25">
      <c r="A31" s="53">
        <v>2310320445</v>
      </c>
      <c r="B31" s="53" t="s">
        <v>366</v>
      </c>
      <c r="C31" s="53"/>
      <c r="D31" s="53" t="s">
        <v>124</v>
      </c>
      <c r="E31" s="53" t="s">
        <v>342</v>
      </c>
      <c r="F31" s="53"/>
      <c r="G31" s="53"/>
      <c r="H31" s="53"/>
      <c r="I31" s="53"/>
      <c r="J31" t="str">
        <f t="shared" si="0"/>
        <v/>
      </c>
      <c r="K31" s="54">
        <v>0</v>
      </c>
    </row>
    <row r="32" spans="1:11" x14ac:dyDescent="0.25">
      <c r="A32" s="53">
        <v>2310320446</v>
      </c>
      <c r="B32" s="53" t="s">
        <v>367</v>
      </c>
      <c r="C32" s="53"/>
      <c r="D32" s="53" t="s">
        <v>124</v>
      </c>
      <c r="E32" s="53" t="s">
        <v>342</v>
      </c>
      <c r="F32" s="53"/>
      <c r="G32" s="53"/>
      <c r="H32" s="53"/>
      <c r="I32" s="53"/>
      <c r="J32" t="str">
        <f t="shared" si="0"/>
        <v/>
      </c>
      <c r="K32" s="54">
        <v>0</v>
      </c>
    </row>
    <row r="33" spans="1:11" x14ac:dyDescent="0.25">
      <c r="A33" s="53">
        <v>2310320447</v>
      </c>
      <c r="B33" s="53" t="s">
        <v>368</v>
      </c>
      <c r="C33" s="53"/>
      <c r="D33" s="53" t="s">
        <v>124</v>
      </c>
      <c r="E33" s="53" t="s">
        <v>342</v>
      </c>
      <c r="F33" s="53"/>
      <c r="G33" s="53"/>
      <c r="H33" s="53"/>
      <c r="I33" s="53"/>
      <c r="J33" t="str">
        <f t="shared" si="0"/>
        <v/>
      </c>
      <c r="K33" s="54">
        <v>0</v>
      </c>
    </row>
    <row r="34" spans="1:11" x14ac:dyDescent="0.25">
      <c r="A34" s="53">
        <v>2310320448</v>
      </c>
      <c r="B34" s="53" t="s">
        <v>369</v>
      </c>
      <c r="C34" s="53"/>
      <c r="D34" s="53" t="s">
        <v>124</v>
      </c>
      <c r="E34" s="53" t="s">
        <v>342</v>
      </c>
      <c r="F34" s="53"/>
      <c r="G34" s="53"/>
      <c r="H34" s="53"/>
      <c r="I34" s="53"/>
      <c r="J34" t="str">
        <f t="shared" si="0"/>
        <v/>
      </c>
      <c r="K34" s="54">
        <v>0</v>
      </c>
    </row>
    <row r="35" spans="1:11" x14ac:dyDescent="0.25">
      <c r="A35" s="53">
        <v>2310320449</v>
      </c>
      <c r="B35" s="53" t="s">
        <v>370</v>
      </c>
      <c r="C35" s="53"/>
      <c r="D35" s="53" t="s">
        <v>124</v>
      </c>
      <c r="E35" s="53" t="s">
        <v>342</v>
      </c>
      <c r="F35" s="53"/>
      <c r="G35" s="53"/>
      <c r="H35" s="53"/>
      <c r="I35" s="53"/>
      <c r="J35" t="str">
        <f t="shared" si="0"/>
        <v/>
      </c>
      <c r="K35" s="54">
        <v>0</v>
      </c>
    </row>
    <row r="36" spans="1:11" x14ac:dyDescent="0.25">
      <c r="A36" s="53">
        <v>2310320450</v>
      </c>
      <c r="B36" s="53" t="s">
        <v>371</v>
      </c>
      <c r="C36" s="53"/>
      <c r="D36" s="53" t="s">
        <v>124</v>
      </c>
      <c r="E36" s="53" t="s">
        <v>342</v>
      </c>
      <c r="F36" s="53"/>
      <c r="G36" s="53"/>
      <c r="H36" s="53"/>
      <c r="I36" s="53"/>
      <c r="J36" t="str">
        <f t="shared" si="0"/>
        <v/>
      </c>
      <c r="K36" s="54">
        <v>0</v>
      </c>
    </row>
    <row r="37" spans="1:11" x14ac:dyDescent="0.25">
      <c r="A37" s="53">
        <v>2310320467</v>
      </c>
      <c r="B37" s="53" t="s">
        <v>372</v>
      </c>
      <c r="C37" s="53"/>
      <c r="D37" s="53" t="s">
        <v>124</v>
      </c>
      <c r="E37" s="53" t="s">
        <v>342</v>
      </c>
      <c r="F37" s="53"/>
      <c r="G37" s="53"/>
      <c r="H37" s="53"/>
      <c r="I37" s="53"/>
      <c r="J37" t="str">
        <f t="shared" si="0"/>
        <v/>
      </c>
      <c r="K37" s="54">
        <v>0</v>
      </c>
    </row>
    <row r="38" spans="1:11" x14ac:dyDescent="0.25">
      <c r="A38" s="53">
        <v>2310320470</v>
      </c>
      <c r="B38" s="53" t="s">
        <v>373</v>
      </c>
      <c r="C38" s="53"/>
      <c r="D38" s="53" t="s">
        <v>124</v>
      </c>
      <c r="E38" s="53" t="s">
        <v>342</v>
      </c>
      <c r="F38" s="53"/>
      <c r="G38" s="53"/>
      <c r="H38" s="53"/>
      <c r="I38" s="53"/>
      <c r="J38" t="str">
        <f t="shared" si="0"/>
        <v/>
      </c>
      <c r="K38" s="54"/>
    </row>
    <row r="39" spans="1:11" x14ac:dyDescent="0.25">
      <c r="A39" s="53">
        <v>2310320471</v>
      </c>
      <c r="B39" s="53" t="s">
        <v>374</v>
      </c>
      <c r="C39" s="53"/>
      <c r="D39" s="53" t="s">
        <v>124</v>
      </c>
      <c r="E39" s="53" t="s">
        <v>342</v>
      </c>
      <c r="F39" s="53"/>
      <c r="G39" s="53"/>
      <c r="H39" s="53"/>
      <c r="I39" s="53"/>
      <c r="J39" t="str">
        <f t="shared" si="0"/>
        <v/>
      </c>
      <c r="K39" s="54">
        <v>0</v>
      </c>
    </row>
    <row r="40" spans="1:11" x14ac:dyDescent="0.25">
      <c r="A40" s="53">
        <v>2310320504</v>
      </c>
      <c r="B40" s="53" t="s">
        <v>375</v>
      </c>
      <c r="C40" s="53"/>
      <c r="D40" s="53" t="s">
        <v>124</v>
      </c>
      <c r="E40" s="53" t="s">
        <v>342</v>
      </c>
      <c r="F40" s="53"/>
      <c r="G40" s="53"/>
      <c r="H40" s="53"/>
      <c r="I40" s="53"/>
      <c r="J40" t="str">
        <f t="shared" si="0"/>
        <v/>
      </c>
      <c r="K40" s="54">
        <v>0</v>
      </c>
    </row>
    <row r="41" spans="1:11" x14ac:dyDescent="0.25">
      <c r="A41" s="53">
        <v>2310320505</v>
      </c>
      <c r="B41" s="53" t="s">
        <v>376</v>
      </c>
      <c r="C41" s="53"/>
      <c r="D41" s="53" t="s">
        <v>124</v>
      </c>
      <c r="E41" s="53" t="s">
        <v>342</v>
      </c>
      <c r="F41" s="53"/>
      <c r="G41" s="53"/>
      <c r="H41" s="53"/>
      <c r="I41" s="53"/>
      <c r="J41" t="str">
        <f t="shared" si="0"/>
        <v/>
      </c>
      <c r="K41" s="54">
        <v>0</v>
      </c>
    </row>
    <row r="42" spans="1:11" x14ac:dyDescent="0.25">
      <c r="A42" s="53">
        <v>2320130715</v>
      </c>
      <c r="B42" s="53" t="s">
        <v>198</v>
      </c>
      <c r="C42" s="53"/>
      <c r="D42" s="53" t="s">
        <v>124</v>
      </c>
      <c r="E42" s="53" t="s">
        <v>342</v>
      </c>
      <c r="F42" s="53"/>
      <c r="G42" s="53"/>
      <c r="H42" s="53"/>
      <c r="I42" s="53"/>
      <c r="J42" t="str">
        <f t="shared" si="0"/>
        <v/>
      </c>
      <c r="K42" s="54">
        <v>0</v>
      </c>
    </row>
    <row r="43" spans="1:11" x14ac:dyDescent="0.25">
      <c r="A43" s="53">
        <v>2320130716</v>
      </c>
      <c r="B43" s="53" t="s">
        <v>197</v>
      </c>
      <c r="C43" s="53"/>
      <c r="D43" s="53" t="s">
        <v>124</v>
      </c>
      <c r="E43" s="53" t="s">
        <v>342</v>
      </c>
      <c r="F43" s="53"/>
      <c r="G43" s="53"/>
      <c r="H43" s="53"/>
      <c r="I43" s="53"/>
      <c r="J43" t="str">
        <f t="shared" si="0"/>
        <v/>
      </c>
      <c r="K43" s="54">
        <v>0</v>
      </c>
    </row>
    <row r="44" spans="1:11" x14ac:dyDescent="0.25">
      <c r="A44" s="53">
        <v>2320130717</v>
      </c>
      <c r="B44" s="53" t="s">
        <v>199</v>
      </c>
      <c r="C44" s="53"/>
      <c r="D44" s="53" t="s">
        <v>124</v>
      </c>
      <c r="E44" s="53" t="s">
        <v>342</v>
      </c>
      <c r="F44" s="53"/>
      <c r="G44" s="53"/>
      <c r="H44" s="53"/>
      <c r="I44" s="53"/>
      <c r="J44" t="str">
        <f t="shared" si="0"/>
        <v/>
      </c>
      <c r="K44" s="54">
        <v>0</v>
      </c>
    </row>
    <row r="45" spans="1:11" x14ac:dyDescent="0.25">
      <c r="A45" s="53">
        <v>2140110611</v>
      </c>
      <c r="B45" s="53" t="s">
        <v>377</v>
      </c>
      <c r="C45" s="53" t="s">
        <v>277</v>
      </c>
      <c r="D45" s="53" t="s">
        <v>277</v>
      </c>
      <c r="E45" s="53" t="s">
        <v>378</v>
      </c>
      <c r="F45" s="53"/>
      <c r="G45" s="53"/>
      <c r="H45" s="53"/>
      <c r="I45" s="53"/>
      <c r="J45" t="str">
        <f t="shared" si="0"/>
        <v/>
      </c>
      <c r="K45" s="54"/>
    </row>
    <row r="46" spans="1:11" x14ac:dyDescent="0.25">
      <c r="A46" s="53">
        <v>2140110612</v>
      </c>
      <c r="B46" s="53" t="s">
        <v>379</v>
      </c>
      <c r="C46" s="53" t="s">
        <v>277</v>
      </c>
      <c r="D46" s="53" t="s">
        <v>277</v>
      </c>
      <c r="E46" s="53" t="s">
        <v>378</v>
      </c>
      <c r="F46" s="53"/>
      <c r="G46" s="53"/>
      <c r="H46" s="53"/>
      <c r="I46" s="53"/>
      <c r="J46" t="str">
        <f t="shared" si="0"/>
        <v/>
      </c>
      <c r="K46" s="54"/>
    </row>
    <row r="47" spans="1:11" x14ac:dyDescent="0.25">
      <c r="A47" s="53">
        <v>2140110623</v>
      </c>
      <c r="B47" s="53" t="s">
        <v>380</v>
      </c>
      <c r="C47" s="53" t="s">
        <v>277</v>
      </c>
      <c r="D47" s="53" t="s">
        <v>277</v>
      </c>
      <c r="E47" s="53" t="s">
        <v>378</v>
      </c>
      <c r="F47" s="53"/>
      <c r="G47" s="53"/>
      <c r="H47" s="53"/>
      <c r="I47" s="53"/>
      <c r="J47" t="str">
        <f t="shared" si="0"/>
        <v/>
      </c>
      <c r="K47" s="54"/>
    </row>
    <row r="48" spans="1:11" x14ac:dyDescent="0.25">
      <c r="A48" s="53">
        <v>2140110624</v>
      </c>
      <c r="B48" s="53" t="s">
        <v>381</v>
      </c>
      <c r="C48" s="53" t="s">
        <v>277</v>
      </c>
      <c r="D48" s="53" t="s">
        <v>277</v>
      </c>
      <c r="E48" s="53" t="s">
        <v>378</v>
      </c>
      <c r="F48" s="53"/>
      <c r="G48" s="53"/>
      <c r="H48" s="53"/>
      <c r="I48" s="53"/>
      <c r="J48" t="str">
        <f t="shared" si="0"/>
        <v/>
      </c>
      <c r="K48" s="54"/>
    </row>
    <row r="49" spans="1:11" x14ac:dyDescent="0.25">
      <c r="A49" s="53">
        <v>2140110625</v>
      </c>
      <c r="B49" s="53" t="s">
        <v>382</v>
      </c>
      <c r="C49" s="53" t="s">
        <v>277</v>
      </c>
      <c r="D49" s="53" t="s">
        <v>277</v>
      </c>
      <c r="E49" s="53" t="s">
        <v>378</v>
      </c>
      <c r="F49" s="53"/>
      <c r="G49" s="53"/>
      <c r="H49" s="53"/>
      <c r="I49" s="53"/>
      <c r="J49" t="str">
        <f t="shared" si="0"/>
        <v/>
      </c>
      <c r="K49" s="54"/>
    </row>
    <row r="50" spans="1:11" x14ac:dyDescent="0.25">
      <c r="A50" s="53">
        <v>2140110626</v>
      </c>
      <c r="B50" s="53" t="s">
        <v>383</v>
      </c>
      <c r="C50" s="53" t="s">
        <v>277</v>
      </c>
      <c r="D50" s="53" t="s">
        <v>277</v>
      </c>
      <c r="E50" s="53" t="s">
        <v>378</v>
      </c>
      <c r="F50" s="53"/>
      <c r="G50" s="53"/>
      <c r="H50" s="53"/>
      <c r="I50" s="53"/>
      <c r="J50" t="str">
        <f t="shared" si="0"/>
        <v/>
      </c>
      <c r="K50" s="54"/>
    </row>
    <row r="51" spans="1:11" x14ac:dyDescent="0.25">
      <c r="A51" s="53">
        <v>2140110627</v>
      </c>
      <c r="B51" s="53" t="s">
        <v>384</v>
      </c>
      <c r="C51" s="53" t="s">
        <v>277</v>
      </c>
      <c r="D51" s="53" t="s">
        <v>277</v>
      </c>
      <c r="E51" s="53" t="s">
        <v>378</v>
      </c>
      <c r="F51" s="53"/>
      <c r="G51" s="53"/>
      <c r="H51" s="53"/>
      <c r="I51" s="53"/>
      <c r="J51" t="str">
        <f t="shared" si="0"/>
        <v/>
      </c>
      <c r="K51" s="54"/>
    </row>
    <row r="52" spans="1:11" x14ac:dyDescent="0.25">
      <c r="A52" s="53">
        <v>2140110628</v>
      </c>
      <c r="B52" s="53" t="s">
        <v>385</v>
      </c>
      <c r="C52" s="53" t="s">
        <v>277</v>
      </c>
      <c r="D52" s="53" t="s">
        <v>277</v>
      </c>
      <c r="E52" s="53" t="s">
        <v>378</v>
      </c>
      <c r="F52" s="53"/>
      <c r="G52" s="53"/>
      <c r="H52" s="53"/>
      <c r="I52" s="53"/>
      <c r="J52" t="str">
        <f t="shared" si="0"/>
        <v/>
      </c>
      <c r="K52" s="54"/>
    </row>
    <row r="53" spans="1:11" x14ac:dyDescent="0.25">
      <c r="A53" s="53">
        <v>2140110629</v>
      </c>
      <c r="B53" s="53" t="s">
        <v>386</v>
      </c>
      <c r="C53" s="53" t="s">
        <v>277</v>
      </c>
      <c r="D53" s="53" t="s">
        <v>277</v>
      </c>
      <c r="E53" s="53" t="s">
        <v>378</v>
      </c>
      <c r="F53" s="53"/>
      <c r="G53" s="53"/>
      <c r="H53" s="53"/>
      <c r="I53" s="53"/>
      <c r="J53" t="str">
        <f t="shared" si="0"/>
        <v/>
      </c>
      <c r="K53" s="54"/>
    </row>
    <row r="54" spans="1:11" x14ac:dyDescent="0.25">
      <c r="A54" s="53">
        <v>2140110561</v>
      </c>
      <c r="B54" s="53" t="s">
        <v>387</v>
      </c>
      <c r="C54" s="53" t="s">
        <v>114</v>
      </c>
      <c r="D54" s="53" t="s">
        <v>114</v>
      </c>
      <c r="E54" s="53" t="s">
        <v>378</v>
      </c>
      <c r="F54" s="53"/>
      <c r="G54" s="53"/>
      <c r="H54" s="53"/>
      <c r="I54" s="53"/>
      <c r="J54" t="str">
        <f t="shared" si="0"/>
        <v/>
      </c>
      <c r="K54" s="54">
        <v>8.1270000000000005E-3</v>
      </c>
    </row>
    <row r="55" spans="1:11" x14ac:dyDescent="0.25">
      <c r="A55" s="53">
        <v>2140110562</v>
      </c>
      <c r="B55" s="53" t="s">
        <v>388</v>
      </c>
      <c r="C55" s="53" t="s">
        <v>114</v>
      </c>
      <c r="D55" s="53" t="s">
        <v>114</v>
      </c>
      <c r="E55" s="53" t="s">
        <v>378</v>
      </c>
      <c r="F55" s="53"/>
      <c r="G55" s="53"/>
      <c r="H55" s="53"/>
      <c r="I55" s="53"/>
      <c r="J55" t="str">
        <f t="shared" si="0"/>
        <v/>
      </c>
      <c r="K55" s="54">
        <v>8.1270000000000005E-3</v>
      </c>
    </row>
    <row r="56" spans="1:11" x14ac:dyDescent="0.25">
      <c r="A56" s="53">
        <v>2140110563</v>
      </c>
      <c r="B56" s="53" t="s">
        <v>389</v>
      </c>
      <c r="C56" s="53" t="s">
        <v>114</v>
      </c>
      <c r="D56" s="53" t="s">
        <v>114</v>
      </c>
      <c r="E56" s="53" t="s">
        <v>378</v>
      </c>
      <c r="F56" s="53"/>
      <c r="G56" s="53"/>
      <c r="H56" s="53"/>
      <c r="I56" s="53"/>
      <c r="J56" t="str">
        <f t="shared" si="0"/>
        <v/>
      </c>
      <c r="K56" s="54">
        <v>8.1270000000000005E-3</v>
      </c>
    </row>
    <row r="57" spans="1:11" x14ac:dyDescent="0.25">
      <c r="A57" s="53">
        <v>2140110567</v>
      </c>
      <c r="B57" s="53" t="s">
        <v>390</v>
      </c>
      <c r="C57" s="53" t="s">
        <v>114</v>
      </c>
      <c r="D57" s="53" t="s">
        <v>114</v>
      </c>
      <c r="E57" s="53" t="s">
        <v>378</v>
      </c>
      <c r="F57" s="53"/>
      <c r="G57" s="53"/>
      <c r="H57" s="53"/>
      <c r="I57" s="53"/>
      <c r="J57" t="str">
        <f t="shared" si="0"/>
        <v/>
      </c>
      <c r="K57" s="54">
        <v>8.1270000000000005E-3</v>
      </c>
    </row>
    <row r="58" spans="1:11" x14ac:dyDescent="0.25">
      <c r="A58" s="53">
        <v>2140110568</v>
      </c>
      <c r="B58" s="53" t="s">
        <v>391</v>
      </c>
      <c r="C58" s="53" t="s">
        <v>114</v>
      </c>
      <c r="D58" s="53" t="s">
        <v>114</v>
      </c>
      <c r="E58" s="53" t="s">
        <v>378</v>
      </c>
      <c r="F58" s="53"/>
      <c r="G58" s="53"/>
      <c r="H58" s="53"/>
      <c r="I58" s="53"/>
      <c r="J58" t="str">
        <f t="shared" si="0"/>
        <v/>
      </c>
      <c r="K58" s="54">
        <v>8.1270000000000005E-3</v>
      </c>
    </row>
    <row r="59" spans="1:11" x14ac:dyDescent="0.25">
      <c r="A59" s="53">
        <v>2140110569</v>
      </c>
      <c r="B59" s="53" t="s">
        <v>392</v>
      </c>
      <c r="C59" s="53" t="s">
        <v>114</v>
      </c>
      <c r="D59" s="53" t="s">
        <v>114</v>
      </c>
      <c r="E59" s="53" t="s">
        <v>378</v>
      </c>
      <c r="F59" s="53"/>
      <c r="G59" s="53"/>
      <c r="H59" s="53"/>
      <c r="I59" s="53"/>
      <c r="J59" t="str">
        <f t="shared" si="0"/>
        <v/>
      </c>
      <c r="K59" s="54">
        <v>8.1270000000000005E-3</v>
      </c>
    </row>
    <row r="60" spans="1:11" x14ac:dyDescent="0.25">
      <c r="A60" s="53">
        <v>2140110573</v>
      </c>
      <c r="B60" s="53" t="s">
        <v>393</v>
      </c>
      <c r="C60" s="53" t="s">
        <v>114</v>
      </c>
      <c r="D60" s="53" t="s">
        <v>114</v>
      </c>
      <c r="E60" s="53" t="s">
        <v>378</v>
      </c>
      <c r="F60" s="53"/>
      <c r="G60" s="53"/>
      <c r="H60" s="53"/>
      <c r="I60" s="53"/>
      <c r="J60" t="str">
        <f t="shared" si="0"/>
        <v/>
      </c>
      <c r="K60" s="54">
        <v>8.1270000000000005E-3</v>
      </c>
    </row>
    <row r="61" spans="1:11" x14ac:dyDescent="0.25">
      <c r="A61" s="53">
        <v>2140110574</v>
      </c>
      <c r="B61" s="53" t="s">
        <v>394</v>
      </c>
      <c r="C61" s="53" t="s">
        <v>114</v>
      </c>
      <c r="D61" s="53" t="s">
        <v>114</v>
      </c>
      <c r="E61" s="53" t="s">
        <v>378</v>
      </c>
      <c r="F61" s="53"/>
      <c r="G61" s="53"/>
      <c r="H61" s="53"/>
      <c r="I61" s="53"/>
      <c r="J61" t="str">
        <f t="shared" si="0"/>
        <v/>
      </c>
      <c r="K61" s="54">
        <v>8.1270000000000005E-3</v>
      </c>
    </row>
    <row r="62" spans="1:11" x14ac:dyDescent="0.25">
      <c r="A62" s="53">
        <v>2140110575</v>
      </c>
      <c r="B62" s="53" t="s">
        <v>395</v>
      </c>
      <c r="C62" s="53" t="s">
        <v>114</v>
      </c>
      <c r="D62" s="53" t="s">
        <v>114</v>
      </c>
      <c r="E62" s="53" t="s">
        <v>378</v>
      </c>
      <c r="F62" s="53"/>
      <c r="G62" s="53"/>
      <c r="H62" s="53"/>
      <c r="I62" s="53"/>
      <c r="J62" t="str">
        <f t="shared" si="0"/>
        <v/>
      </c>
      <c r="K62" s="54">
        <v>8.1270000000000005E-3</v>
      </c>
    </row>
    <row r="63" spans="1:11" x14ac:dyDescent="0.25">
      <c r="A63" s="53">
        <v>2140110576</v>
      </c>
      <c r="B63" s="53" t="s">
        <v>396</v>
      </c>
      <c r="C63" s="53" t="s">
        <v>114</v>
      </c>
      <c r="D63" s="53" t="s">
        <v>114</v>
      </c>
      <c r="E63" s="53" t="s">
        <v>378</v>
      </c>
      <c r="F63" s="53"/>
      <c r="G63" s="53"/>
      <c r="H63" s="53"/>
      <c r="I63" s="53"/>
      <c r="J63" t="str">
        <f t="shared" si="0"/>
        <v/>
      </c>
      <c r="K63" s="54">
        <v>8.1270000000000005E-3</v>
      </c>
    </row>
    <row r="64" spans="1:11" x14ac:dyDescent="0.25">
      <c r="A64" s="53">
        <v>2140110577</v>
      </c>
      <c r="B64" s="53" t="s">
        <v>397</v>
      </c>
      <c r="C64" s="53" t="s">
        <v>114</v>
      </c>
      <c r="D64" s="53" t="s">
        <v>114</v>
      </c>
      <c r="E64" s="53" t="s">
        <v>378</v>
      </c>
      <c r="F64" s="53"/>
      <c r="G64" s="53"/>
      <c r="H64" s="53"/>
      <c r="I64" s="53"/>
      <c r="J64" t="str">
        <f t="shared" si="0"/>
        <v/>
      </c>
      <c r="K64" s="54">
        <v>8.1270000000000005E-3</v>
      </c>
    </row>
    <row r="65" spans="1:11" x14ac:dyDescent="0.25">
      <c r="A65" s="53">
        <v>2140110578</v>
      </c>
      <c r="B65" s="53" t="s">
        <v>398</v>
      </c>
      <c r="C65" s="53" t="s">
        <v>114</v>
      </c>
      <c r="D65" s="53" t="s">
        <v>114</v>
      </c>
      <c r="E65" s="53" t="s">
        <v>378</v>
      </c>
      <c r="F65" s="53"/>
      <c r="G65" s="53"/>
      <c r="H65" s="53"/>
      <c r="I65" s="53"/>
      <c r="J65" t="str">
        <f t="shared" si="0"/>
        <v/>
      </c>
      <c r="K65" s="54">
        <v>8.1270000000000005E-3</v>
      </c>
    </row>
    <row r="66" spans="1:11" x14ac:dyDescent="0.25">
      <c r="A66" s="53">
        <v>2140110591</v>
      </c>
      <c r="B66" s="53" t="s">
        <v>399</v>
      </c>
      <c r="C66" s="53" t="s">
        <v>114</v>
      </c>
      <c r="D66" s="53" t="s">
        <v>114</v>
      </c>
      <c r="E66" s="53" t="s">
        <v>378</v>
      </c>
      <c r="F66" s="53"/>
      <c r="G66" s="53"/>
      <c r="H66" s="53"/>
      <c r="I66" s="53"/>
      <c r="J66" t="str">
        <f t="shared" ref="J66:J129" si="1">IF(COUNT(F66:I66)=4,ROUND(G66/1000*H66/100*I66/100*F66/3,4),"")</f>
        <v/>
      </c>
      <c r="K66" s="54">
        <v>8.1270000000000005E-3</v>
      </c>
    </row>
    <row r="67" spans="1:11" x14ac:dyDescent="0.25">
      <c r="A67" s="53">
        <v>2140110592</v>
      </c>
      <c r="B67" s="53" t="s">
        <v>400</v>
      </c>
      <c r="C67" s="53" t="s">
        <v>114</v>
      </c>
      <c r="D67" s="53" t="s">
        <v>114</v>
      </c>
      <c r="E67" s="53" t="s">
        <v>378</v>
      </c>
      <c r="F67" s="53"/>
      <c r="G67" s="53"/>
      <c r="H67" s="53"/>
      <c r="I67" s="53"/>
      <c r="J67" t="str">
        <f t="shared" si="1"/>
        <v/>
      </c>
      <c r="K67" s="54">
        <v>8.1270000000000005E-3</v>
      </c>
    </row>
    <row r="68" spans="1:11" x14ac:dyDescent="0.25">
      <c r="A68" s="53">
        <v>2140110602</v>
      </c>
      <c r="B68" s="53" t="s">
        <v>401</v>
      </c>
      <c r="C68" s="53" t="s">
        <v>114</v>
      </c>
      <c r="D68" s="53" t="s">
        <v>114</v>
      </c>
      <c r="E68" s="53" t="s">
        <v>378</v>
      </c>
      <c r="F68" s="53"/>
      <c r="G68" s="53"/>
      <c r="H68" s="53"/>
      <c r="I68" s="53"/>
      <c r="J68" t="str">
        <f t="shared" si="1"/>
        <v/>
      </c>
      <c r="K68" s="54">
        <v>8.1270000000000005E-3</v>
      </c>
    </row>
    <row r="69" spans="1:11" x14ac:dyDescent="0.25">
      <c r="A69" s="53">
        <v>2140110603</v>
      </c>
      <c r="B69" s="53" t="s">
        <v>402</v>
      </c>
      <c r="C69" s="53" t="s">
        <v>114</v>
      </c>
      <c r="D69" s="53" t="s">
        <v>114</v>
      </c>
      <c r="E69" s="53" t="s">
        <v>378</v>
      </c>
      <c r="F69" s="53"/>
      <c r="G69" s="53"/>
      <c r="H69" s="53"/>
      <c r="I69" s="53"/>
      <c r="J69" t="str">
        <f t="shared" si="1"/>
        <v/>
      </c>
      <c r="K69" s="54">
        <v>8.1270000000000005E-3</v>
      </c>
    </row>
    <row r="70" spans="1:11" x14ac:dyDescent="0.25">
      <c r="A70" s="53">
        <v>2140110681</v>
      </c>
      <c r="B70" s="53" t="s">
        <v>403</v>
      </c>
      <c r="C70" s="53" t="s">
        <v>114</v>
      </c>
      <c r="D70" s="53" t="s">
        <v>114</v>
      </c>
      <c r="E70" s="53" t="s">
        <v>378</v>
      </c>
      <c r="F70" s="53"/>
      <c r="G70" s="53"/>
      <c r="H70" s="53"/>
      <c r="I70" s="53"/>
      <c r="J70" t="str">
        <f t="shared" si="1"/>
        <v/>
      </c>
      <c r="K70" s="54"/>
    </row>
    <row r="71" spans="1:11" x14ac:dyDescent="0.25">
      <c r="A71" s="53">
        <v>2140110699</v>
      </c>
      <c r="B71" s="53" t="s">
        <v>115</v>
      </c>
      <c r="C71" s="53" t="s">
        <v>114</v>
      </c>
      <c r="D71" s="53" t="s">
        <v>114</v>
      </c>
      <c r="E71" s="53" t="s">
        <v>378</v>
      </c>
      <c r="F71" s="53">
        <v>35</v>
      </c>
      <c r="G71" s="53">
        <v>56</v>
      </c>
      <c r="H71" s="53">
        <v>83</v>
      </c>
      <c r="I71" s="53">
        <v>42</v>
      </c>
      <c r="J71">
        <f t="shared" si="1"/>
        <v>0.2278</v>
      </c>
      <c r="K71" s="54">
        <v>8.1270000000000005E-3</v>
      </c>
    </row>
    <row r="72" spans="1:11" x14ac:dyDescent="0.25">
      <c r="A72" s="53">
        <v>2140110700</v>
      </c>
      <c r="B72" s="53" t="s">
        <v>122</v>
      </c>
      <c r="C72" s="53" t="s">
        <v>114</v>
      </c>
      <c r="D72" s="53" t="s">
        <v>114</v>
      </c>
      <c r="E72" s="53" t="s">
        <v>378</v>
      </c>
      <c r="F72" s="53">
        <v>35</v>
      </c>
      <c r="G72" s="53">
        <v>56</v>
      </c>
      <c r="H72" s="53">
        <v>83</v>
      </c>
      <c r="I72" s="53">
        <v>42</v>
      </c>
      <c r="J72">
        <f t="shared" si="1"/>
        <v>0.2278</v>
      </c>
      <c r="K72" s="54">
        <v>8.1270000000000005E-3</v>
      </c>
    </row>
    <row r="73" spans="1:11" x14ac:dyDescent="0.25">
      <c r="A73" s="53">
        <v>2140110701</v>
      </c>
      <c r="B73" s="53" t="s">
        <v>123</v>
      </c>
      <c r="C73" s="53" t="s">
        <v>114</v>
      </c>
      <c r="D73" s="53" t="s">
        <v>114</v>
      </c>
      <c r="E73" s="53" t="s">
        <v>378</v>
      </c>
      <c r="F73" s="53">
        <v>35</v>
      </c>
      <c r="G73" s="53">
        <v>56</v>
      </c>
      <c r="H73" s="53">
        <v>83</v>
      </c>
      <c r="I73" s="53">
        <v>42</v>
      </c>
      <c r="J73">
        <f t="shared" si="1"/>
        <v>0.2278</v>
      </c>
      <c r="K73" s="54">
        <v>8.1270000000000005E-3</v>
      </c>
    </row>
    <row r="74" spans="1:11" x14ac:dyDescent="0.25">
      <c r="A74" s="53">
        <v>2140110702</v>
      </c>
      <c r="B74" s="53" t="s">
        <v>236</v>
      </c>
      <c r="C74" s="53" t="s">
        <v>114</v>
      </c>
      <c r="D74" s="53" t="s">
        <v>114</v>
      </c>
      <c r="E74" s="53" t="s">
        <v>378</v>
      </c>
      <c r="F74" s="53">
        <v>35</v>
      </c>
      <c r="G74" s="53">
        <v>56</v>
      </c>
      <c r="H74" s="53">
        <v>83</v>
      </c>
      <c r="I74" s="53">
        <v>42</v>
      </c>
      <c r="J74">
        <f t="shared" si="1"/>
        <v>0.2278</v>
      </c>
      <c r="K74" s="54">
        <v>8.1270000000000005E-3</v>
      </c>
    </row>
    <row r="75" spans="1:11" x14ac:dyDescent="0.25">
      <c r="A75" s="53">
        <v>2140110645</v>
      </c>
      <c r="B75" s="53" t="s">
        <v>404</v>
      </c>
      <c r="C75" s="53" t="s">
        <v>114</v>
      </c>
      <c r="D75" s="53" t="s">
        <v>210</v>
      </c>
      <c r="E75" s="53" t="s">
        <v>378</v>
      </c>
      <c r="F75" s="53"/>
      <c r="G75" s="53"/>
      <c r="H75" s="53"/>
      <c r="I75" s="53"/>
      <c r="J75" t="str">
        <f t="shared" si="1"/>
        <v/>
      </c>
      <c r="K75" s="54">
        <v>8.1270000000000005E-3</v>
      </c>
    </row>
    <row r="76" spans="1:11" x14ac:dyDescent="0.25">
      <c r="A76" s="53">
        <v>2140110646</v>
      </c>
      <c r="B76" s="53" t="s">
        <v>405</v>
      </c>
      <c r="C76" s="53" t="s">
        <v>114</v>
      </c>
      <c r="D76" s="53" t="s">
        <v>210</v>
      </c>
      <c r="E76" s="53" t="s">
        <v>378</v>
      </c>
      <c r="F76" s="53"/>
      <c r="G76" s="53"/>
      <c r="H76" s="53"/>
      <c r="I76" s="53"/>
      <c r="J76" t="str">
        <f t="shared" si="1"/>
        <v/>
      </c>
      <c r="K76" s="54">
        <v>8.1270000000000005E-3</v>
      </c>
    </row>
    <row r="77" spans="1:11" x14ac:dyDescent="0.25">
      <c r="A77" s="53">
        <v>2140110647</v>
      </c>
      <c r="B77" s="53" t="s">
        <v>406</v>
      </c>
      <c r="C77" s="53" t="s">
        <v>114</v>
      </c>
      <c r="D77" s="53" t="s">
        <v>210</v>
      </c>
      <c r="E77" s="53" t="s">
        <v>378</v>
      </c>
      <c r="F77" s="53"/>
      <c r="G77" s="53"/>
      <c r="H77" s="53"/>
      <c r="I77" s="53"/>
      <c r="J77" t="str">
        <f t="shared" si="1"/>
        <v/>
      </c>
      <c r="K77" s="54">
        <v>8.1270000000000005E-3</v>
      </c>
    </row>
    <row r="78" spans="1:11" x14ac:dyDescent="0.25">
      <c r="A78" s="53">
        <v>2140110648</v>
      </c>
      <c r="B78" s="53" t="s">
        <v>407</v>
      </c>
      <c r="C78" s="53" t="s">
        <v>114</v>
      </c>
      <c r="D78" s="53" t="s">
        <v>210</v>
      </c>
      <c r="E78" s="53" t="s">
        <v>378</v>
      </c>
      <c r="F78" s="53"/>
      <c r="G78" s="53"/>
      <c r="H78" s="53"/>
      <c r="I78" s="53"/>
      <c r="J78" t="str">
        <f t="shared" si="1"/>
        <v/>
      </c>
      <c r="K78" s="54">
        <v>8.1270000000000005E-3</v>
      </c>
    </row>
    <row r="79" spans="1:11" x14ac:dyDescent="0.25">
      <c r="A79" s="53">
        <v>2140110649</v>
      </c>
      <c r="B79" s="53" t="s">
        <v>408</v>
      </c>
      <c r="C79" s="53" t="s">
        <v>114</v>
      </c>
      <c r="D79" s="53" t="s">
        <v>210</v>
      </c>
      <c r="E79" s="53" t="s">
        <v>378</v>
      </c>
      <c r="F79" s="53"/>
      <c r="G79" s="53"/>
      <c r="H79" s="53"/>
      <c r="I79" s="53"/>
      <c r="J79" t="str">
        <f t="shared" si="1"/>
        <v/>
      </c>
      <c r="K79" s="54">
        <v>8.1270000000000005E-3</v>
      </c>
    </row>
    <row r="80" spans="1:11" x14ac:dyDescent="0.25">
      <c r="A80" s="53">
        <v>2140110650</v>
      </c>
      <c r="B80" s="53" t="s">
        <v>409</v>
      </c>
      <c r="C80" s="53" t="s">
        <v>114</v>
      </c>
      <c r="D80" s="53" t="s">
        <v>210</v>
      </c>
      <c r="E80" s="53" t="s">
        <v>378</v>
      </c>
      <c r="F80" s="53"/>
      <c r="G80" s="53"/>
      <c r="H80" s="53"/>
      <c r="I80" s="53"/>
      <c r="J80" t="str">
        <f t="shared" si="1"/>
        <v/>
      </c>
      <c r="K80" s="54">
        <v>8.1270000000000005E-3</v>
      </c>
    </row>
    <row r="81" spans="1:11" x14ac:dyDescent="0.25">
      <c r="A81" s="53">
        <v>2140110685</v>
      </c>
      <c r="B81" s="53" t="s">
        <v>410</v>
      </c>
      <c r="C81" s="53" t="s">
        <v>114</v>
      </c>
      <c r="D81" s="53" t="s">
        <v>210</v>
      </c>
      <c r="E81" s="53" t="s">
        <v>378</v>
      </c>
      <c r="F81" s="53"/>
      <c r="G81" s="53"/>
      <c r="H81" s="53"/>
      <c r="I81" s="53"/>
      <c r="J81" t="str">
        <f t="shared" si="1"/>
        <v/>
      </c>
      <c r="K81" s="54"/>
    </row>
    <row r="82" spans="1:11" x14ac:dyDescent="0.25">
      <c r="A82" s="53">
        <v>2140110686</v>
      </c>
      <c r="B82" s="53" t="s">
        <v>411</v>
      </c>
      <c r="C82" s="53" t="s">
        <v>114</v>
      </c>
      <c r="D82" s="53" t="s">
        <v>210</v>
      </c>
      <c r="E82" s="53" t="s">
        <v>378</v>
      </c>
      <c r="F82" s="53"/>
      <c r="G82" s="53"/>
      <c r="H82" s="53"/>
      <c r="I82" s="53"/>
      <c r="J82" t="str">
        <f t="shared" si="1"/>
        <v/>
      </c>
      <c r="K82" s="54"/>
    </row>
    <row r="83" spans="1:11" x14ac:dyDescent="0.25">
      <c r="A83" s="53">
        <v>2140110703</v>
      </c>
      <c r="B83" s="53" t="s">
        <v>216</v>
      </c>
      <c r="C83" s="53" t="s">
        <v>114</v>
      </c>
      <c r="D83" s="53" t="s">
        <v>210</v>
      </c>
      <c r="E83" s="53" t="s">
        <v>378</v>
      </c>
      <c r="F83" s="53">
        <v>35</v>
      </c>
      <c r="G83" s="53">
        <v>56</v>
      </c>
      <c r="H83" s="53">
        <v>83</v>
      </c>
      <c r="I83" s="53">
        <v>42</v>
      </c>
      <c r="J83">
        <f t="shared" si="1"/>
        <v>0.2278</v>
      </c>
      <c r="K83" s="54">
        <v>8.1270000000000005E-3</v>
      </c>
    </row>
    <row r="84" spans="1:11" x14ac:dyDescent="0.25">
      <c r="A84" s="53">
        <v>2140110704</v>
      </c>
      <c r="B84" s="53" t="s">
        <v>217</v>
      </c>
      <c r="C84" s="53" t="s">
        <v>114</v>
      </c>
      <c r="D84" s="53" t="s">
        <v>210</v>
      </c>
      <c r="E84" s="53" t="s">
        <v>378</v>
      </c>
      <c r="F84" s="53">
        <v>35</v>
      </c>
      <c r="G84" s="53">
        <v>56</v>
      </c>
      <c r="H84" s="53">
        <v>83</v>
      </c>
      <c r="I84" s="53">
        <v>42</v>
      </c>
      <c r="J84">
        <f t="shared" si="1"/>
        <v>0.2278</v>
      </c>
      <c r="K84" s="54">
        <v>8.1270000000000005E-3</v>
      </c>
    </row>
    <row r="85" spans="1:11" x14ac:dyDescent="0.25">
      <c r="A85" s="53">
        <v>2140110705</v>
      </c>
      <c r="B85" s="53" t="s">
        <v>218</v>
      </c>
      <c r="C85" s="53" t="s">
        <v>114</v>
      </c>
      <c r="D85" s="53" t="s">
        <v>210</v>
      </c>
      <c r="E85" s="53" t="s">
        <v>378</v>
      </c>
      <c r="F85" s="53">
        <v>35</v>
      </c>
      <c r="G85" s="53">
        <v>56</v>
      </c>
      <c r="H85" s="53">
        <v>83</v>
      </c>
      <c r="I85" s="53">
        <v>42</v>
      </c>
      <c r="J85">
        <f t="shared" si="1"/>
        <v>0.2278</v>
      </c>
      <c r="K85" s="54">
        <v>8.1270000000000005E-3</v>
      </c>
    </row>
    <row r="86" spans="1:11" x14ac:dyDescent="0.25">
      <c r="A86" s="53">
        <v>2140110706</v>
      </c>
      <c r="B86" s="53" t="s">
        <v>412</v>
      </c>
      <c r="C86" s="53" t="s">
        <v>114</v>
      </c>
      <c r="D86" s="53" t="s">
        <v>210</v>
      </c>
      <c r="E86" s="53" t="s">
        <v>378</v>
      </c>
      <c r="F86" s="53"/>
      <c r="G86" s="53"/>
      <c r="H86" s="53"/>
      <c r="I86" s="53"/>
      <c r="J86" t="str">
        <f t="shared" si="1"/>
        <v/>
      </c>
      <c r="K86" s="54">
        <v>8.1270000000000005E-3</v>
      </c>
    </row>
    <row r="87" spans="1:11" x14ac:dyDescent="0.25">
      <c r="A87" s="53">
        <v>2140110707</v>
      </c>
      <c r="B87" s="53" t="s">
        <v>211</v>
      </c>
      <c r="C87" s="53" t="s">
        <v>114</v>
      </c>
      <c r="D87" s="53" t="s">
        <v>210</v>
      </c>
      <c r="E87" s="53" t="s">
        <v>378</v>
      </c>
      <c r="F87" s="53">
        <v>35</v>
      </c>
      <c r="G87" s="53">
        <v>56</v>
      </c>
      <c r="H87" s="53">
        <v>83</v>
      </c>
      <c r="I87" s="53">
        <v>42</v>
      </c>
      <c r="J87">
        <f t="shared" si="1"/>
        <v>0.2278</v>
      </c>
      <c r="K87" s="54">
        <v>8.1270000000000005E-3</v>
      </c>
    </row>
    <row r="88" spans="1:11" x14ac:dyDescent="0.25">
      <c r="A88" s="53">
        <v>2140110708</v>
      </c>
      <c r="B88" s="53" t="s">
        <v>212</v>
      </c>
      <c r="C88" s="53" t="s">
        <v>114</v>
      </c>
      <c r="D88" s="53" t="s">
        <v>210</v>
      </c>
      <c r="E88" s="53" t="s">
        <v>378</v>
      </c>
      <c r="F88" s="53">
        <v>35</v>
      </c>
      <c r="G88" s="53">
        <v>56</v>
      </c>
      <c r="H88" s="53">
        <v>83</v>
      </c>
      <c r="I88" s="53">
        <v>42</v>
      </c>
      <c r="J88">
        <f t="shared" si="1"/>
        <v>0.2278</v>
      </c>
      <c r="K88" s="54">
        <v>8.1270000000000005E-3</v>
      </c>
    </row>
    <row r="89" spans="1:11" x14ac:dyDescent="0.25">
      <c r="A89" s="53">
        <v>2140110709</v>
      </c>
      <c r="B89" s="53" t="s">
        <v>213</v>
      </c>
      <c r="C89" s="53" t="s">
        <v>114</v>
      </c>
      <c r="D89" s="53" t="s">
        <v>210</v>
      </c>
      <c r="E89" s="53" t="s">
        <v>378</v>
      </c>
      <c r="F89" s="53">
        <v>35</v>
      </c>
      <c r="G89" s="53">
        <v>56</v>
      </c>
      <c r="H89" s="53">
        <v>83</v>
      </c>
      <c r="I89" s="53">
        <v>42</v>
      </c>
      <c r="J89">
        <f t="shared" si="1"/>
        <v>0.2278</v>
      </c>
      <c r="K89" s="54">
        <v>8.1270000000000005E-3</v>
      </c>
    </row>
    <row r="90" spans="1:11" x14ac:dyDescent="0.25">
      <c r="A90" s="53">
        <v>2140110710</v>
      </c>
      <c r="B90" s="53" t="s">
        <v>413</v>
      </c>
      <c r="C90" s="53" t="s">
        <v>114</v>
      </c>
      <c r="D90" s="53" t="s">
        <v>210</v>
      </c>
      <c r="E90" s="53" t="s">
        <v>378</v>
      </c>
      <c r="F90" s="53"/>
      <c r="G90" s="53"/>
      <c r="H90" s="53"/>
      <c r="I90" s="53"/>
      <c r="J90" t="str">
        <f t="shared" si="1"/>
        <v/>
      </c>
      <c r="K90" s="54">
        <v>8.1270000000000005E-3</v>
      </c>
    </row>
    <row r="91" spans="1:11" x14ac:dyDescent="0.25">
      <c r="A91" s="53">
        <v>2140110535</v>
      </c>
      <c r="B91" s="53" t="s">
        <v>414</v>
      </c>
      <c r="C91" s="53" t="s">
        <v>126</v>
      </c>
      <c r="D91" s="53" t="s">
        <v>149</v>
      </c>
      <c r="E91" s="53" t="s">
        <v>378</v>
      </c>
      <c r="F91" s="53"/>
      <c r="G91" s="53"/>
      <c r="H91" s="53"/>
      <c r="I91" s="53"/>
      <c r="J91" t="str">
        <f t="shared" si="1"/>
        <v/>
      </c>
      <c r="K91" s="54">
        <v>9.502E-3</v>
      </c>
    </row>
    <row r="92" spans="1:11" x14ac:dyDescent="0.25">
      <c r="A92" s="53">
        <v>2140110538</v>
      </c>
      <c r="B92" s="53" t="s">
        <v>415</v>
      </c>
      <c r="C92" s="53" t="s">
        <v>126</v>
      </c>
      <c r="D92" s="53" t="s">
        <v>149</v>
      </c>
      <c r="E92" s="53" t="s">
        <v>378</v>
      </c>
      <c r="F92" s="53"/>
      <c r="G92" s="53"/>
      <c r="H92" s="53"/>
      <c r="I92" s="53"/>
      <c r="J92" t="str">
        <f t="shared" si="1"/>
        <v/>
      </c>
      <c r="K92" s="54">
        <v>9.502E-3</v>
      </c>
    </row>
    <row r="93" spans="1:11" x14ac:dyDescent="0.25">
      <c r="A93" s="53">
        <v>2140110541</v>
      </c>
      <c r="B93" s="53" t="s">
        <v>416</v>
      </c>
      <c r="C93" s="53" t="s">
        <v>126</v>
      </c>
      <c r="D93" s="53" t="s">
        <v>149</v>
      </c>
      <c r="E93" s="53" t="s">
        <v>378</v>
      </c>
      <c r="F93" s="53"/>
      <c r="G93" s="53"/>
      <c r="H93" s="53"/>
      <c r="I93" s="53"/>
      <c r="J93" t="str">
        <f t="shared" si="1"/>
        <v/>
      </c>
      <c r="K93" s="54">
        <v>9.502E-3</v>
      </c>
    </row>
    <row r="94" spans="1:11" x14ac:dyDescent="0.25">
      <c r="A94" s="53">
        <v>2140110543</v>
      </c>
      <c r="B94" s="53" t="s">
        <v>417</v>
      </c>
      <c r="C94" s="53" t="s">
        <v>126</v>
      </c>
      <c r="D94" s="53" t="s">
        <v>149</v>
      </c>
      <c r="E94" s="53" t="s">
        <v>378</v>
      </c>
      <c r="F94" s="53"/>
      <c r="G94" s="53"/>
      <c r="H94" s="53"/>
      <c r="I94" s="53"/>
      <c r="J94" t="str">
        <f t="shared" si="1"/>
        <v/>
      </c>
      <c r="K94" s="54">
        <v>9.502E-3</v>
      </c>
    </row>
    <row r="95" spans="1:11" x14ac:dyDescent="0.25">
      <c r="A95" s="53">
        <v>2140110545</v>
      </c>
      <c r="B95" s="53" t="s">
        <v>418</v>
      </c>
      <c r="C95" s="53" t="s">
        <v>126</v>
      </c>
      <c r="D95" s="53" t="s">
        <v>149</v>
      </c>
      <c r="E95" s="53" t="s">
        <v>378</v>
      </c>
      <c r="F95" s="53"/>
      <c r="G95" s="53"/>
      <c r="H95" s="53"/>
      <c r="I95" s="53"/>
      <c r="J95" t="str">
        <f t="shared" si="1"/>
        <v/>
      </c>
      <c r="K95" s="54">
        <v>9.502E-3</v>
      </c>
    </row>
    <row r="96" spans="1:11" x14ac:dyDescent="0.25">
      <c r="A96" s="53">
        <v>2140110547</v>
      </c>
      <c r="B96" s="53" t="s">
        <v>419</v>
      </c>
      <c r="C96" s="53" t="s">
        <v>126</v>
      </c>
      <c r="D96" s="53" t="s">
        <v>149</v>
      </c>
      <c r="E96" s="53" t="s">
        <v>378</v>
      </c>
      <c r="F96" s="53"/>
      <c r="G96" s="53"/>
      <c r="H96" s="53"/>
      <c r="I96" s="53"/>
      <c r="J96" t="str">
        <f t="shared" si="1"/>
        <v/>
      </c>
      <c r="K96" s="54">
        <v>9.502E-3</v>
      </c>
    </row>
    <row r="97" spans="1:11" x14ac:dyDescent="0.25">
      <c r="A97" s="53">
        <v>2140110550</v>
      </c>
      <c r="B97" s="53" t="s">
        <v>420</v>
      </c>
      <c r="C97" s="53" t="s">
        <v>126</v>
      </c>
      <c r="D97" s="53" t="s">
        <v>149</v>
      </c>
      <c r="E97" s="53" t="s">
        <v>378</v>
      </c>
      <c r="F97" s="53"/>
      <c r="G97" s="53"/>
      <c r="H97" s="53"/>
      <c r="I97" s="53"/>
      <c r="J97" t="str">
        <f t="shared" si="1"/>
        <v/>
      </c>
      <c r="K97" s="54">
        <v>9.502E-3</v>
      </c>
    </row>
    <row r="98" spans="1:11" x14ac:dyDescent="0.25">
      <c r="A98" s="53">
        <v>2140110551</v>
      </c>
      <c r="B98" s="53" t="s">
        <v>421</v>
      </c>
      <c r="C98" s="53" t="s">
        <v>126</v>
      </c>
      <c r="D98" s="53" t="s">
        <v>149</v>
      </c>
      <c r="E98" s="53" t="s">
        <v>378</v>
      </c>
      <c r="F98" s="53"/>
      <c r="G98" s="53"/>
      <c r="H98" s="53"/>
      <c r="I98" s="53"/>
      <c r="J98" t="str">
        <f t="shared" si="1"/>
        <v/>
      </c>
      <c r="K98" s="54">
        <v>9.502E-3</v>
      </c>
    </row>
    <row r="99" spans="1:11" x14ac:dyDescent="0.25">
      <c r="A99" s="53">
        <v>2140110552</v>
      </c>
      <c r="B99" s="53" t="s">
        <v>422</v>
      </c>
      <c r="C99" s="53" t="s">
        <v>126</v>
      </c>
      <c r="D99" s="53" t="s">
        <v>149</v>
      </c>
      <c r="E99" s="53" t="s">
        <v>378</v>
      </c>
      <c r="F99" s="53"/>
      <c r="G99" s="53"/>
      <c r="H99" s="53"/>
      <c r="I99" s="53"/>
      <c r="J99" t="str">
        <f t="shared" si="1"/>
        <v/>
      </c>
      <c r="K99" s="54">
        <v>9.502E-3</v>
      </c>
    </row>
    <row r="100" spans="1:11" x14ac:dyDescent="0.25">
      <c r="A100" s="53">
        <v>2140110553</v>
      </c>
      <c r="B100" s="53" t="s">
        <v>423</v>
      </c>
      <c r="C100" s="53" t="s">
        <v>126</v>
      </c>
      <c r="D100" s="53" t="s">
        <v>149</v>
      </c>
      <c r="E100" s="53" t="s">
        <v>378</v>
      </c>
      <c r="F100" s="53"/>
      <c r="G100" s="53"/>
      <c r="H100" s="53"/>
      <c r="I100" s="53"/>
      <c r="J100" t="str">
        <f t="shared" si="1"/>
        <v/>
      </c>
      <c r="K100" s="54">
        <v>9.502E-3</v>
      </c>
    </row>
    <row r="101" spans="1:11" x14ac:dyDescent="0.25">
      <c r="A101" s="53">
        <v>2140110554</v>
      </c>
      <c r="B101" s="53" t="s">
        <v>424</v>
      </c>
      <c r="C101" s="53" t="s">
        <v>126</v>
      </c>
      <c r="D101" s="53" t="s">
        <v>149</v>
      </c>
      <c r="E101" s="53" t="s">
        <v>378</v>
      </c>
      <c r="F101" s="53"/>
      <c r="G101" s="53"/>
      <c r="H101" s="53"/>
      <c r="I101" s="53"/>
      <c r="J101" t="str">
        <f t="shared" si="1"/>
        <v/>
      </c>
      <c r="K101" s="54">
        <v>9.502E-3</v>
      </c>
    </row>
    <row r="102" spans="1:11" x14ac:dyDescent="0.25">
      <c r="A102" s="53">
        <v>2140110555</v>
      </c>
      <c r="B102" s="53" t="s">
        <v>425</v>
      </c>
      <c r="C102" s="53" t="s">
        <v>126</v>
      </c>
      <c r="D102" s="53" t="s">
        <v>149</v>
      </c>
      <c r="E102" s="53" t="s">
        <v>378</v>
      </c>
      <c r="F102" s="53"/>
      <c r="G102" s="53"/>
      <c r="H102" s="53"/>
      <c r="I102" s="53"/>
      <c r="J102" t="str">
        <f t="shared" si="1"/>
        <v/>
      </c>
      <c r="K102" s="54">
        <v>9.502E-3</v>
      </c>
    </row>
    <row r="103" spans="1:11" x14ac:dyDescent="0.25">
      <c r="A103" s="53">
        <v>2140110556</v>
      </c>
      <c r="B103" s="53" t="s">
        <v>426</v>
      </c>
      <c r="C103" s="53" t="s">
        <v>126</v>
      </c>
      <c r="D103" s="53" t="s">
        <v>149</v>
      </c>
      <c r="E103" s="53" t="s">
        <v>378</v>
      </c>
      <c r="F103" s="53"/>
      <c r="G103" s="53"/>
      <c r="H103" s="53"/>
      <c r="I103" s="53"/>
      <c r="J103" t="str">
        <f t="shared" si="1"/>
        <v/>
      </c>
      <c r="K103" s="54">
        <v>9.502E-3</v>
      </c>
    </row>
    <row r="104" spans="1:11" x14ac:dyDescent="0.25">
      <c r="A104" s="53">
        <v>2140110557</v>
      </c>
      <c r="B104" s="53" t="s">
        <v>427</v>
      </c>
      <c r="C104" s="53" t="s">
        <v>126</v>
      </c>
      <c r="D104" s="53" t="s">
        <v>149</v>
      </c>
      <c r="E104" s="53" t="s">
        <v>378</v>
      </c>
      <c r="F104" s="53"/>
      <c r="G104" s="53"/>
      <c r="H104" s="53"/>
      <c r="I104" s="53"/>
      <c r="J104" t="str">
        <f t="shared" si="1"/>
        <v/>
      </c>
      <c r="K104" s="54">
        <v>8.6490000000000004E-3</v>
      </c>
    </row>
    <row r="105" spans="1:11" x14ac:dyDescent="0.25">
      <c r="A105" s="53">
        <v>2140110558</v>
      </c>
      <c r="B105" s="53" t="s">
        <v>428</v>
      </c>
      <c r="C105" s="53" t="s">
        <v>126</v>
      </c>
      <c r="D105" s="53" t="s">
        <v>149</v>
      </c>
      <c r="E105" s="53" t="s">
        <v>378</v>
      </c>
      <c r="F105" s="53"/>
      <c r="G105" s="53"/>
      <c r="H105" s="53"/>
      <c r="I105" s="53"/>
      <c r="J105" t="str">
        <f t="shared" si="1"/>
        <v/>
      </c>
      <c r="K105" s="54">
        <v>9.502E-3</v>
      </c>
    </row>
    <row r="106" spans="1:11" x14ac:dyDescent="0.25">
      <c r="A106" s="53">
        <v>2140110559</v>
      </c>
      <c r="B106" s="53" t="s">
        <v>429</v>
      </c>
      <c r="C106" s="53" t="s">
        <v>126</v>
      </c>
      <c r="D106" s="53" t="s">
        <v>149</v>
      </c>
      <c r="E106" s="53" t="s">
        <v>378</v>
      </c>
      <c r="F106" s="53"/>
      <c r="G106" s="53"/>
      <c r="H106" s="53"/>
      <c r="I106" s="53"/>
      <c r="J106" t="str">
        <f t="shared" si="1"/>
        <v/>
      </c>
      <c r="K106" s="54">
        <v>9.502E-3</v>
      </c>
    </row>
    <row r="107" spans="1:11" x14ac:dyDescent="0.25">
      <c r="A107" s="53">
        <v>2140110560</v>
      </c>
      <c r="B107" s="53" t="s">
        <v>430</v>
      </c>
      <c r="C107" s="53" t="s">
        <v>126</v>
      </c>
      <c r="D107" s="53" t="s">
        <v>149</v>
      </c>
      <c r="E107" s="53" t="s">
        <v>378</v>
      </c>
      <c r="F107" s="53"/>
      <c r="G107" s="53"/>
      <c r="H107" s="53"/>
      <c r="I107" s="53"/>
      <c r="J107" t="str">
        <f t="shared" si="1"/>
        <v/>
      </c>
      <c r="K107" s="54">
        <v>9.502E-3</v>
      </c>
    </row>
    <row r="108" spans="1:11" x14ac:dyDescent="0.25">
      <c r="A108" s="53">
        <v>2140110613</v>
      </c>
      <c r="B108" s="53" t="s">
        <v>150</v>
      </c>
      <c r="C108" s="53" t="s">
        <v>126</v>
      </c>
      <c r="D108" s="53" t="s">
        <v>149</v>
      </c>
      <c r="E108" s="53" t="s">
        <v>378</v>
      </c>
      <c r="F108" s="53">
        <v>40</v>
      </c>
      <c r="G108" s="53">
        <v>70</v>
      </c>
      <c r="H108" s="53">
        <v>84</v>
      </c>
      <c r="I108" s="53">
        <v>42.5</v>
      </c>
      <c r="J108">
        <f t="shared" si="1"/>
        <v>0.3332</v>
      </c>
      <c r="K108" s="54">
        <v>8.6490000000000004E-3</v>
      </c>
    </row>
    <row r="109" spans="1:11" x14ac:dyDescent="0.25">
      <c r="A109" s="53">
        <v>2140110614</v>
      </c>
      <c r="B109" s="53" t="s">
        <v>156</v>
      </c>
      <c r="C109" s="53" t="s">
        <v>126</v>
      </c>
      <c r="D109" s="53" t="s">
        <v>149</v>
      </c>
      <c r="E109" s="53" t="s">
        <v>378</v>
      </c>
      <c r="F109" s="53">
        <v>40</v>
      </c>
      <c r="G109" s="53">
        <v>70</v>
      </c>
      <c r="H109" s="53">
        <v>84</v>
      </c>
      <c r="I109" s="53">
        <v>42.5</v>
      </c>
      <c r="J109">
        <f t="shared" si="1"/>
        <v>0.3332</v>
      </c>
      <c r="K109" s="54">
        <v>8.6490000000000004E-3</v>
      </c>
    </row>
    <row r="110" spans="1:11" x14ac:dyDescent="0.25">
      <c r="A110" s="53">
        <v>2140110615</v>
      </c>
      <c r="B110" s="53" t="s">
        <v>151</v>
      </c>
      <c r="C110" s="53" t="s">
        <v>126</v>
      </c>
      <c r="D110" s="53" t="s">
        <v>149</v>
      </c>
      <c r="E110" s="53" t="s">
        <v>378</v>
      </c>
      <c r="F110" s="53">
        <v>40</v>
      </c>
      <c r="G110" s="53">
        <v>70</v>
      </c>
      <c r="H110" s="53">
        <v>84</v>
      </c>
      <c r="I110" s="53">
        <v>42.5</v>
      </c>
      <c r="J110">
        <f t="shared" si="1"/>
        <v>0.3332</v>
      </c>
      <c r="K110" s="54">
        <v>8.6490000000000004E-3</v>
      </c>
    </row>
    <row r="111" spans="1:11" x14ac:dyDescent="0.25">
      <c r="A111" s="53">
        <v>2140110616</v>
      </c>
      <c r="B111" s="53" t="s">
        <v>182</v>
      </c>
      <c r="C111" s="53" t="s">
        <v>126</v>
      </c>
      <c r="D111" s="53" t="s">
        <v>149</v>
      </c>
      <c r="E111" s="53" t="s">
        <v>378</v>
      </c>
      <c r="F111" s="53">
        <v>40</v>
      </c>
      <c r="G111" s="53">
        <v>70</v>
      </c>
      <c r="H111" s="53">
        <v>84</v>
      </c>
      <c r="I111" s="53">
        <v>42.5</v>
      </c>
      <c r="J111">
        <f t="shared" si="1"/>
        <v>0.3332</v>
      </c>
      <c r="K111" s="54">
        <v>8.6490000000000004E-3</v>
      </c>
    </row>
    <row r="112" spans="1:11" x14ac:dyDescent="0.25">
      <c r="A112" s="53">
        <v>2140110617</v>
      </c>
      <c r="B112" s="53" t="s">
        <v>169</v>
      </c>
      <c r="C112" s="53" t="s">
        <v>126</v>
      </c>
      <c r="D112" s="53" t="s">
        <v>149</v>
      </c>
      <c r="E112" s="53" t="s">
        <v>378</v>
      </c>
      <c r="F112" s="53">
        <v>40</v>
      </c>
      <c r="G112" s="53">
        <v>70</v>
      </c>
      <c r="H112" s="53">
        <v>84</v>
      </c>
      <c r="I112" s="53">
        <v>42.5</v>
      </c>
      <c r="J112">
        <f t="shared" si="1"/>
        <v>0.3332</v>
      </c>
      <c r="K112" s="54">
        <v>8.6490000000000004E-3</v>
      </c>
    </row>
    <row r="113" spans="1:11" x14ac:dyDescent="0.25">
      <c r="A113" s="53">
        <v>2140110618</v>
      </c>
      <c r="B113" s="53" t="s">
        <v>171</v>
      </c>
      <c r="C113" s="53" t="s">
        <v>126</v>
      </c>
      <c r="D113" s="53" t="s">
        <v>149</v>
      </c>
      <c r="E113" s="53" t="s">
        <v>378</v>
      </c>
      <c r="F113" s="53">
        <v>40</v>
      </c>
      <c r="G113" s="53">
        <v>70</v>
      </c>
      <c r="H113" s="53">
        <v>84</v>
      </c>
      <c r="I113" s="53">
        <v>42.5</v>
      </c>
      <c r="J113">
        <f t="shared" si="1"/>
        <v>0.3332</v>
      </c>
      <c r="K113" s="54">
        <v>8.6490000000000004E-3</v>
      </c>
    </row>
    <row r="114" spans="1:11" x14ac:dyDescent="0.25">
      <c r="A114" s="53">
        <v>2140110619</v>
      </c>
      <c r="B114" s="53" t="s">
        <v>168</v>
      </c>
      <c r="C114" s="53" t="s">
        <v>126</v>
      </c>
      <c r="D114" s="53" t="s">
        <v>149</v>
      </c>
      <c r="E114" s="53" t="s">
        <v>378</v>
      </c>
      <c r="F114" s="53">
        <v>40</v>
      </c>
      <c r="G114" s="53">
        <v>70</v>
      </c>
      <c r="H114" s="53">
        <v>84</v>
      </c>
      <c r="I114" s="53">
        <v>42.5</v>
      </c>
      <c r="J114">
        <f t="shared" si="1"/>
        <v>0.3332</v>
      </c>
      <c r="K114" s="54">
        <v>8.6490000000000004E-3</v>
      </c>
    </row>
    <row r="115" spans="1:11" x14ac:dyDescent="0.25">
      <c r="A115" s="53">
        <v>2140110620</v>
      </c>
      <c r="B115" s="53" t="s">
        <v>152</v>
      </c>
      <c r="C115" s="53" t="s">
        <v>126</v>
      </c>
      <c r="D115" s="53" t="s">
        <v>149</v>
      </c>
      <c r="E115" s="53" t="s">
        <v>378</v>
      </c>
      <c r="F115" s="53">
        <v>40</v>
      </c>
      <c r="G115" s="53">
        <v>70</v>
      </c>
      <c r="H115" s="53">
        <v>84</v>
      </c>
      <c r="I115" s="53">
        <v>42.5</v>
      </c>
      <c r="J115">
        <f t="shared" si="1"/>
        <v>0.3332</v>
      </c>
      <c r="K115" s="54">
        <v>8.6490000000000004E-3</v>
      </c>
    </row>
    <row r="116" spans="1:11" x14ac:dyDescent="0.25">
      <c r="A116" s="53">
        <v>2140110621</v>
      </c>
      <c r="B116" s="53" t="s">
        <v>431</v>
      </c>
      <c r="C116" s="53" t="s">
        <v>126</v>
      </c>
      <c r="D116" s="53" t="s">
        <v>149</v>
      </c>
      <c r="E116" s="53" t="s">
        <v>378</v>
      </c>
      <c r="F116" s="53"/>
      <c r="G116" s="53"/>
      <c r="H116" s="53"/>
      <c r="I116" s="53"/>
      <c r="J116" t="str">
        <f t="shared" si="1"/>
        <v/>
      </c>
      <c r="K116" s="54">
        <v>8.6490000000000004E-3</v>
      </c>
    </row>
    <row r="117" spans="1:11" x14ac:dyDescent="0.25">
      <c r="A117" s="53">
        <v>2140110622</v>
      </c>
      <c r="B117" s="53" t="s">
        <v>153</v>
      </c>
      <c r="C117" s="53" t="s">
        <v>126</v>
      </c>
      <c r="D117" s="53" t="s">
        <v>149</v>
      </c>
      <c r="E117" s="53" t="s">
        <v>378</v>
      </c>
      <c r="F117" s="53">
        <v>40</v>
      </c>
      <c r="G117" s="53">
        <v>70</v>
      </c>
      <c r="H117" s="53">
        <v>84</v>
      </c>
      <c r="I117" s="53">
        <v>42.5</v>
      </c>
      <c r="J117">
        <f t="shared" si="1"/>
        <v>0.3332</v>
      </c>
      <c r="K117" s="54">
        <v>8.6490000000000004E-3</v>
      </c>
    </row>
    <row r="118" spans="1:11" x14ac:dyDescent="0.25">
      <c r="A118" s="53">
        <v>2140110642</v>
      </c>
      <c r="B118" s="53" t="s">
        <v>157</v>
      </c>
      <c r="C118" s="53" t="s">
        <v>126</v>
      </c>
      <c r="D118" s="53" t="s">
        <v>149</v>
      </c>
      <c r="E118" s="53" t="s">
        <v>378</v>
      </c>
      <c r="F118" s="53">
        <v>40</v>
      </c>
      <c r="G118" s="53">
        <v>70</v>
      </c>
      <c r="H118" s="53">
        <v>84</v>
      </c>
      <c r="I118" s="53">
        <v>42.5</v>
      </c>
      <c r="J118">
        <f t="shared" si="1"/>
        <v>0.3332</v>
      </c>
      <c r="K118" s="54">
        <v>8.6490000000000004E-3</v>
      </c>
    </row>
    <row r="119" spans="1:11" x14ac:dyDescent="0.25">
      <c r="A119" s="53">
        <v>2140110643</v>
      </c>
      <c r="B119" s="53" t="s">
        <v>170</v>
      </c>
      <c r="C119" s="53" t="s">
        <v>126</v>
      </c>
      <c r="D119" s="53" t="s">
        <v>149</v>
      </c>
      <c r="E119" s="53" t="s">
        <v>378</v>
      </c>
      <c r="F119" s="53">
        <v>40</v>
      </c>
      <c r="G119" s="53">
        <v>70</v>
      </c>
      <c r="H119" s="53">
        <v>84</v>
      </c>
      <c r="I119" s="53">
        <v>42.5</v>
      </c>
      <c r="J119">
        <f t="shared" si="1"/>
        <v>0.3332</v>
      </c>
      <c r="K119" s="54">
        <v>8.6490000000000004E-3</v>
      </c>
    </row>
    <row r="120" spans="1:11" x14ac:dyDescent="0.25">
      <c r="A120" s="53">
        <v>2140110644</v>
      </c>
      <c r="B120" s="53" t="s">
        <v>154</v>
      </c>
      <c r="C120" s="53" t="s">
        <v>126</v>
      </c>
      <c r="D120" s="53" t="s">
        <v>149</v>
      </c>
      <c r="E120" s="53" t="s">
        <v>378</v>
      </c>
      <c r="F120" s="53">
        <v>40</v>
      </c>
      <c r="G120" s="53">
        <v>70</v>
      </c>
      <c r="H120" s="53">
        <v>84</v>
      </c>
      <c r="I120" s="53">
        <v>42.5</v>
      </c>
      <c r="J120">
        <f t="shared" si="1"/>
        <v>0.3332</v>
      </c>
      <c r="K120" s="54">
        <v>8.6490000000000004E-3</v>
      </c>
    </row>
    <row r="121" spans="1:11" x14ac:dyDescent="0.25">
      <c r="A121" s="53">
        <v>2140110651</v>
      </c>
      <c r="B121" s="53" t="s">
        <v>189</v>
      </c>
      <c r="C121" s="53" t="s">
        <v>126</v>
      </c>
      <c r="D121" s="53" t="s">
        <v>149</v>
      </c>
      <c r="E121" s="53" t="s">
        <v>378</v>
      </c>
      <c r="F121" s="53">
        <v>40</v>
      </c>
      <c r="G121" s="53">
        <v>70</v>
      </c>
      <c r="H121" s="53">
        <v>84</v>
      </c>
      <c r="I121" s="53">
        <v>42.5</v>
      </c>
      <c r="J121">
        <f t="shared" si="1"/>
        <v>0.3332</v>
      </c>
      <c r="K121" s="54">
        <v>8.6490000000000004E-3</v>
      </c>
    </row>
    <row r="122" spans="1:11" x14ac:dyDescent="0.25">
      <c r="A122" s="53">
        <v>2140110652</v>
      </c>
      <c r="B122" s="53" t="s">
        <v>174</v>
      </c>
      <c r="C122" s="53" t="s">
        <v>126</v>
      </c>
      <c r="D122" s="53" t="s">
        <v>149</v>
      </c>
      <c r="E122" s="53" t="s">
        <v>378</v>
      </c>
      <c r="F122" s="53">
        <v>40</v>
      </c>
      <c r="G122" s="53">
        <v>70</v>
      </c>
      <c r="H122" s="53">
        <v>84</v>
      </c>
      <c r="I122" s="53">
        <v>42.5</v>
      </c>
      <c r="J122">
        <f t="shared" si="1"/>
        <v>0.3332</v>
      </c>
      <c r="K122" s="54">
        <v>8.6490000000000004E-3</v>
      </c>
    </row>
    <row r="123" spans="1:11" x14ac:dyDescent="0.25">
      <c r="A123" s="53">
        <v>2140110653</v>
      </c>
      <c r="B123" s="53" t="s">
        <v>158</v>
      </c>
      <c r="C123" s="53" t="s">
        <v>126</v>
      </c>
      <c r="D123" s="53" t="s">
        <v>149</v>
      </c>
      <c r="E123" s="53" t="s">
        <v>378</v>
      </c>
      <c r="F123" s="53">
        <v>40</v>
      </c>
      <c r="G123" s="53">
        <v>70</v>
      </c>
      <c r="H123" s="53">
        <v>84</v>
      </c>
      <c r="I123" s="53">
        <v>42.5</v>
      </c>
      <c r="J123">
        <f t="shared" si="1"/>
        <v>0.3332</v>
      </c>
      <c r="K123" s="54">
        <v>8.6490000000000004E-3</v>
      </c>
    </row>
    <row r="124" spans="1:11" x14ac:dyDescent="0.25">
      <c r="A124" s="53">
        <v>2140110654</v>
      </c>
      <c r="B124" s="53" t="s">
        <v>159</v>
      </c>
      <c r="C124" s="53" t="s">
        <v>126</v>
      </c>
      <c r="D124" s="53" t="s">
        <v>149</v>
      </c>
      <c r="E124" s="53" t="s">
        <v>378</v>
      </c>
      <c r="F124" s="53">
        <v>40</v>
      </c>
      <c r="G124" s="53">
        <v>70</v>
      </c>
      <c r="H124" s="53">
        <v>84</v>
      </c>
      <c r="I124" s="53">
        <v>42.5</v>
      </c>
      <c r="J124">
        <f t="shared" si="1"/>
        <v>0.3332</v>
      </c>
      <c r="K124" s="54">
        <v>8.6490000000000004E-3</v>
      </c>
    </row>
    <row r="125" spans="1:11" x14ac:dyDescent="0.25">
      <c r="A125" s="53">
        <v>2140110655</v>
      </c>
      <c r="B125" s="53" t="s">
        <v>183</v>
      </c>
      <c r="C125" s="53" t="s">
        <v>126</v>
      </c>
      <c r="D125" s="53" t="s">
        <v>149</v>
      </c>
      <c r="E125" s="53" t="s">
        <v>378</v>
      </c>
      <c r="F125" s="53">
        <v>40</v>
      </c>
      <c r="G125" s="53">
        <v>70</v>
      </c>
      <c r="H125" s="53">
        <v>84</v>
      </c>
      <c r="I125" s="53">
        <v>42.5</v>
      </c>
      <c r="J125">
        <f t="shared" si="1"/>
        <v>0.3332</v>
      </c>
      <c r="K125" s="54">
        <v>8.6490000000000004E-3</v>
      </c>
    </row>
    <row r="126" spans="1:11" x14ac:dyDescent="0.25">
      <c r="A126" s="53">
        <v>2140110656</v>
      </c>
      <c r="B126" s="53" t="s">
        <v>166</v>
      </c>
      <c r="C126" s="53" t="s">
        <v>126</v>
      </c>
      <c r="D126" s="53" t="s">
        <v>149</v>
      </c>
      <c r="E126" s="53" t="s">
        <v>378</v>
      </c>
      <c r="F126" s="53">
        <v>40</v>
      </c>
      <c r="G126" s="53">
        <v>70</v>
      </c>
      <c r="H126" s="53">
        <v>84</v>
      </c>
      <c r="I126" s="53">
        <v>42.5</v>
      </c>
      <c r="J126">
        <f t="shared" si="1"/>
        <v>0.3332</v>
      </c>
      <c r="K126" s="54">
        <v>8.6490000000000004E-3</v>
      </c>
    </row>
    <row r="127" spans="1:11" x14ac:dyDescent="0.25">
      <c r="A127" s="53">
        <v>2140110657</v>
      </c>
      <c r="B127" s="53" t="s">
        <v>173</v>
      </c>
      <c r="C127" s="53" t="s">
        <v>126</v>
      </c>
      <c r="D127" s="53" t="s">
        <v>149</v>
      </c>
      <c r="E127" s="53" t="s">
        <v>378</v>
      </c>
      <c r="F127" s="53">
        <v>40</v>
      </c>
      <c r="G127" s="53">
        <v>70</v>
      </c>
      <c r="H127" s="53">
        <v>84</v>
      </c>
      <c r="I127" s="53">
        <v>42.5</v>
      </c>
      <c r="J127">
        <f t="shared" si="1"/>
        <v>0.3332</v>
      </c>
      <c r="K127" s="54">
        <v>8.6490000000000004E-3</v>
      </c>
    </row>
    <row r="128" spans="1:11" x14ac:dyDescent="0.25">
      <c r="A128" s="53">
        <v>2140110658</v>
      </c>
      <c r="B128" s="53" t="s">
        <v>167</v>
      </c>
      <c r="C128" s="53" t="s">
        <v>126</v>
      </c>
      <c r="D128" s="53" t="s">
        <v>149</v>
      </c>
      <c r="E128" s="53" t="s">
        <v>378</v>
      </c>
      <c r="F128" s="53">
        <v>40</v>
      </c>
      <c r="G128" s="53">
        <v>70</v>
      </c>
      <c r="H128" s="53">
        <v>84</v>
      </c>
      <c r="I128" s="53">
        <v>42.5</v>
      </c>
      <c r="J128">
        <f t="shared" si="1"/>
        <v>0.3332</v>
      </c>
      <c r="K128" s="54">
        <v>8.6490000000000004E-3</v>
      </c>
    </row>
    <row r="129" spans="1:11" x14ac:dyDescent="0.25">
      <c r="A129" s="53">
        <v>2140110659</v>
      </c>
      <c r="B129" s="53" t="s">
        <v>163</v>
      </c>
      <c r="C129" s="53" t="s">
        <v>126</v>
      </c>
      <c r="D129" s="53" t="s">
        <v>149</v>
      </c>
      <c r="E129" s="53" t="s">
        <v>378</v>
      </c>
      <c r="F129" s="53">
        <v>40</v>
      </c>
      <c r="G129" s="53">
        <v>70</v>
      </c>
      <c r="H129" s="53">
        <v>84</v>
      </c>
      <c r="I129" s="53">
        <v>42.5</v>
      </c>
      <c r="J129">
        <f t="shared" si="1"/>
        <v>0.3332</v>
      </c>
      <c r="K129" s="54">
        <v>8.6490000000000004E-3</v>
      </c>
    </row>
    <row r="130" spans="1:11" x14ac:dyDescent="0.25">
      <c r="A130" s="53">
        <v>2140110660</v>
      </c>
      <c r="B130" s="53" t="s">
        <v>155</v>
      </c>
      <c r="C130" s="53" t="s">
        <v>126</v>
      </c>
      <c r="D130" s="53" t="s">
        <v>149</v>
      </c>
      <c r="E130" s="53" t="s">
        <v>378</v>
      </c>
      <c r="F130" s="53">
        <v>40</v>
      </c>
      <c r="G130" s="53">
        <v>70</v>
      </c>
      <c r="H130" s="53">
        <v>84</v>
      </c>
      <c r="I130" s="53">
        <v>42.5</v>
      </c>
      <c r="J130">
        <f t="shared" ref="J130:J193" si="2">IF(COUNT(F130:I130)=4,ROUND(G130/1000*H130/100*I130/100*F130/3,4),"")</f>
        <v>0.3332</v>
      </c>
      <c r="K130" s="54">
        <v>8.6490000000000004E-3</v>
      </c>
    </row>
    <row r="131" spans="1:11" x14ac:dyDescent="0.25">
      <c r="A131" s="53">
        <v>2140110661</v>
      </c>
      <c r="B131" s="53" t="s">
        <v>165</v>
      </c>
      <c r="C131" s="53" t="s">
        <v>126</v>
      </c>
      <c r="D131" s="53" t="s">
        <v>149</v>
      </c>
      <c r="E131" s="53" t="s">
        <v>378</v>
      </c>
      <c r="F131" s="53">
        <v>40</v>
      </c>
      <c r="G131" s="53">
        <v>70</v>
      </c>
      <c r="H131" s="53">
        <v>84</v>
      </c>
      <c r="I131" s="53">
        <v>42.5</v>
      </c>
      <c r="J131">
        <f t="shared" si="2"/>
        <v>0.3332</v>
      </c>
      <c r="K131" s="54">
        <v>8.6490000000000004E-3</v>
      </c>
    </row>
    <row r="132" spans="1:11" x14ac:dyDescent="0.25">
      <c r="A132" s="53">
        <v>2140110662</v>
      </c>
      <c r="B132" s="53" t="s">
        <v>160</v>
      </c>
      <c r="C132" s="53" t="s">
        <v>126</v>
      </c>
      <c r="D132" s="53" t="s">
        <v>149</v>
      </c>
      <c r="E132" s="53" t="s">
        <v>378</v>
      </c>
      <c r="F132" s="53">
        <v>40</v>
      </c>
      <c r="G132" s="53">
        <v>70</v>
      </c>
      <c r="H132" s="53">
        <v>84</v>
      </c>
      <c r="I132" s="53">
        <v>42.5</v>
      </c>
      <c r="J132">
        <f t="shared" si="2"/>
        <v>0.3332</v>
      </c>
      <c r="K132" s="54">
        <v>8.6490000000000004E-3</v>
      </c>
    </row>
    <row r="133" spans="1:11" x14ac:dyDescent="0.25">
      <c r="A133" s="53">
        <v>2140110734</v>
      </c>
      <c r="B133" s="53" t="s">
        <v>254</v>
      </c>
      <c r="C133" s="53" t="s">
        <v>126</v>
      </c>
      <c r="D133" s="53" t="s">
        <v>149</v>
      </c>
      <c r="E133" s="53" t="s">
        <v>378</v>
      </c>
      <c r="F133" s="53">
        <v>40</v>
      </c>
      <c r="G133" s="53">
        <v>70</v>
      </c>
      <c r="H133" s="53">
        <v>84</v>
      </c>
      <c r="I133" s="53">
        <v>42.5</v>
      </c>
      <c r="J133">
        <f t="shared" si="2"/>
        <v>0.3332</v>
      </c>
      <c r="K133" s="54"/>
    </row>
    <row r="134" spans="1:11" x14ac:dyDescent="0.25">
      <c r="A134" s="53">
        <v>2140110735</v>
      </c>
      <c r="B134" s="53" t="s">
        <v>255</v>
      </c>
      <c r="C134" s="53" t="s">
        <v>126</v>
      </c>
      <c r="D134" s="53" t="s">
        <v>149</v>
      </c>
      <c r="E134" s="53" t="s">
        <v>378</v>
      </c>
      <c r="F134" s="53">
        <v>40</v>
      </c>
      <c r="G134" s="53">
        <v>70</v>
      </c>
      <c r="H134" s="53">
        <v>84</v>
      </c>
      <c r="I134" s="53">
        <v>42.5</v>
      </c>
      <c r="J134">
        <f t="shared" si="2"/>
        <v>0.3332</v>
      </c>
      <c r="K134" s="54"/>
    </row>
    <row r="135" spans="1:11" x14ac:dyDescent="0.25">
      <c r="A135" s="53">
        <v>2140110736</v>
      </c>
      <c r="B135" s="53" t="s">
        <v>259</v>
      </c>
      <c r="C135" s="53" t="s">
        <v>126</v>
      </c>
      <c r="D135" s="53" t="s">
        <v>149</v>
      </c>
      <c r="E135" s="53" t="s">
        <v>378</v>
      </c>
      <c r="F135" s="53">
        <v>40</v>
      </c>
      <c r="G135" s="53">
        <v>70</v>
      </c>
      <c r="H135" s="53">
        <v>84</v>
      </c>
      <c r="I135" s="53">
        <v>42.5</v>
      </c>
      <c r="J135">
        <f t="shared" si="2"/>
        <v>0.3332</v>
      </c>
      <c r="K135" s="54"/>
    </row>
    <row r="136" spans="1:11" x14ac:dyDescent="0.25">
      <c r="A136" s="53">
        <v>2140110737</v>
      </c>
      <c r="B136" s="53" t="s">
        <v>432</v>
      </c>
      <c r="C136" s="53" t="s">
        <v>126</v>
      </c>
      <c r="D136" s="53" t="s">
        <v>149</v>
      </c>
      <c r="E136" s="53" t="s">
        <v>378</v>
      </c>
      <c r="F136" s="53"/>
      <c r="G136" s="53"/>
      <c r="H136" s="53"/>
      <c r="I136" s="53"/>
      <c r="J136" t="str">
        <f t="shared" si="2"/>
        <v/>
      </c>
      <c r="K136" s="54"/>
    </row>
    <row r="137" spans="1:11" x14ac:dyDescent="0.25">
      <c r="A137" s="53">
        <v>2140110738</v>
      </c>
      <c r="B137" s="53" t="s">
        <v>433</v>
      </c>
      <c r="C137" s="53" t="s">
        <v>126</v>
      </c>
      <c r="D137" s="53" t="s">
        <v>149</v>
      </c>
      <c r="E137" s="53" t="s">
        <v>378</v>
      </c>
      <c r="F137" s="53"/>
      <c r="G137" s="53"/>
      <c r="H137" s="53"/>
      <c r="I137" s="53"/>
      <c r="J137" t="str">
        <f t="shared" si="2"/>
        <v/>
      </c>
      <c r="K137" s="54"/>
    </row>
    <row r="138" spans="1:11" x14ac:dyDescent="0.25">
      <c r="A138" s="53">
        <v>2140110739</v>
      </c>
      <c r="B138" s="53" t="s">
        <v>434</v>
      </c>
      <c r="C138" s="53" t="s">
        <v>126</v>
      </c>
      <c r="D138" s="53" t="s">
        <v>149</v>
      </c>
      <c r="E138" s="53" t="s">
        <v>378</v>
      </c>
      <c r="F138" s="53"/>
      <c r="G138" s="53"/>
      <c r="H138" s="53"/>
      <c r="I138" s="53"/>
      <c r="J138" t="str">
        <f t="shared" si="2"/>
        <v/>
      </c>
      <c r="K138" s="54"/>
    </row>
    <row r="139" spans="1:11" x14ac:dyDescent="0.25">
      <c r="A139" s="53">
        <v>2140110740</v>
      </c>
      <c r="B139" s="53" t="s">
        <v>253</v>
      </c>
      <c r="C139" s="53" t="s">
        <v>126</v>
      </c>
      <c r="D139" s="53" t="s">
        <v>149</v>
      </c>
      <c r="E139" s="53" t="s">
        <v>378</v>
      </c>
      <c r="F139" s="53">
        <v>40</v>
      </c>
      <c r="G139" s="53">
        <v>70</v>
      </c>
      <c r="H139" s="53">
        <v>84</v>
      </c>
      <c r="I139" s="53">
        <v>42.5</v>
      </c>
      <c r="J139">
        <f t="shared" si="2"/>
        <v>0.3332</v>
      </c>
      <c r="K139" s="54"/>
    </row>
    <row r="140" spans="1:11" x14ac:dyDescent="0.25">
      <c r="A140" s="53">
        <v>2140110741</v>
      </c>
      <c r="B140" s="53" t="s">
        <v>257</v>
      </c>
      <c r="C140" s="53" t="s">
        <v>126</v>
      </c>
      <c r="D140" s="53" t="s">
        <v>149</v>
      </c>
      <c r="E140" s="53" t="s">
        <v>378</v>
      </c>
      <c r="F140" s="53">
        <v>40</v>
      </c>
      <c r="G140" s="53">
        <v>70</v>
      </c>
      <c r="H140" s="53">
        <v>84</v>
      </c>
      <c r="I140" s="53">
        <v>42.5</v>
      </c>
      <c r="J140">
        <f t="shared" si="2"/>
        <v>0.3332</v>
      </c>
      <c r="K140" s="54"/>
    </row>
    <row r="141" spans="1:11" x14ac:dyDescent="0.25">
      <c r="A141" s="53">
        <v>2140110742</v>
      </c>
      <c r="B141" s="53" t="s">
        <v>258</v>
      </c>
      <c r="C141" s="53" t="s">
        <v>126</v>
      </c>
      <c r="D141" s="53" t="s">
        <v>149</v>
      </c>
      <c r="E141" s="53" t="s">
        <v>378</v>
      </c>
      <c r="F141" s="53">
        <v>40</v>
      </c>
      <c r="G141" s="53">
        <v>70</v>
      </c>
      <c r="H141" s="53">
        <v>84</v>
      </c>
      <c r="I141" s="53">
        <v>42.5</v>
      </c>
      <c r="J141">
        <f t="shared" si="2"/>
        <v>0.3332</v>
      </c>
      <c r="K141" s="54"/>
    </row>
    <row r="142" spans="1:11" x14ac:dyDescent="0.25">
      <c r="A142" s="53">
        <v>2140110528</v>
      </c>
      <c r="B142" s="53" t="s">
        <v>435</v>
      </c>
      <c r="C142" s="53" t="s">
        <v>126</v>
      </c>
      <c r="D142" s="53" t="s">
        <v>133</v>
      </c>
      <c r="E142" s="53" t="s">
        <v>378</v>
      </c>
      <c r="F142" s="53"/>
      <c r="G142" s="53"/>
      <c r="H142" s="53"/>
      <c r="I142" s="53"/>
      <c r="J142" t="str">
        <f t="shared" si="2"/>
        <v/>
      </c>
      <c r="K142" s="54">
        <v>9.502E-3</v>
      </c>
    </row>
    <row r="143" spans="1:11" x14ac:dyDescent="0.25">
      <c r="A143" s="53">
        <v>2140110529</v>
      </c>
      <c r="B143" s="53" t="s">
        <v>436</v>
      </c>
      <c r="C143" s="53" t="s">
        <v>126</v>
      </c>
      <c r="D143" s="53" t="s">
        <v>133</v>
      </c>
      <c r="E143" s="53" t="s">
        <v>378</v>
      </c>
      <c r="F143" s="53"/>
      <c r="G143" s="53"/>
      <c r="H143" s="53"/>
      <c r="I143" s="53"/>
      <c r="J143" t="str">
        <f t="shared" si="2"/>
        <v/>
      </c>
      <c r="K143" s="54">
        <v>9.502E-3</v>
      </c>
    </row>
    <row r="144" spans="1:11" x14ac:dyDescent="0.25">
      <c r="A144" s="53">
        <v>2140110530</v>
      </c>
      <c r="B144" s="53" t="s">
        <v>437</v>
      </c>
      <c r="C144" s="53" t="s">
        <v>126</v>
      </c>
      <c r="D144" s="53" t="s">
        <v>133</v>
      </c>
      <c r="E144" s="53" t="s">
        <v>378</v>
      </c>
      <c r="F144" s="53"/>
      <c r="G144" s="53"/>
      <c r="H144" s="53"/>
      <c r="I144" s="53"/>
      <c r="J144" t="str">
        <f t="shared" si="2"/>
        <v/>
      </c>
      <c r="K144" s="54">
        <v>9.502E-3</v>
      </c>
    </row>
    <row r="145" spans="1:11" x14ac:dyDescent="0.25">
      <c r="A145" s="53">
        <v>2140110581</v>
      </c>
      <c r="B145" s="53" t="s">
        <v>438</v>
      </c>
      <c r="C145" s="53" t="s">
        <v>126</v>
      </c>
      <c r="D145" s="53" t="s">
        <v>133</v>
      </c>
      <c r="E145" s="53" t="s">
        <v>378</v>
      </c>
      <c r="F145" s="53"/>
      <c r="G145" s="53"/>
      <c r="H145" s="53"/>
      <c r="I145" s="53"/>
      <c r="J145" t="str">
        <f t="shared" si="2"/>
        <v/>
      </c>
      <c r="K145" s="54"/>
    </row>
    <row r="146" spans="1:11" x14ac:dyDescent="0.25">
      <c r="A146" s="53">
        <v>2140110582</v>
      </c>
      <c r="B146" s="53" t="s">
        <v>439</v>
      </c>
      <c r="C146" s="53" t="s">
        <v>126</v>
      </c>
      <c r="D146" s="53" t="s">
        <v>133</v>
      </c>
      <c r="E146" s="53" t="s">
        <v>378</v>
      </c>
      <c r="F146" s="53"/>
      <c r="G146" s="53"/>
      <c r="H146" s="53"/>
      <c r="I146" s="53"/>
      <c r="J146" t="str">
        <f t="shared" si="2"/>
        <v/>
      </c>
      <c r="K146" s="54"/>
    </row>
    <row r="147" spans="1:11" x14ac:dyDescent="0.25">
      <c r="A147" s="53">
        <v>2140110583</v>
      </c>
      <c r="B147" s="53" t="s">
        <v>440</v>
      </c>
      <c r="C147" s="53" t="s">
        <v>126</v>
      </c>
      <c r="D147" s="53" t="s">
        <v>133</v>
      </c>
      <c r="E147" s="53" t="s">
        <v>378</v>
      </c>
      <c r="F147" s="53"/>
      <c r="G147" s="53"/>
      <c r="H147" s="53"/>
      <c r="I147" s="53"/>
      <c r="J147" t="str">
        <f t="shared" si="2"/>
        <v/>
      </c>
      <c r="K147" s="54"/>
    </row>
    <row r="148" spans="1:11" x14ac:dyDescent="0.25">
      <c r="A148" s="53">
        <v>2140110584</v>
      </c>
      <c r="B148" s="53" t="s">
        <v>441</v>
      </c>
      <c r="C148" s="53" t="s">
        <v>126</v>
      </c>
      <c r="D148" s="53" t="s">
        <v>133</v>
      </c>
      <c r="E148" s="53" t="s">
        <v>378</v>
      </c>
      <c r="F148" s="53"/>
      <c r="G148" s="53"/>
      <c r="H148" s="53"/>
      <c r="I148" s="53"/>
      <c r="J148" t="str">
        <f t="shared" si="2"/>
        <v/>
      </c>
      <c r="K148" s="54"/>
    </row>
    <row r="149" spans="1:11" x14ac:dyDescent="0.25">
      <c r="A149" s="53">
        <v>2140110604</v>
      </c>
      <c r="B149" s="53" t="s">
        <v>139</v>
      </c>
      <c r="C149" s="53" t="s">
        <v>126</v>
      </c>
      <c r="D149" s="53" t="s">
        <v>133</v>
      </c>
      <c r="E149" s="53" t="s">
        <v>378</v>
      </c>
      <c r="F149" s="53">
        <v>40</v>
      </c>
      <c r="G149" s="53">
        <v>70</v>
      </c>
      <c r="H149" s="53">
        <v>84</v>
      </c>
      <c r="I149" s="53">
        <v>42.5</v>
      </c>
      <c r="J149">
        <f t="shared" si="2"/>
        <v>0.3332</v>
      </c>
      <c r="K149" s="54">
        <v>8.6490000000000004E-3</v>
      </c>
    </row>
    <row r="150" spans="1:11" x14ac:dyDescent="0.25">
      <c r="A150" s="53">
        <v>2140110605</v>
      </c>
      <c r="B150" s="53" t="s">
        <v>140</v>
      </c>
      <c r="C150" s="53" t="s">
        <v>126</v>
      </c>
      <c r="D150" s="53" t="s">
        <v>133</v>
      </c>
      <c r="E150" s="53" t="s">
        <v>378</v>
      </c>
      <c r="F150" s="53">
        <v>40</v>
      </c>
      <c r="G150" s="53">
        <v>70</v>
      </c>
      <c r="H150" s="53">
        <v>84</v>
      </c>
      <c r="I150" s="53">
        <v>42.5</v>
      </c>
      <c r="J150">
        <f t="shared" si="2"/>
        <v>0.3332</v>
      </c>
      <c r="K150" s="54">
        <v>8.6490000000000004E-3</v>
      </c>
    </row>
    <row r="151" spans="1:11" x14ac:dyDescent="0.25">
      <c r="A151" s="53">
        <v>2140110606</v>
      </c>
      <c r="B151" s="53" t="s">
        <v>141</v>
      </c>
      <c r="C151" s="53" t="s">
        <v>126</v>
      </c>
      <c r="D151" s="53" t="s">
        <v>133</v>
      </c>
      <c r="E151" s="53" t="s">
        <v>378</v>
      </c>
      <c r="F151" s="53">
        <v>40</v>
      </c>
      <c r="G151" s="53">
        <v>70</v>
      </c>
      <c r="H151" s="53">
        <v>84</v>
      </c>
      <c r="I151" s="53">
        <v>42.5</v>
      </c>
      <c r="J151">
        <f t="shared" si="2"/>
        <v>0.3332</v>
      </c>
      <c r="K151" s="54">
        <v>8.6490000000000004E-3</v>
      </c>
    </row>
    <row r="152" spans="1:11" x14ac:dyDescent="0.25">
      <c r="A152" s="53">
        <v>2140110637</v>
      </c>
      <c r="B152" s="53" t="s">
        <v>142</v>
      </c>
      <c r="C152" s="53" t="s">
        <v>126</v>
      </c>
      <c r="D152" s="53" t="s">
        <v>133</v>
      </c>
      <c r="E152" s="53" t="s">
        <v>378</v>
      </c>
      <c r="F152" s="53">
        <v>40</v>
      </c>
      <c r="G152" s="53">
        <v>70</v>
      </c>
      <c r="H152" s="53">
        <v>84</v>
      </c>
      <c r="I152" s="53">
        <v>42.5</v>
      </c>
      <c r="J152">
        <f t="shared" si="2"/>
        <v>0.3332</v>
      </c>
      <c r="K152" s="54">
        <v>8.6490000000000004E-3</v>
      </c>
    </row>
    <row r="153" spans="1:11" x14ac:dyDescent="0.25">
      <c r="A153" s="53">
        <v>2140110677</v>
      </c>
      <c r="B153" s="53" t="s">
        <v>134</v>
      </c>
      <c r="C153" s="53" t="s">
        <v>126</v>
      </c>
      <c r="D153" s="53" t="s">
        <v>133</v>
      </c>
      <c r="E153" s="53" t="s">
        <v>378</v>
      </c>
      <c r="F153" s="53">
        <v>40</v>
      </c>
      <c r="G153" s="53">
        <v>70</v>
      </c>
      <c r="H153" s="53">
        <v>84</v>
      </c>
      <c r="I153" s="53">
        <v>42.5</v>
      </c>
      <c r="J153">
        <f t="shared" si="2"/>
        <v>0.3332</v>
      </c>
      <c r="K153" s="54">
        <v>8.6490000000000004E-3</v>
      </c>
    </row>
    <row r="154" spans="1:11" x14ac:dyDescent="0.25">
      <c r="A154" s="53">
        <v>2140110678</v>
      </c>
      <c r="B154" s="53" t="s">
        <v>135</v>
      </c>
      <c r="C154" s="53" t="s">
        <v>126</v>
      </c>
      <c r="D154" s="53" t="s">
        <v>133</v>
      </c>
      <c r="E154" s="53" t="s">
        <v>378</v>
      </c>
      <c r="F154" s="53">
        <v>40</v>
      </c>
      <c r="G154" s="53">
        <v>70</v>
      </c>
      <c r="H154" s="53">
        <v>84</v>
      </c>
      <c r="I154" s="53">
        <v>42.5</v>
      </c>
      <c r="J154">
        <f t="shared" si="2"/>
        <v>0.3332</v>
      </c>
      <c r="K154" s="54">
        <v>8.6490000000000004E-3</v>
      </c>
    </row>
    <row r="155" spans="1:11" x14ac:dyDescent="0.25">
      <c r="A155" s="53">
        <v>2140110679</v>
      </c>
      <c r="B155" s="53" t="s">
        <v>137</v>
      </c>
      <c r="C155" s="53" t="s">
        <v>126</v>
      </c>
      <c r="D155" s="53" t="s">
        <v>133</v>
      </c>
      <c r="E155" s="53" t="s">
        <v>378</v>
      </c>
      <c r="F155" s="53">
        <v>40</v>
      </c>
      <c r="G155" s="53">
        <v>70</v>
      </c>
      <c r="H155" s="53">
        <v>84</v>
      </c>
      <c r="I155" s="53">
        <v>42.5</v>
      </c>
      <c r="J155">
        <f t="shared" si="2"/>
        <v>0.3332</v>
      </c>
      <c r="K155" s="54">
        <v>8.6490000000000004E-3</v>
      </c>
    </row>
    <row r="156" spans="1:11" x14ac:dyDescent="0.25">
      <c r="A156" s="53">
        <v>2140110680</v>
      </c>
      <c r="B156" s="53" t="s">
        <v>138</v>
      </c>
      <c r="C156" s="53" t="s">
        <v>126</v>
      </c>
      <c r="D156" s="53" t="s">
        <v>133</v>
      </c>
      <c r="E156" s="53" t="s">
        <v>378</v>
      </c>
      <c r="F156" s="53">
        <v>40</v>
      </c>
      <c r="G156" s="53">
        <v>70</v>
      </c>
      <c r="H156" s="53">
        <v>84</v>
      </c>
      <c r="I156" s="53">
        <v>42.5</v>
      </c>
      <c r="J156">
        <f t="shared" si="2"/>
        <v>0.3332</v>
      </c>
      <c r="K156" s="54">
        <v>8.6490000000000004E-3</v>
      </c>
    </row>
    <row r="157" spans="1:11" x14ac:dyDescent="0.25">
      <c r="A157" s="53">
        <v>2140110690</v>
      </c>
      <c r="B157" s="53" t="s">
        <v>215</v>
      </c>
      <c r="C157" s="53" t="s">
        <v>126</v>
      </c>
      <c r="D157" s="53" t="s">
        <v>133</v>
      </c>
      <c r="E157" s="53" t="s">
        <v>378</v>
      </c>
      <c r="F157" s="53">
        <v>40</v>
      </c>
      <c r="G157" s="53">
        <v>70</v>
      </c>
      <c r="H157" s="53">
        <v>84</v>
      </c>
      <c r="I157" s="53">
        <v>42.5</v>
      </c>
      <c r="J157">
        <f t="shared" si="2"/>
        <v>0.3332</v>
      </c>
      <c r="K157" s="54">
        <v>8.6490000000000004E-3</v>
      </c>
    </row>
    <row r="158" spans="1:11" x14ac:dyDescent="0.25">
      <c r="A158" s="53">
        <v>2140110691</v>
      </c>
      <c r="B158" s="53" t="s">
        <v>221</v>
      </c>
      <c r="C158" s="53" t="s">
        <v>126</v>
      </c>
      <c r="D158" s="53" t="s">
        <v>133</v>
      </c>
      <c r="E158" s="53" t="s">
        <v>378</v>
      </c>
      <c r="F158" s="53">
        <v>40</v>
      </c>
      <c r="G158" s="53">
        <v>70</v>
      </c>
      <c r="H158" s="53">
        <v>84</v>
      </c>
      <c r="I158" s="53">
        <v>42.5</v>
      </c>
      <c r="J158">
        <f t="shared" si="2"/>
        <v>0.3332</v>
      </c>
      <c r="K158" s="54">
        <v>8.6490000000000004E-3</v>
      </c>
    </row>
    <row r="159" spans="1:11" x14ac:dyDescent="0.25">
      <c r="A159" s="53">
        <v>2140110692</v>
      </c>
      <c r="B159" s="53" t="s">
        <v>442</v>
      </c>
      <c r="C159" s="53" t="s">
        <v>126</v>
      </c>
      <c r="D159" s="53" t="s">
        <v>133</v>
      </c>
      <c r="E159" s="53" t="s">
        <v>378</v>
      </c>
      <c r="F159" s="53"/>
      <c r="G159" s="53"/>
      <c r="H159" s="53"/>
      <c r="I159" s="53"/>
      <c r="J159" t="str">
        <f t="shared" si="2"/>
        <v/>
      </c>
      <c r="K159" s="54"/>
    </row>
    <row r="160" spans="1:11" x14ac:dyDescent="0.25">
      <c r="A160" s="53">
        <v>2140110693</v>
      </c>
      <c r="B160" s="53" t="s">
        <v>443</v>
      </c>
      <c r="C160" s="53" t="s">
        <v>126</v>
      </c>
      <c r="D160" s="53" t="s">
        <v>133</v>
      </c>
      <c r="E160" s="53" t="s">
        <v>378</v>
      </c>
      <c r="F160" s="53"/>
      <c r="G160" s="53"/>
      <c r="H160" s="53"/>
      <c r="I160" s="53"/>
      <c r="J160" t="str">
        <f t="shared" si="2"/>
        <v/>
      </c>
      <c r="K160" s="54"/>
    </row>
    <row r="161" spans="1:11" x14ac:dyDescent="0.25">
      <c r="A161" s="53">
        <v>2140110694</v>
      </c>
      <c r="B161" s="53" t="s">
        <v>143</v>
      </c>
      <c r="C161" s="53" t="s">
        <v>126</v>
      </c>
      <c r="D161" s="53" t="s">
        <v>133</v>
      </c>
      <c r="E161" s="53" t="s">
        <v>378</v>
      </c>
      <c r="F161" s="53">
        <v>40</v>
      </c>
      <c r="G161" s="53">
        <v>70</v>
      </c>
      <c r="H161" s="53">
        <v>84</v>
      </c>
      <c r="I161" s="53">
        <v>42.5</v>
      </c>
      <c r="J161">
        <f t="shared" si="2"/>
        <v>0.3332</v>
      </c>
      <c r="K161" s="54">
        <v>8.6490000000000004E-3</v>
      </c>
    </row>
    <row r="162" spans="1:11" x14ac:dyDescent="0.25">
      <c r="A162" s="53">
        <v>2140110729</v>
      </c>
      <c r="B162" s="53" t="s">
        <v>444</v>
      </c>
      <c r="C162" s="53" t="s">
        <v>126</v>
      </c>
      <c r="D162" s="53" t="s">
        <v>133</v>
      </c>
      <c r="E162" s="53" t="s">
        <v>378</v>
      </c>
      <c r="F162" s="53"/>
      <c r="G162" s="53"/>
      <c r="H162" s="53"/>
      <c r="I162" s="53"/>
      <c r="J162" t="str">
        <f t="shared" si="2"/>
        <v/>
      </c>
      <c r="K162" s="54"/>
    </row>
    <row r="163" spans="1:11" x14ac:dyDescent="0.25">
      <c r="A163" s="53">
        <v>2140110730</v>
      </c>
      <c r="B163" s="53" t="s">
        <v>222</v>
      </c>
      <c r="C163" s="53" t="s">
        <v>126</v>
      </c>
      <c r="D163" s="53" t="s">
        <v>133</v>
      </c>
      <c r="E163" s="53" t="s">
        <v>378</v>
      </c>
      <c r="F163" s="53">
        <v>40</v>
      </c>
      <c r="G163" s="53">
        <v>70</v>
      </c>
      <c r="H163" s="53">
        <v>84</v>
      </c>
      <c r="I163" s="53">
        <v>42.5</v>
      </c>
      <c r="J163">
        <f t="shared" si="2"/>
        <v>0.3332</v>
      </c>
      <c r="K163" s="54">
        <v>8.6490000000000004E-3</v>
      </c>
    </row>
    <row r="164" spans="1:11" x14ac:dyDescent="0.25">
      <c r="A164" s="53">
        <v>2140110533</v>
      </c>
      <c r="B164" s="53" t="s">
        <v>192</v>
      </c>
      <c r="C164" s="53" t="s">
        <v>126</v>
      </c>
      <c r="D164" s="53" t="s">
        <v>191</v>
      </c>
      <c r="E164" s="53" t="s">
        <v>378</v>
      </c>
      <c r="F164" s="53">
        <v>40</v>
      </c>
      <c r="G164" s="53">
        <v>70</v>
      </c>
      <c r="H164" s="53">
        <v>84</v>
      </c>
      <c r="I164" s="53">
        <v>42.5</v>
      </c>
      <c r="J164">
        <f t="shared" si="2"/>
        <v>0.3332</v>
      </c>
      <c r="K164" s="54">
        <v>8.1270000000000005E-3</v>
      </c>
    </row>
    <row r="165" spans="1:11" x14ac:dyDescent="0.25">
      <c r="A165" s="53">
        <v>2140110747</v>
      </c>
      <c r="B165" s="53" t="s">
        <v>267</v>
      </c>
      <c r="C165" s="53" t="s">
        <v>126</v>
      </c>
      <c r="D165" s="53" t="s">
        <v>191</v>
      </c>
      <c r="E165" s="53" t="s">
        <v>378</v>
      </c>
      <c r="F165" s="53">
        <v>30</v>
      </c>
      <c r="G165" s="53">
        <v>60</v>
      </c>
      <c r="H165" s="53">
        <v>84</v>
      </c>
      <c r="I165" s="53">
        <v>42.5</v>
      </c>
      <c r="J165">
        <f t="shared" si="2"/>
        <v>0.2142</v>
      </c>
      <c r="K165" s="54"/>
    </row>
    <row r="166" spans="1:11" x14ac:dyDescent="0.25">
      <c r="A166" s="53">
        <v>2140110748</v>
      </c>
      <c r="B166" s="53" t="s">
        <v>445</v>
      </c>
      <c r="C166" s="53" t="s">
        <v>126</v>
      </c>
      <c r="D166" s="53" t="s">
        <v>191</v>
      </c>
      <c r="E166" s="53" t="s">
        <v>378</v>
      </c>
      <c r="F166" s="53"/>
      <c r="G166" s="53"/>
      <c r="H166" s="53"/>
      <c r="I166" s="53"/>
      <c r="J166" t="str">
        <f t="shared" si="2"/>
        <v/>
      </c>
      <c r="K166" s="54"/>
    </row>
    <row r="167" spans="1:11" x14ac:dyDescent="0.25">
      <c r="A167" s="53">
        <v>2140110731</v>
      </c>
      <c r="B167" s="53" t="s">
        <v>261</v>
      </c>
      <c r="C167" s="53" t="s">
        <v>126</v>
      </c>
      <c r="D167" s="53" t="s">
        <v>260</v>
      </c>
      <c r="E167" s="53" t="s">
        <v>378</v>
      </c>
      <c r="F167" s="53">
        <v>44</v>
      </c>
      <c r="G167" s="53">
        <v>60</v>
      </c>
      <c r="H167" s="53">
        <v>84</v>
      </c>
      <c r="I167" s="53">
        <v>42.5</v>
      </c>
      <c r="J167">
        <f t="shared" si="2"/>
        <v>0.31419999999999998</v>
      </c>
      <c r="K167" s="54"/>
    </row>
    <row r="168" spans="1:11" x14ac:dyDescent="0.25">
      <c r="A168" s="53">
        <v>2140110732</v>
      </c>
      <c r="B168" s="53" t="s">
        <v>262</v>
      </c>
      <c r="C168" s="53" t="s">
        <v>126</v>
      </c>
      <c r="D168" s="53" t="s">
        <v>260</v>
      </c>
      <c r="E168" s="53" t="s">
        <v>378</v>
      </c>
      <c r="F168" s="53">
        <v>44</v>
      </c>
      <c r="G168" s="53">
        <v>60</v>
      </c>
      <c r="H168" s="53">
        <v>84</v>
      </c>
      <c r="I168" s="53">
        <v>42.5</v>
      </c>
      <c r="J168">
        <f t="shared" si="2"/>
        <v>0.31419999999999998</v>
      </c>
      <c r="K168" s="54"/>
    </row>
    <row r="169" spans="1:11" x14ac:dyDescent="0.25">
      <c r="A169" s="53">
        <v>2140110733</v>
      </c>
      <c r="B169" s="53" t="s">
        <v>264</v>
      </c>
      <c r="C169" s="53" t="s">
        <v>126</v>
      </c>
      <c r="D169" s="53" t="s">
        <v>260</v>
      </c>
      <c r="E169" s="53" t="s">
        <v>378</v>
      </c>
      <c r="F169" s="53">
        <v>44</v>
      </c>
      <c r="G169" s="53">
        <v>60</v>
      </c>
      <c r="H169" s="53">
        <v>84</v>
      </c>
      <c r="I169" s="53">
        <v>42.5</v>
      </c>
      <c r="J169">
        <f t="shared" si="2"/>
        <v>0.31419999999999998</v>
      </c>
      <c r="K169" s="54"/>
    </row>
    <row r="170" spans="1:11" x14ac:dyDescent="0.25">
      <c r="A170" s="53">
        <v>2140110411</v>
      </c>
      <c r="B170" s="53" t="s">
        <v>446</v>
      </c>
      <c r="C170" s="53" t="s">
        <v>126</v>
      </c>
      <c r="D170" s="53" t="s">
        <v>127</v>
      </c>
      <c r="E170" s="53" t="s">
        <v>378</v>
      </c>
      <c r="F170" s="53"/>
      <c r="G170" s="53"/>
      <c r="H170" s="53"/>
      <c r="I170" s="53"/>
      <c r="J170" t="str">
        <f t="shared" si="2"/>
        <v/>
      </c>
      <c r="K170" s="54">
        <v>9.2670999999998078E-3</v>
      </c>
    </row>
    <row r="171" spans="1:11" x14ac:dyDescent="0.25">
      <c r="A171" s="53">
        <v>2140110412</v>
      </c>
      <c r="B171" s="53" t="s">
        <v>447</v>
      </c>
      <c r="C171" s="53" t="s">
        <v>126</v>
      </c>
      <c r="D171" s="53" t="s">
        <v>127</v>
      </c>
      <c r="E171" s="53" t="s">
        <v>378</v>
      </c>
      <c r="F171" s="53"/>
      <c r="G171" s="53"/>
      <c r="H171" s="53"/>
      <c r="I171" s="53"/>
      <c r="J171" t="str">
        <f t="shared" si="2"/>
        <v/>
      </c>
      <c r="K171" s="54">
        <v>9.2670999999998078E-3</v>
      </c>
    </row>
    <row r="172" spans="1:11" x14ac:dyDescent="0.25">
      <c r="A172" s="53">
        <v>2140110413</v>
      </c>
      <c r="B172" s="53" t="s">
        <v>448</v>
      </c>
      <c r="C172" s="53" t="s">
        <v>126</v>
      </c>
      <c r="D172" s="53" t="s">
        <v>127</v>
      </c>
      <c r="E172" s="53" t="s">
        <v>378</v>
      </c>
      <c r="F172" s="53"/>
      <c r="G172" s="53"/>
      <c r="H172" s="53"/>
      <c r="I172" s="53"/>
      <c r="J172" t="str">
        <f t="shared" si="2"/>
        <v/>
      </c>
      <c r="K172" s="54">
        <v>9.2670999999998078E-3</v>
      </c>
    </row>
    <row r="173" spans="1:11" x14ac:dyDescent="0.25">
      <c r="A173" s="53">
        <v>2140110414</v>
      </c>
      <c r="B173" s="53" t="s">
        <v>449</v>
      </c>
      <c r="C173" s="53" t="s">
        <v>126</v>
      </c>
      <c r="D173" s="53" t="s">
        <v>127</v>
      </c>
      <c r="E173" s="53" t="s">
        <v>378</v>
      </c>
      <c r="F173" s="53"/>
      <c r="G173" s="53"/>
      <c r="H173" s="53"/>
      <c r="I173" s="53"/>
      <c r="J173" t="str">
        <f t="shared" si="2"/>
        <v/>
      </c>
      <c r="K173" s="54">
        <v>9.2670999999998078E-3</v>
      </c>
    </row>
    <row r="174" spans="1:11" x14ac:dyDescent="0.25">
      <c r="A174" s="53">
        <v>2140110610</v>
      </c>
      <c r="B174" s="53" t="s">
        <v>128</v>
      </c>
      <c r="C174" s="53" t="s">
        <v>126</v>
      </c>
      <c r="D174" s="53" t="s">
        <v>127</v>
      </c>
      <c r="E174" s="53" t="s">
        <v>378</v>
      </c>
      <c r="F174" s="53">
        <v>40</v>
      </c>
      <c r="G174" s="53">
        <v>75</v>
      </c>
      <c r="H174" s="53">
        <v>84</v>
      </c>
      <c r="I174" s="53">
        <v>42.5</v>
      </c>
      <c r="J174">
        <f t="shared" si="2"/>
        <v>0.35699999999999998</v>
      </c>
      <c r="K174" s="54">
        <v>9.2670999999998078E-3</v>
      </c>
    </row>
    <row r="175" spans="1:11" x14ac:dyDescent="0.25">
      <c r="A175" s="53">
        <v>2140110672</v>
      </c>
      <c r="B175" s="53" t="s">
        <v>450</v>
      </c>
      <c r="C175" s="53" t="s">
        <v>126</v>
      </c>
      <c r="D175" s="53" t="s">
        <v>127</v>
      </c>
      <c r="E175" s="53" t="s">
        <v>378</v>
      </c>
      <c r="F175" s="53"/>
      <c r="G175" s="53"/>
      <c r="H175" s="53"/>
      <c r="I175" s="53"/>
      <c r="J175" t="str">
        <f t="shared" si="2"/>
        <v/>
      </c>
      <c r="K175" s="54"/>
    </row>
    <row r="176" spans="1:11" x14ac:dyDescent="0.25">
      <c r="A176" s="53">
        <v>2140110673</v>
      </c>
      <c r="B176" s="53" t="s">
        <v>129</v>
      </c>
      <c r="C176" s="53" t="s">
        <v>126</v>
      </c>
      <c r="D176" s="53" t="s">
        <v>127</v>
      </c>
      <c r="E176" s="53" t="s">
        <v>378</v>
      </c>
      <c r="F176" s="53">
        <v>40</v>
      </c>
      <c r="G176" s="53">
        <v>75</v>
      </c>
      <c r="H176" s="53">
        <v>84</v>
      </c>
      <c r="I176" s="53">
        <v>42.5</v>
      </c>
      <c r="J176">
        <f t="shared" si="2"/>
        <v>0.35699999999999998</v>
      </c>
      <c r="K176" s="54">
        <v>9.2670999999998078E-3</v>
      </c>
    </row>
    <row r="177" spans="1:11" x14ac:dyDescent="0.25">
      <c r="A177" s="53">
        <v>2140110674</v>
      </c>
      <c r="B177" s="53" t="s">
        <v>130</v>
      </c>
      <c r="C177" s="53" t="s">
        <v>126</v>
      </c>
      <c r="D177" s="53" t="s">
        <v>127</v>
      </c>
      <c r="E177" s="53" t="s">
        <v>378</v>
      </c>
      <c r="F177" s="53">
        <v>40</v>
      </c>
      <c r="G177" s="53">
        <v>75</v>
      </c>
      <c r="H177" s="53">
        <v>84</v>
      </c>
      <c r="I177" s="53">
        <v>42.5</v>
      </c>
      <c r="J177">
        <f t="shared" si="2"/>
        <v>0.35699999999999998</v>
      </c>
      <c r="K177" s="54">
        <v>9.2670999999998078E-3</v>
      </c>
    </row>
    <row r="178" spans="1:11" x14ac:dyDescent="0.25">
      <c r="A178" s="53">
        <v>2140110675</v>
      </c>
      <c r="B178" s="53" t="s">
        <v>131</v>
      </c>
      <c r="C178" s="53" t="s">
        <v>126</v>
      </c>
      <c r="D178" s="53" t="s">
        <v>127</v>
      </c>
      <c r="E178" s="53" t="s">
        <v>378</v>
      </c>
      <c r="F178" s="53">
        <v>40</v>
      </c>
      <c r="G178" s="53">
        <v>75</v>
      </c>
      <c r="H178" s="53">
        <v>84</v>
      </c>
      <c r="I178" s="53">
        <v>42.5</v>
      </c>
      <c r="J178">
        <f t="shared" si="2"/>
        <v>0.35699999999999998</v>
      </c>
      <c r="K178" s="54">
        <v>9.2670999999998078E-3</v>
      </c>
    </row>
    <row r="179" spans="1:11" x14ac:dyDescent="0.25">
      <c r="A179" s="53">
        <v>2140110676</v>
      </c>
      <c r="B179" s="53" t="s">
        <v>132</v>
      </c>
      <c r="C179" s="53" t="s">
        <v>126</v>
      </c>
      <c r="D179" s="53" t="s">
        <v>127</v>
      </c>
      <c r="E179" s="53" t="s">
        <v>378</v>
      </c>
      <c r="F179" s="53">
        <v>40</v>
      </c>
      <c r="G179" s="53">
        <v>75</v>
      </c>
      <c r="H179" s="53">
        <v>84</v>
      </c>
      <c r="I179" s="53">
        <v>42.5</v>
      </c>
      <c r="J179">
        <f t="shared" si="2"/>
        <v>0.35699999999999998</v>
      </c>
      <c r="K179" s="54">
        <v>9.2670999999998078E-3</v>
      </c>
    </row>
    <row r="180" spans="1:11" x14ac:dyDescent="0.25">
      <c r="A180" s="53">
        <v>2140110743</v>
      </c>
      <c r="B180" s="53" t="s">
        <v>251</v>
      </c>
      <c r="C180" s="53" t="s">
        <v>126</v>
      </c>
      <c r="D180" s="53" t="s">
        <v>127</v>
      </c>
      <c r="E180" s="53" t="s">
        <v>378</v>
      </c>
      <c r="F180" s="53">
        <v>40</v>
      </c>
      <c r="G180" s="53">
        <v>75</v>
      </c>
      <c r="H180" s="53">
        <v>84</v>
      </c>
      <c r="I180" s="53">
        <v>42.5</v>
      </c>
      <c r="J180">
        <f t="shared" si="2"/>
        <v>0.35699999999999998</v>
      </c>
      <c r="K180" s="54"/>
    </row>
    <row r="181" spans="1:11" x14ac:dyDescent="0.25">
      <c r="A181" s="53">
        <v>2140110524</v>
      </c>
      <c r="B181" s="53" t="s">
        <v>145</v>
      </c>
      <c r="C181" s="53" t="s">
        <v>126</v>
      </c>
      <c r="D181" s="53" t="s">
        <v>144</v>
      </c>
      <c r="E181" s="53" t="s">
        <v>378</v>
      </c>
      <c r="F181" s="53">
        <v>40</v>
      </c>
      <c r="G181" s="53">
        <v>70</v>
      </c>
      <c r="H181" s="53">
        <v>84</v>
      </c>
      <c r="I181" s="53">
        <v>42.5</v>
      </c>
      <c r="J181">
        <f t="shared" si="2"/>
        <v>0.3332</v>
      </c>
      <c r="K181" s="54">
        <v>8.6490000000000004E-3</v>
      </c>
    </row>
    <row r="182" spans="1:11" x14ac:dyDescent="0.25">
      <c r="A182" s="53">
        <v>2140110525</v>
      </c>
      <c r="B182" s="53" t="s">
        <v>451</v>
      </c>
      <c r="C182" s="53" t="s">
        <v>126</v>
      </c>
      <c r="D182" s="53" t="s">
        <v>144</v>
      </c>
      <c r="E182" s="53" t="s">
        <v>378</v>
      </c>
      <c r="F182" s="53"/>
      <c r="G182" s="53"/>
      <c r="H182" s="53"/>
      <c r="I182" s="53"/>
      <c r="J182" t="str">
        <f t="shared" si="2"/>
        <v/>
      </c>
      <c r="K182" s="54">
        <v>8.6490000000000004E-3</v>
      </c>
    </row>
    <row r="183" spans="1:11" x14ac:dyDescent="0.25">
      <c r="A183" s="53">
        <v>2140110526</v>
      </c>
      <c r="B183" s="53" t="s">
        <v>146</v>
      </c>
      <c r="C183" s="53" t="s">
        <v>126</v>
      </c>
      <c r="D183" s="53" t="s">
        <v>144</v>
      </c>
      <c r="E183" s="53" t="s">
        <v>378</v>
      </c>
      <c r="F183" s="53">
        <v>40</v>
      </c>
      <c r="G183" s="53">
        <v>70</v>
      </c>
      <c r="H183" s="53">
        <v>84</v>
      </c>
      <c r="I183" s="53">
        <v>42.5</v>
      </c>
      <c r="J183">
        <f t="shared" si="2"/>
        <v>0.3332</v>
      </c>
      <c r="K183" s="54">
        <v>8.6490000000000004E-3</v>
      </c>
    </row>
    <row r="184" spans="1:11" x14ac:dyDescent="0.25">
      <c r="A184" s="53">
        <v>2140110585</v>
      </c>
      <c r="B184" s="53" t="s">
        <v>452</v>
      </c>
      <c r="C184" s="53" t="s">
        <v>126</v>
      </c>
      <c r="D184" s="53" t="s">
        <v>299</v>
      </c>
      <c r="E184" s="53" t="s">
        <v>378</v>
      </c>
      <c r="F184" s="53"/>
      <c r="G184" s="53"/>
      <c r="H184" s="53"/>
      <c r="I184" s="53"/>
      <c r="J184" t="str">
        <f t="shared" si="2"/>
        <v/>
      </c>
      <c r="K184" s="54">
        <v>9.502E-3</v>
      </c>
    </row>
    <row r="185" spans="1:11" x14ac:dyDescent="0.25">
      <c r="A185" s="53">
        <v>2140110586</v>
      </c>
      <c r="B185" s="53" t="s">
        <v>453</v>
      </c>
      <c r="C185" s="53" t="s">
        <v>126</v>
      </c>
      <c r="D185" s="53" t="s">
        <v>299</v>
      </c>
      <c r="E185" s="53" t="s">
        <v>378</v>
      </c>
      <c r="F185" s="53"/>
      <c r="G185" s="53"/>
      <c r="H185" s="53"/>
      <c r="I185" s="53"/>
      <c r="J185" t="str">
        <f t="shared" si="2"/>
        <v/>
      </c>
      <c r="K185" s="54">
        <v>9.502E-3</v>
      </c>
    </row>
    <row r="186" spans="1:11" x14ac:dyDescent="0.25">
      <c r="A186" s="53">
        <v>2140110587</v>
      </c>
      <c r="B186" s="53" t="s">
        <v>454</v>
      </c>
      <c r="C186" s="53" t="s">
        <v>147</v>
      </c>
      <c r="D186" s="53" t="s">
        <v>147</v>
      </c>
      <c r="E186" s="53" t="s">
        <v>378</v>
      </c>
      <c r="F186" s="53"/>
      <c r="G186" s="53"/>
      <c r="H186" s="53"/>
      <c r="I186" s="53"/>
      <c r="J186" t="str">
        <f t="shared" si="2"/>
        <v/>
      </c>
      <c r="K186" s="54">
        <v>7.4136799999998237E-3</v>
      </c>
    </row>
    <row r="187" spans="1:11" x14ac:dyDescent="0.25">
      <c r="A187" s="53">
        <v>2140110588</v>
      </c>
      <c r="B187" s="53" t="s">
        <v>455</v>
      </c>
      <c r="C187" s="53" t="s">
        <v>147</v>
      </c>
      <c r="D187" s="53" t="s">
        <v>147</v>
      </c>
      <c r="E187" s="53" t="s">
        <v>378</v>
      </c>
      <c r="F187" s="53"/>
      <c r="G187" s="53"/>
      <c r="H187" s="53"/>
      <c r="I187" s="53"/>
      <c r="J187" t="str">
        <f t="shared" si="2"/>
        <v/>
      </c>
      <c r="K187" s="54">
        <v>7.4136799999998237E-3</v>
      </c>
    </row>
    <row r="188" spans="1:11" x14ac:dyDescent="0.25">
      <c r="A188" s="53">
        <v>2140110589</v>
      </c>
      <c r="B188" s="53" t="s">
        <v>456</v>
      </c>
      <c r="C188" s="53" t="s">
        <v>147</v>
      </c>
      <c r="D188" s="53" t="s">
        <v>147</v>
      </c>
      <c r="E188" s="53" t="s">
        <v>378</v>
      </c>
      <c r="F188" s="53"/>
      <c r="G188" s="53"/>
      <c r="H188" s="53"/>
      <c r="I188" s="53"/>
      <c r="J188" t="str">
        <f t="shared" si="2"/>
        <v/>
      </c>
      <c r="K188" s="54">
        <v>7.4136799999998237E-3</v>
      </c>
    </row>
    <row r="189" spans="1:11" x14ac:dyDescent="0.25">
      <c r="A189" s="53">
        <v>2140110590</v>
      </c>
      <c r="B189" s="53" t="s">
        <v>457</v>
      </c>
      <c r="C189" s="53" t="s">
        <v>147</v>
      </c>
      <c r="D189" s="53" t="s">
        <v>147</v>
      </c>
      <c r="E189" s="53" t="s">
        <v>378</v>
      </c>
      <c r="F189" s="53"/>
      <c r="G189" s="53"/>
      <c r="H189" s="53"/>
      <c r="I189" s="53"/>
      <c r="J189" t="str">
        <f t="shared" si="2"/>
        <v/>
      </c>
      <c r="K189" s="54">
        <v>7.4136799999998237E-3</v>
      </c>
    </row>
    <row r="190" spans="1:11" x14ac:dyDescent="0.25">
      <c r="A190" s="53">
        <v>2140110639</v>
      </c>
      <c r="B190" s="53" t="s">
        <v>148</v>
      </c>
      <c r="C190" s="53" t="s">
        <v>147</v>
      </c>
      <c r="D190" s="53" t="s">
        <v>147</v>
      </c>
      <c r="E190" s="53" t="s">
        <v>378</v>
      </c>
      <c r="F190" s="53"/>
      <c r="G190" s="53"/>
      <c r="H190" s="53"/>
      <c r="I190" s="53"/>
      <c r="J190" t="str">
        <f t="shared" si="2"/>
        <v/>
      </c>
      <c r="K190" s="54">
        <v>7.4136799999998237E-3</v>
      </c>
    </row>
    <row r="191" spans="1:11" x14ac:dyDescent="0.25">
      <c r="A191" s="53">
        <v>2140110640</v>
      </c>
      <c r="B191" s="53" t="s">
        <v>458</v>
      </c>
      <c r="C191" s="53" t="s">
        <v>147</v>
      </c>
      <c r="D191" s="53" t="s">
        <v>147</v>
      </c>
      <c r="E191" s="53" t="s">
        <v>378</v>
      </c>
      <c r="F191" s="53"/>
      <c r="G191" s="53"/>
      <c r="H191" s="53"/>
      <c r="I191" s="53"/>
      <c r="J191" t="str">
        <f t="shared" si="2"/>
        <v/>
      </c>
      <c r="K191" s="54">
        <v>7.4136799999998237E-3</v>
      </c>
    </row>
    <row r="192" spans="1:11" x14ac:dyDescent="0.25">
      <c r="A192" s="53">
        <v>2140110641</v>
      </c>
      <c r="B192" s="53" t="s">
        <v>459</v>
      </c>
      <c r="C192" s="53" t="s">
        <v>147</v>
      </c>
      <c r="D192" s="53" t="s">
        <v>147</v>
      </c>
      <c r="E192" s="53" t="s">
        <v>378</v>
      </c>
      <c r="F192" s="53"/>
      <c r="G192" s="53"/>
      <c r="H192" s="53"/>
      <c r="I192" s="53"/>
      <c r="J192" t="str">
        <f t="shared" si="2"/>
        <v/>
      </c>
      <c r="K192" s="54">
        <v>7.4136799999998237E-3</v>
      </c>
    </row>
    <row r="193" spans="1:11" x14ac:dyDescent="0.25">
      <c r="A193" s="53">
        <v>2140110663</v>
      </c>
      <c r="B193" s="53" t="s">
        <v>148</v>
      </c>
      <c r="C193" s="53" t="s">
        <v>147</v>
      </c>
      <c r="D193" s="53" t="s">
        <v>147</v>
      </c>
      <c r="E193" s="53" t="s">
        <v>378</v>
      </c>
      <c r="F193" s="53">
        <v>40</v>
      </c>
      <c r="G193" s="53">
        <v>60</v>
      </c>
      <c r="H193" s="53">
        <v>84</v>
      </c>
      <c r="I193" s="53">
        <v>42.5</v>
      </c>
      <c r="J193">
        <f t="shared" si="2"/>
        <v>0.28560000000000002</v>
      </c>
      <c r="K193" s="54">
        <v>7.4136799999998237E-3</v>
      </c>
    </row>
    <row r="194" spans="1:11" x14ac:dyDescent="0.25">
      <c r="A194" s="53">
        <v>2140110664</v>
      </c>
      <c r="B194" s="53" t="s">
        <v>184</v>
      </c>
      <c r="C194" s="53" t="s">
        <v>147</v>
      </c>
      <c r="D194" s="53" t="s">
        <v>147</v>
      </c>
      <c r="E194" s="53" t="s">
        <v>378</v>
      </c>
      <c r="F194" s="53">
        <v>40</v>
      </c>
      <c r="G194" s="53">
        <v>60</v>
      </c>
      <c r="H194" s="53">
        <v>84</v>
      </c>
      <c r="I194" s="53">
        <v>42.5</v>
      </c>
      <c r="J194">
        <f t="shared" ref="J194:J257" si="3">IF(COUNT(F194:I194)=4,ROUND(G194/1000*H194/100*I194/100*F194/3,4),"")</f>
        <v>0.28560000000000002</v>
      </c>
      <c r="K194" s="54">
        <v>7.4136799999998237E-3</v>
      </c>
    </row>
    <row r="195" spans="1:11" x14ac:dyDescent="0.25">
      <c r="A195" s="53">
        <v>2140110665</v>
      </c>
      <c r="B195" s="53" t="s">
        <v>185</v>
      </c>
      <c r="C195" s="53" t="s">
        <v>147</v>
      </c>
      <c r="D195" s="53" t="s">
        <v>147</v>
      </c>
      <c r="E195" s="53" t="s">
        <v>378</v>
      </c>
      <c r="F195" s="53">
        <v>40</v>
      </c>
      <c r="G195" s="53">
        <v>60</v>
      </c>
      <c r="H195" s="53">
        <v>84</v>
      </c>
      <c r="I195" s="53">
        <v>42.5</v>
      </c>
      <c r="J195">
        <f t="shared" si="3"/>
        <v>0.28560000000000002</v>
      </c>
      <c r="K195" s="54">
        <v>7.4136799999998237E-3</v>
      </c>
    </row>
    <row r="196" spans="1:11" x14ac:dyDescent="0.25">
      <c r="A196" s="53">
        <v>2140110682</v>
      </c>
      <c r="B196" s="53" t="s">
        <v>460</v>
      </c>
      <c r="C196" s="53" t="s">
        <v>147</v>
      </c>
      <c r="D196" s="53" t="s">
        <v>147</v>
      </c>
      <c r="E196" s="53" t="s">
        <v>378</v>
      </c>
      <c r="F196" s="53"/>
      <c r="G196" s="53"/>
      <c r="H196" s="53"/>
      <c r="I196" s="53"/>
      <c r="J196" t="str">
        <f t="shared" si="3"/>
        <v/>
      </c>
      <c r="K196" s="54">
        <v>7.4136799999998237E-3</v>
      </c>
    </row>
    <row r="197" spans="1:11" x14ac:dyDescent="0.25">
      <c r="A197" s="53">
        <v>2140110714</v>
      </c>
      <c r="B197" s="53" t="s">
        <v>190</v>
      </c>
      <c r="C197" s="53" t="s">
        <v>147</v>
      </c>
      <c r="D197" s="53" t="s">
        <v>147</v>
      </c>
      <c r="E197" s="53" t="s">
        <v>378</v>
      </c>
      <c r="F197" s="53">
        <v>40</v>
      </c>
      <c r="G197" s="53">
        <v>60</v>
      </c>
      <c r="H197" s="53">
        <v>84</v>
      </c>
      <c r="I197" s="53">
        <v>42.5</v>
      </c>
      <c r="J197">
        <f t="shared" si="3"/>
        <v>0.28560000000000002</v>
      </c>
      <c r="K197" s="54">
        <v>7.4136799999998237E-3</v>
      </c>
    </row>
    <row r="198" spans="1:11" x14ac:dyDescent="0.25">
      <c r="A198" s="53">
        <v>2140110715</v>
      </c>
      <c r="B198" s="53" t="s">
        <v>229</v>
      </c>
      <c r="C198" s="53" t="s">
        <v>147</v>
      </c>
      <c r="D198" s="53" t="s">
        <v>147</v>
      </c>
      <c r="E198" s="53" t="s">
        <v>378</v>
      </c>
      <c r="F198" s="53">
        <v>40</v>
      </c>
      <c r="G198" s="53">
        <v>60</v>
      </c>
      <c r="H198" s="53">
        <v>84</v>
      </c>
      <c r="I198" s="53">
        <v>42.5</v>
      </c>
      <c r="J198">
        <f t="shared" si="3"/>
        <v>0.28560000000000002</v>
      </c>
      <c r="K198" s="54">
        <v>7.4136799999998237E-3</v>
      </c>
    </row>
    <row r="199" spans="1:11" x14ac:dyDescent="0.25">
      <c r="A199" s="53">
        <v>2140110716</v>
      </c>
      <c r="B199" s="53" t="s">
        <v>227</v>
      </c>
      <c r="C199" s="53" t="s">
        <v>147</v>
      </c>
      <c r="D199" s="53" t="s">
        <v>147</v>
      </c>
      <c r="E199" s="53" t="s">
        <v>378</v>
      </c>
      <c r="F199" s="53">
        <v>40</v>
      </c>
      <c r="G199" s="53">
        <v>60</v>
      </c>
      <c r="H199" s="53">
        <v>84</v>
      </c>
      <c r="I199" s="53">
        <v>42.5</v>
      </c>
      <c r="J199">
        <f t="shared" si="3"/>
        <v>0.28560000000000002</v>
      </c>
      <c r="K199" s="54">
        <v>7.4136799999998237E-3</v>
      </c>
    </row>
    <row r="200" spans="1:11" x14ac:dyDescent="0.25">
      <c r="A200" s="53">
        <v>2140110723</v>
      </c>
      <c r="B200" s="53" t="s">
        <v>230</v>
      </c>
      <c r="C200" s="53" t="s">
        <v>147</v>
      </c>
      <c r="D200" s="53" t="s">
        <v>147</v>
      </c>
      <c r="E200" s="53" t="s">
        <v>378</v>
      </c>
      <c r="F200" s="53">
        <v>40</v>
      </c>
      <c r="G200" s="53">
        <v>60</v>
      </c>
      <c r="H200" s="53">
        <v>84</v>
      </c>
      <c r="I200" s="53">
        <v>42.5</v>
      </c>
      <c r="J200">
        <f t="shared" si="3"/>
        <v>0.28560000000000002</v>
      </c>
      <c r="K200" s="54"/>
    </row>
    <row r="201" spans="1:11" x14ac:dyDescent="0.25">
      <c r="A201" s="53">
        <v>2140110687</v>
      </c>
      <c r="B201" s="53" t="s">
        <v>196</v>
      </c>
      <c r="C201" s="53" t="s">
        <v>147</v>
      </c>
      <c r="D201" s="53" t="s">
        <v>193</v>
      </c>
      <c r="E201" s="53" t="s">
        <v>378</v>
      </c>
      <c r="F201" s="53">
        <v>50</v>
      </c>
      <c r="G201" s="53">
        <v>60</v>
      </c>
      <c r="H201" s="53">
        <v>84</v>
      </c>
      <c r="I201" s="53">
        <v>42.5</v>
      </c>
      <c r="J201">
        <f t="shared" si="3"/>
        <v>0.35699999999999998</v>
      </c>
      <c r="K201" s="54">
        <v>9.2670999999998078E-3</v>
      </c>
    </row>
    <row r="202" spans="1:11" x14ac:dyDescent="0.25">
      <c r="A202" s="53">
        <v>2140110688</v>
      </c>
      <c r="B202" s="53" t="s">
        <v>195</v>
      </c>
      <c r="C202" s="53" t="s">
        <v>147</v>
      </c>
      <c r="D202" s="53" t="s">
        <v>193</v>
      </c>
      <c r="E202" s="53" t="s">
        <v>378</v>
      </c>
      <c r="F202" s="53">
        <v>50</v>
      </c>
      <c r="G202" s="53">
        <v>60</v>
      </c>
      <c r="H202" s="53">
        <v>84</v>
      </c>
      <c r="I202" s="53">
        <v>42.5</v>
      </c>
      <c r="J202">
        <f t="shared" si="3"/>
        <v>0.35699999999999998</v>
      </c>
      <c r="K202" s="54">
        <v>9.2670999999998078E-3</v>
      </c>
    </row>
    <row r="203" spans="1:11" x14ac:dyDescent="0.25">
      <c r="A203" s="53">
        <v>2140110689</v>
      </c>
      <c r="B203" s="53" t="s">
        <v>194</v>
      </c>
      <c r="C203" s="53" t="s">
        <v>147</v>
      </c>
      <c r="D203" s="53" t="s">
        <v>193</v>
      </c>
      <c r="E203" s="53" t="s">
        <v>378</v>
      </c>
      <c r="F203" s="53">
        <v>40</v>
      </c>
      <c r="G203" s="53">
        <v>60</v>
      </c>
      <c r="H203" s="53">
        <v>84</v>
      </c>
      <c r="I203" s="53">
        <v>42.5</v>
      </c>
      <c r="J203">
        <f t="shared" si="3"/>
        <v>0.28560000000000002</v>
      </c>
      <c r="K203" s="54">
        <v>9.2670999999998078E-3</v>
      </c>
    </row>
    <row r="204" spans="1:11" x14ac:dyDescent="0.25">
      <c r="A204" s="53">
        <v>2140110711</v>
      </c>
      <c r="B204" s="53" t="s">
        <v>232</v>
      </c>
      <c r="C204" s="53" t="s">
        <v>147</v>
      </c>
      <c r="D204" s="53" t="s">
        <v>193</v>
      </c>
      <c r="E204" s="53" t="s">
        <v>378</v>
      </c>
      <c r="F204" s="53">
        <v>40</v>
      </c>
      <c r="G204" s="53">
        <v>60</v>
      </c>
      <c r="H204" s="53">
        <v>84</v>
      </c>
      <c r="I204" s="53">
        <v>42.5</v>
      </c>
      <c r="J204">
        <f t="shared" si="3"/>
        <v>0.28560000000000002</v>
      </c>
      <c r="K204" s="54"/>
    </row>
    <row r="205" spans="1:11" x14ac:dyDescent="0.25">
      <c r="A205" s="53">
        <v>2140110712</v>
      </c>
      <c r="B205" s="53" t="s">
        <v>233</v>
      </c>
      <c r="C205" s="53" t="s">
        <v>147</v>
      </c>
      <c r="D205" s="53" t="s">
        <v>193</v>
      </c>
      <c r="E205" s="53" t="s">
        <v>378</v>
      </c>
      <c r="F205" s="53">
        <v>40</v>
      </c>
      <c r="G205" s="53">
        <v>60</v>
      </c>
      <c r="H205" s="53">
        <v>84</v>
      </c>
      <c r="I205" s="53">
        <v>42.5</v>
      </c>
      <c r="J205">
        <f t="shared" si="3"/>
        <v>0.28560000000000002</v>
      </c>
      <c r="K205" s="54"/>
    </row>
    <row r="206" spans="1:11" x14ac:dyDescent="0.25">
      <c r="A206" s="53">
        <v>2140110713</v>
      </c>
      <c r="B206" s="53" t="s">
        <v>228</v>
      </c>
      <c r="C206" s="53" t="s">
        <v>147</v>
      </c>
      <c r="D206" s="53" t="s">
        <v>193</v>
      </c>
      <c r="E206" s="53" t="s">
        <v>378</v>
      </c>
      <c r="F206" s="53">
        <v>50</v>
      </c>
      <c r="G206" s="53">
        <v>60</v>
      </c>
      <c r="H206" s="53">
        <v>84</v>
      </c>
      <c r="I206" s="53">
        <v>42.5</v>
      </c>
      <c r="J206">
        <f t="shared" si="3"/>
        <v>0.35699999999999998</v>
      </c>
      <c r="K206" s="54"/>
    </row>
    <row r="207" spans="1:11" x14ac:dyDescent="0.25">
      <c r="A207" s="53">
        <v>2140110727</v>
      </c>
      <c r="B207" s="53" t="s">
        <v>235</v>
      </c>
      <c r="C207" s="53" t="s">
        <v>147</v>
      </c>
      <c r="D207" s="53" t="s">
        <v>193</v>
      </c>
      <c r="E207" s="53" t="s">
        <v>378</v>
      </c>
      <c r="F207" s="53">
        <v>40</v>
      </c>
      <c r="G207" s="53">
        <v>60</v>
      </c>
      <c r="H207" s="53">
        <v>84</v>
      </c>
      <c r="I207" s="53">
        <v>42.5</v>
      </c>
      <c r="J207">
        <f t="shared" si="3"/>
        <v>0.28560000000000002</v>
      </c>
      <c r="K207" s="54"/>
    </row>
    <row r="208" spans="1:11" x14ac:dyDescent="0.25">
      <c r="A208" s="53">
        <v>2140110728</v>
      </c>
      <c r="B208" s="53" t="s">
        <v>214</v>
      </c>
      <c r="C208" s="53" t="s">
        <v>147</v>
      </c>
      <c r="D208" s="53" t="s">
        <v>193</v>
      </c>
      <c r="E208" s="53" t="s">
        <v>378</v>
      </c>
      <c r="F208" s="53">
        <v>50</v>
      </c>
      <c r="G208" s="53">
        <v>60</v>
      </c>
      <c r="H208" s="53">
        <v>84</v>
      </c>
      <c r="I208" s="53">
        <v>42.5</v>
      </c>
      <c r="J208">
        <f t="shared" si="3"/>
        <v>0.35699999999999998</v>
      </c>
      <c r="K208" s="54">
        <v>9.2670999999998078E-3</v>
      </c>
    </row>
    <row r="209" spans="1:11" x14ac:dyDescent="0.25">
      <c r="A209" s="53">
        <v>2140110666</v>
      </c>
      <c r="B209" s="53" t="s">
        <v>176</v>
      </c>
      <c r="C209" s="53" t="s">
        <v>147</v>
      </c>
      <c r="D209" s="53" t="s">
        <v>175</v>
      </c>
      <c r="E209" s="53" t="s">
        <v>378</v>
      </c>
      <c r="F209" s="53">
        <v>40</v>
      </c>
      <c r="G209" s="53">
        <v>60</v>
      </c>
      <c r="H209" s="53">
        <v>84</v>
      </c>
      <c r="I209" s="53">
        <v>42.5</v>
      </c>
      <c r="J209">
        <f t="shared" si="3"/>
        <v>0.28560000000000002</v>
      </c>
      <c r="K209" s="54">
        <v>7.4136799999998237E-3</v>
      </c>
    </row>
    <row r="210" spans="1:11" x14ac:dyDescent="0.25">
      <c r="A210" s="53">
        <v>2140110667</v>
      </c>
      <c r="B210" s="53" t="s">
        <v>179</v>
      </c>
      <c r="C210" s="53" t="s">
        <v>147</v>
      </c>
      <c r="D210" s="53" t="s">
        <v>175</v>
      </c>
      <c r="E210" s="53" t="s">
        <v>378</v>
      </c>
      <c r="F210" s="53">
        <v>40</v>
      </c>
      <c r="G210" s="53">
        <v>60</v>
      </c>
      <c r="H210" s="53">
        <v>84</v>
      </c>
      <c r="I210" s="53">
        <v>42.5</v>
      </c>
      <c r="J210">
        <f t="shared" si="3"/>
        <v>0.28560000000000002</v>
      </c>
      <c r="K210" s="54">
        <v>7.4136799999998237E-3</v>
      </c>
    </row>
    <row r="211" spans="1:11" x14ac:dyDescent="0.25">
      <c r="A211" s="53">
        <v>2140110668</v>
      </c>
      <c r="B211" s="53" t="s">
        <v>181</v>
      </c>
      <c r="C211" s="53" t="s">
        <v>147</v>
      </c>
      <c r="D211" s="53" t="s">
        <v>175</v>
      </c>
      <c r="E211" s="53" t="s">
        <v>378</v>
      </c>
      <c r="F211" s="53">
        <v>40</v>
      </c>
      <c r="G211" s="53">
        <v>60</v>
      </c>
      <c r="H211" s="53">
        <v>84</v>
      </c>
      <c r="I211" s="53">
        <v>42.5</v>
      </c>
      <c r="J211">
        <f t="shared" si="3"/>
        <v>0.28560000000000002</v>
      </c>
      <c r="K211" s="54">
        <v>7.4136799999998237E-3</v>
      </c>
    </row>
    <row r="212" spans="1:11" x14ac:dyDescent="0.25">
      <c r="A212" s="53">
        <v>2140110669</v>
      </c>
      <c r="B212" s="53" t="s">
        <v>177</v>
      </c>
      <c r="C212" s="53" t="s">
        <v>147</v>
      </c>
      <c r="D212" s="53" t="s">
        <v>175</v>
      </c>
      <c r="E212" s="53" t="s">
        <v>378</v>
      </c>
      <c r="F212" s="53">
        <v>40</v>
      </c>
      <c r="G212" s="53">
        <v>60</v>
      </c>
      <c r="H212" s="53">
        <v>84</v>
      </c>
      <c r="I212" s="53">
        <v>42.5</v>
      </c>
      <c r="J212">
        <f t="shared" si="3"/>
        <v>0.28560000000000002</v>
      </c>
      <c r="K212" s="54">
        <v>7.4136799999998237E-3</v>
      </c>
    </row>
    <row r="213" spans="1:11" x14ac:dyDescent="0.25">
      <c r="A213" s="53">
        <v>2140110670</v>
      </c>
      <c r="B213" s="53" t="s">
        <v>178</v>
      </c>
      <c r="C213" s="53" t="s">
        <v>147</v>
      </c>
      <c r="D213" s="53" t="s">
        <v>175</v>
      </c>
      <c r="E213" s="53" t="s">
        <v>378</v>
      </c>
      <c r="F213" s="53">
        <v>40</v>
      </c>
      <c r="G213" s="53">
        <v>60</v>
      </c>
      <c r="H213" s="53">
        <v>84</v>
      </c>
      <c r="I213" s="53">
        <v>42.5</v>
      </c>
      <c r="J213">
        <f t="shared" si="3"/>
        <v>0.28560000000000002</v>
      </c>
      <c r="K213" s="54">
        <v>7.4136799999998237E-3</v>
      </c>
    </row>
    <row r="214" spans="1:11" x14ac:dyDescent="0.25">
      <c r="A214" s="53">
        <v>2140110671</v>
      </c>
      <c r="B214" s="53" t="s">
        <v>180</v>
      </c>
      <c r="C214" s="53" t="s">
        <v>147</v>
      </c>
      <c r="D214" s="53" t="s">
        <v>175</v>
      </c>
      <c r="E214" s="53" t="s">
        <v>378</v>
      </c>
      <c r="F214" s="53">
        <v>40</v>
      </c>
      <c r="G214" s="53">
        <v>60</v>
      </c>
      <c r="H214" s="53">
        <v>84</v>
      </c>
      <c r="I214" s="53">
        <v>42.5</v>
      </c>
      <c r="J214">
        <f t="shared" si="3"/>
        <v>0.28560000000000002</v>
      </c>
      <c r="K214" s="54">
        <v>7.4136799999998237E-3</v>
      </c>
    </row>
    <row r="215" spans="1:11" x14ac:dyDescent="0.25">
      <c r="A215" s="53">
        <v>2140110683</v>
      </c>
      <c r="B215" s="53" t="s">
        <v>206</v>
      </c>
      <c r="C215" s="53" t="s">
        <v>147</v>
      </c>
      <c r="D215" s="53" t="s">
        <v>175</v>
      </c>
      <c r="E215" s="53" t="s">
        <v>378</v>
      </c>
      <c r="F215" s="53">
        <v>40</v>
      </c>
      <c r="G215" s="53">
        <v>60</v>
      </c>
      <c r="H215" s="53">
        <v>84</v>
      </c>
      <c r="I215" s="53">
        <v>42.5</v>
      </c>
      <c r="J215">
        <f t="shared" si="3"/>
        <v>0.28560000000000002</v>
      </c>
      <c r="K215" s="54">
        <v>7.4136799999998237E-3</v>
      </c>
    </row>
    <row r="216" spans="1:11" x14ac:dyDescent="0.25">
      <c r="A216" s="53">
        <v>2140110684</v>
      </c>
      <c r="B216" s="53" t="s">
        <v>461</v>
      </c>
      <c r="C216" s="53" t="s">
        <v>147</v>
      </c>
      <c r="D216" s="53" t="s">
        <v>175</v>
      </c>
      <c r="E216" s="53" t="s">
        <v>378</v>
      </c>
      <c r="F216" s="53"/>
      <c r="G216" s="53"/>
      <c r="H216" s="53"/>
      <c r="I216" s="53"/>
      <c r="J216" t="str">
        <f t="shared" si="3"/>
        <v/>
      </c>
      <c r="K216" s="54">
        <v>7.4136799999998237E-3</v>
      </c>
    </row>
    <row r="217" spans="1:11" x14ac:dyDescent="0.25">
      <c r="A217" s="53">
        <v>2140110717</v>
      </c>
      <c r="B217" s="53" t="s">
        <v>462</v>
      </c>
      <c r="C217" s="53" t="s">
        <v>147</v>
      </c>
      <c r="D217" s="53" t="s">
        <v>175</v>
      </c>
      <c r="E217" s="53" t="s">
        <v>378</v>
      </c>
      <c r="F217" s="53"/>
      <c r="G217" s="53"/>
      <c r="H217" s="53"/>
      <c r="I217" s="53"/>
      <c r="J217" t="str">
        <f t="shared" si="3"/>
        <v/>
      </c>
      <c r="K217" s="54"/>
    </row>
    <row r="218" spans="1:11" x14ac:dyDescent="0.25">
      <c r="A218" s="53">
        <v>2140110718</v>
      </c>
      <c r="B218" s="53" t="s">
        <v>207</v>
      </c>
      <c r="C218" s="53" t="s">
        <v>147</v>
      </c>
      <c r="D218" s="53" t="s">
        <v>175</v>
      </c>
      <c r="E218" s="53" t="s">
        <v>378</v>
      </c>
      <c r="F218" s="53">
        <v>40</v>
      </c>
      <c r="G218" s="53">
        <v>60</v>
      </c>
      <c r="H218" s="53">
        <v>84</v>
      </c>
      <c r="I218" s="53">
        <v>42.5</v>
      </c>
      <c r="J218">
        <f t="shared" si="3"/>
        <v>0.28560000000000002</v>
      </c>
      <c r="K218" s="54">
        <v>7.4136799999998237E-3</v>
      </c>
    </row>
    <row r="219" spans="1:11" x14ac:dyDescent="0.25">
      <c r="A219" s="53">
        <v>2140110719</v>
      </c>
      <c r="B219" s="53" t="s">
        <v>208</v>
      </c>
      <c r="C219" s="53" t="s">
        <v>147</v>
      </c>
      <c r="D219" s="53" t="s">
        <v>175</v>
      </c>
      <c r="E219" s="53" t="s">
        <v>378</v>
      </c>
      <c r="F219" s="53">
        <v>40</v>
      </c>
      <c r="G219" s="53">
        <v>60</v>
      </c>
      <c r="H219" s="53">
        <v>84</v>
      </c>
      <c r="I219" s="53">
        <v>42.5</v>
      </c>
      <c r="J219">
        <f t="shared" si="3"/>
        <v>0.28560000000000002</v>
      </c>
      <c r="K219" s="54">
        <v>7.4136799999998237E-3</v>
      </c>
    </row>
    <row r="220" spans="1:11" x14ac:dyDescent="0.25">
      <c r="A220" s="53">
        <v>2140110720</v>
      </c>
      <c r="B220" s="53" t="s">
        <v>242</v>
      </c>
      <c r="C220" s="53" t="s">
        <v>147</v>
      </c>
      <c r="D220" s="53" t="s">
        <v>175</v>
      </c>
      <c r="E220" s="53" t="s">
        <v>378</v>
      </c>
      <c r="F220" s="53">
        <v>40</v>
      </c>
      <c r="G220" s="53">
        <v>60</v>
      </c>
      <c r="H220" s="53">
        <v>84</v>
      </c>
      <c r="I220" s="53">
        <v>42.5</v>
      </c>
      <c r="J220">
        <f t="shared" si="3"/>
        <v>0.28560000000000002</v>
      </c>
      <c r="K220" s="54">
        <v>7.4136799999998237E-3</v>
      </c>
    </row>
    <row r="221" spans="1:11" x14ac:dyDescent="0.25">
      <c r="A221" s="53">
        <v>2140110721</v>
      </c>
      <c r="B221" s="53" t="s">
        <v>243</v>
      </c>
      <c r="C221" s="53" t="s">
        <v>147</v>
      </c>
      <c r="D221" s="53" t="s">
        <v>175</v>
      </c>
      <c r="E221" s="53" t="s">
        <v>378</v>
      </c>
      <c r="F221" s="53">
        <v>40</v>
      </c>
      <c r="G221" s="53">
        <v>60</v>
      </c>
      <c r="H221" s="53">
        <v>84</v>
      </c>
      <c r="I221" s="53">
        <v>42.5</v>
      </c>
      <c r="J221">
        <f t="shared" si="3"/>
        <v>0.28560000000000002</v>
      </c>
      <c r="K221" s="54">
        <v>7.4136799999998237E-3</v>
      </c>
    </row>
    <row r="222" spans="1:11" x14ac:dyDescent="0.25">
      <c r="A222" s="53">
        <v>2140110722</v>
      </c>
      <c r="B222" s="53" t="s">
        <v>463</v>
      </c>
      <c r="C222" s="53" t="s">
        <v>147</v>
      </c>
      <c r="D222" s="53" t="s">
        <v>175</v>
      </c>
      <c r="E222" s="53" t="s">
        <v>378</v>
      </c>
      <c r="F222" s="53"/>
      <c r="G222" s="53"/>
      <c r="H222" s="53"/>
      <c r="I222" s="53"/>
      <c r="J222" t="str">
        <f t="shared" si="3"/>
        <v/>
      </c>
      <c r="K222" s="54">
        <v>7.4136799999998237E-3</v>
      </c>
    </row>
    <row r="223" spans="1:11" x14ac:dyDescent="0.25">
      <c r="A223" s="53">
        <v>2140110724</v>
      </c>
      <c r="B223" s="53" t="s">
        <v>231</v>
      </c>
      <c r="C223" s="53" t="s">
        <v>147</v>
      </c>
      <c r="D223" s="53" t="s">
        <v>175</v>
      </c>
      <c r="E223" s="53" t="s">
        <v>378</v>
      </c>
      <c r="F223" s="53">
        <v>40</v>
      </c>
      <c r="G223" s="53">
        <v>60</v>
      </c>
      <c r="H223" s="53">
        <v>84</v>
      </c>
      <c r="I223" s="53">
        <v>42.5</v>
      </c>
      <c r="J223">
        <f t="shared" si="3"/>
        <v>0.28560000000000002</v>
      </c>
      <c r="K223" s="54"/>
    </row>
    <row r="224" spans="1:11" x14ac:dyDescent="0.25">
      <c r="A224" s="53">
        <v>2140110725</v>
      </c>
      <c r="B224" s="53" t="s">
        <v>464</v>
      </c>
      <c r="C224" s="53" t="s">
        <v>147</v>
      </c>
      <c r="D224" s="53" t="s">
        <v>175</v>
      </c>
      <c r="E224" s="53" t="s">
        <v>378</v>
      </c>
      <c r="F224" s="53"/>
      <c r="G224" s="53"/>
      <c r="H224" s="53"/>
      <c r="I224" s="53"/>
      <c r="J224" t="str">
        <f t="shared" si="3"/>
        <v/>
      </c>
      <c r="K224" s="54"/>
    </row>
    <row r="225" spans="1:11" x14ac:dyDescent="0.25">
      <c r="A225" s="53">
        <v>2140260002</v>
      </c>
      <c r="B225" s="53" t="s">
        <v>465</v>
      </c>
      <c r="C225" s="53" t="s">
        <v>297</v>
      </c>
      <c r="D225" s="53" t="s">
        <v>297</v>
      </c>
      <c r="E225" s="53" t="s">
        <v>378</v>
      </c>
      <c r="F225" s="53"/>
      <c r="G225" s="53"/>
      <c r="H225" s="53"/>
      <c r="I225" s="53"/>
      <c r="J225" t="str">
        <f t="shared" si="3"/>
        <v/>
      </c>
      <c r="K225" s="54"/>
    </row>
    <row r="226" spans="1:11" x14ac:dyDescent="0.25">
      <c r="A226" s="53">
        <v>2140260003</v>
      </c>
      <c r="B226" s="53" t="s">
        <v>466</v>
      </c>
      <c r="C226" s="53" t="s">
        <v>297</v>
      </c>
      <c r="D226" s="53" t="s">
        <v>297</v>
      </c>
      <c r="E226" s="53" t="s">
        <v>378</v>
      </c>
      <c r="F226" s="53"/>
      <c r="G226" s="53"/>
      <c r="H226" s="53"/>
      <c r="I226" s="53"/>
      <c r="J226" t="str">
        <f t="shared" si="3"/>
        <v/>
      </c>
      <c r="K226" s="54"/>
    </row>
    <row r="227" spans="1:11" x14ac:dyDescent="0.25">
      <c r="A227" s="53">
        <v>2140260004</v>
      </c>
      <c r="B227" s="53" t="s">
        <v>467</v>
      </c>
      <c r="C227" s="53" t="s">
        <v>297</v>
      </c>
      <c r="D227" s="53" t="s">
        <v>297</v>
      </c>
      <c r="E227" s="53" t="s">
        <v>378</v>
      </c>
      <c r="F227" s="53"/>
      <c r="G227" s="53"/>
      <c r="H227" s="53"/>
      <c r="I227" s="53"/>
      <c r="J227" t="str">
        <f t="shared" si="3"/>
        <v/>
      </c>
      <c r="K227" s="54"/>
    </row>
    <row r="228" spans="1:11" x14ac:dyDescent="0.25">
      <c r="A228" s="53">
        <v>2140260005</v>
      </c>
      <c r="B228" s="53" t="s">
        <v>468</v>
      </c>
      <c r="C228" s="53" t="s">
        <v>297</v>
      </c>
      <c r="D228" s="53" t="s">
        <v>297</v>
      </c>
      <c r="E228" s="53" t="s">
        <v>378</v>
      </c>
      <c r="F228" s="53"/>
      <c r="G228" s="53"/>
      <c r="H228" s="53"/>
      <c r="I228" s="53"/>
      <c r="J228" t="str">
        <f t="shared" si="3"/>
        <v/>
      </c>
      <c r="K228" s="54"/>
    </row>
    <row r="229" spans="1:11" x14ac:dyDescent="0.25">
      <c r="A229" s="53">
        <v>2140260010</v>
      </c>
      <c r="B229" s="53" t="s">
        <v>469</v>
      </c>
      <c r="C229" s="53" t="s">
        <v>297</v>
      </c>
      <c r="D229" s="53" t="s">
        <v>297</v>
      </c>
      <c r="E229" s="53" t="s">
        <v>378</v>
      </c>
      <c r="F229" s="53"/>
      <c r="G229" s="53"/>
      <c r="H229" s="53"/>
      <c r="I229" s="53"/>
      <c r="J229" t="str">
        <f t="shared" si="3"/>
        <v/>
      </c>
      <c r="K229" s="54"/>
    </row>
    <row r="230" spans="1:11" x14ac:dyDescent="0.25">
      <c r="A230" s="53">
        <v>2140260012</v>
      </c>
      <c r="B230" s="53" t="s">
        <v>470</v>
      </c>
      <c r="C230" s="53" t="s">
        <v>297</v>
      </c>
      <c r="D230" s="53" t="s">
        <v>297</v>
      </c>
      <c r="E230" s="53" t="s">
        <v>378</v>
      </c>
      <c r="F230" s="53"/>
      <c r="G230" s="53"/>
      <c r="H230" s="53"/>
      <c r="I230" s="53"/>
      <c r="J230" t="str">
        <f t="shared" si="3"/>
        <v/>
      </c>
      <c r="K230" s="54"/>
    </row>
    <row r="231" spans="1:11" x14ac:dyDescent="0.25">
      <c r="A231" s="53">
        <v>2140260013</v>
      </c>
      <c r="B231" s="53" t="s">
        <v>471</v>
      </c>
      <c r="C231" s="53" t="s">
        <v>297</v>
      </c>
      <c r="D231" s="53" t="s">
        <v>297</v>
      </c>
      <c r="E231" s="53" t="s">
        <v>378</v>
      </c>
      <c r="F231" s="53"/>
      <c r="G231" s="53"/>
      <c r="H231" s="53"/>
      <c r="I231" s="53"/>
      <c r="J231" t="str">
        <f t="shared" si="3"/>
        <v/>
      </c>
      <c r="K231" s="54"/>
    </row>
    <row r="232" spans="1:11" x14ac:dyDescent="0.25">
      <c r="A232" s="53">
        <v>2140260015</v>
      </c>
      <c r="B232" s="53" t="s">
        <v>472</v>
      </c>
      <c r="C232" s="53" t="s">
        <v>297</v>
      </c>
      <c r="D232" s="53" t="s">
        <v>297</v>
      </c>
      <c r="E232" s="53" t="s">
        <v>378</v>
      </c>
      <c r="F232" s="53"/>
      <c r="G232" s="53"/>
      <c r="H232" s="53"/>
      <c r="I232" s="53"/>
      <c r="J232" t="str">
        <f t="shared" si="3"/>
        <v/>
      </c>
      <c r="K232" s="54"/>
    </row>
    <row r="233" spans="1:11" x14ac:dyDescent="0.25">
      <c r="A233" s="53">
        <v>2140240007</v>
      </c>
      <c r="B233" s="53" t="s">
        <v>473</v>
      </c>
      <c r="C233" s="53"/>
      <c r="D233" s="53" t="s">
        <v>282</v>
      </c>
      <c r="E233" s="53" t="s">
        <v>378</v>
      </c>
      <c r="F233" s="53"/>
      <c r="G233" s="53"/>
      <c r="H233" s="53"/>
      <c r="I233" s="53"/>
      <c r="J233" t="str">
        <f t="shared" si="3"/>
        <v/>
      </c>
      <c r="K233" s="54"/>
    </row>
    <row r="234" spans="1:11" x14ac:dyDescent="0.25">
      <c r="A234" s="53">
        <v>2140240008</v>
      </c>
      <c r="B234" s="53" t="s">
        <v>474</v>
      </c>
      <c r="C234" s="53"/>
      <c r="D234" s="53" t="s">
        <v>282</v>
      </c>
      <c r="E234" s="53" t="s">
        <v>378</v>
      </c>
      <c r="F234" s="53"/>
      <c r="G234" s="53"/>
      <c r="H234" s="53"/>
      <c r="I234" s="53"/>
      <c r="J234" t="str">
        <f t="shared" si="3"/>
        <v/>
      </c>
      <c r="K234" s="54"/>
    </row>
    <row r="235" spans="1:11" x14ac:dyDescent="0.25">
      <c r="A235" s="53">
        <v>2140230009</v>
      </c>
      <c r="B235" s="53" t="s">
        <v>475</v>
      </c>
      <c r="C235" s="53"/>
      <c r="D235" s="53" t="s">
        <v>283</v>
      </c>
      <c r="E235" s="53" t="s">
        <v>378</v>
      </c>
      <c r="F235" s="53"/>
      <c r="G235" s="53"/>
      <c r="H235" s="53"/>
      <c r="I235" s="53"/>
      <c r="J235" t="str">
        <f t="shared" si="3"/>
        <v/>
      </c>
      <c r="K235" s="54"/>
    </row>
    <row r="236" spans="1:11" x14ac:dyDescent="0.25">
      <c r="A236" s="53">
        <v>2140230006</v>
      </c>
      <c r="B236" s="53" t="s">
        <v>476</v>
      </c>
      <c r="C236" s="53"/>
      <c r="D236" s="53" t="s">
        <v>284</v>
      </c>
      <c r="E236" s="53" t="s">
        <v>378</v>
      </c>
      <c r="F236" s="53"/>
      <c r="G236" s="53"/>
      <c r="H236" s="53"/>
      <c r="I236" s="53"/>
      <c r="J236" t="str">
        <f t="shared" si="3"/>
        <v/>
      </c>
      <c r="K236" s="54"/>
    </row>
    <row r="237" spans="1:11" x14ac:dyDescent="0.25">
      <c r="A237" s="53">
        <v>2140230007</v>
      </c>
      <c r="B237" s="53" t="s">
        <v>477</v>
      </c>
      <c r="C237" s="53"/>
      <c r="D237" s="53" t="s">
        <v>284</v>
      </c>
      <c r="E237" s="53" t="s">
        <v>378</v>
      </c>
      <c r="F237" s="53"/>
      <c r="G237" s="53"/>
      <c r="H237" s="53"/>
      <c r="I237" s="53"/>
      <c r="J237" t="str">
        <f t="shared" si="3"/>
        <v/>
      </c>
      <c r="K237" s="54"/>
    </row>
    <row r="238" spans="1:11" x14ac:dyDescent="0.25">
      <c r="A238" s="53">
        <v>2140230010</v>
      </c>
      <c r="B238" s="53" t="s">
        <v>478</v>
      </c>
      <c r="C238" s="53"/>
      <c r="D238" s="53" t="s">
        <v>284</v>
      </c>
      <c r="E238" s="53" t="s">
        <v>378</v>
      </c>
      <c r="F238" s="53"/>
      <c r="G238" s="53"/>
      <c r="H238" s="53"/>
      <c r="I238" s="53"/>
      <c r="J238" t="str">
        <f t="shared" si="3"/>
        <v/>
      </c>
      <c r="K238" s="54"/>
    </row>
    <row r="239" spans="1:11" x14ac:dyDescent="0.25">
      <c r="A239" s="53">
        <v>2140230011</v>
      </c>
      <c r="B239" s="53" t="s">
        <v>479</v>
      </c>
      <c r="C239" s="53"/>
      <c r="D239" s="53" t="s">
        <v>284</v>
      </c>
      <c r="E239" s="53" t="s">
        <v>378</v>
      </c>
      <c r="F239" s="53"/>
      <c r="G239" s="53"/>
      <c r="H239" s="53"/>
      <c r="I239" s="53"/>
      <c r="J239" t="str">
        <f t="shared" si="3"/>
        <v/>
      </c>
      <c r="K239" s="54"/>
    </row>
    <row r="240" spans="1:11" x14ac:dyDescent="0.25">
      <c r="A240" s="53">
        <v>2140110631</v>
      </c>
      <c r="B240" s="53" t="s">
        <v>202</v>
      </c>
      <c r="C240" s="53"/>
      <c r="D240" s="53" t="s">
        <v>186</v>
      </c>
      <c r="E240" s="53" t="s">
        <v>378</v>
      </c>
      <c r="F240" s="53">
        <v>46</v>
      </c>
      <c r="G240" s="53">
        <v>60</v>
      </c>
      <c r="H240" s="53">
        <v>83</v>
      </c>
      <c r="I240" s="53">
        <v>42</v>
      </c>
      <c r="J240">
        <f t="shared" si="3"/>
        <v>0.32069999999999999</v>
      </c>
      <c r="K240" s="54">
        <v>9.2670999999998078E-3</v>
      </c>
    </row>
    <row r="241" spans="1:11" x14ac:dyDescent="0.25">
      <c r="A241" s="53">
        <v>2140110632</v>
      </c>
      <c r="B241" s="53" t="s">
        <v>187</v>
      </c>
      <c r="C241" s="53"/>
      <c r="D241" s="53" t="s">
        <v>186</v>
      </c>
      <c r="E241" s="53" t="s">
        <v>378</v>
      </c>
      <c r="F241" s="53">
        <v>46</v>
      </c>
      <c r="G241" s="53">
        <v>60</v>
      </c>
      <c r="H241" s="53">
        <v>83</v>
      </c>
      <c r="I241" s="53">
        <v>42</v>
      </c>
      <c r="J241">
        <f t="shared" si="3"/>
        <v>0.32069999999999999</v>
      </c>
      <c r="K241" s="54">
        <v>9.2670999999998078E-3</v>
      </c>
    </row>
    <row r="242" spans="1:11" x14ac:dyDescent="0.25">
      <c r="A242" s="53">
        <v>2140110633</v>
      </c>
      <c r="B242" s="53" t="s">
        <v>188</v>
      </c>
      <c r="C242" s="53"/>
      <c r="D242" s="53" t="s">
        <v>186</v>
      </c>
      <c r="E242" s="53" t="s">
        <v>378</v>
      </c>
      <c r="F242" s="53">
        <v>46</v>
      </c>
      <c r="G242" s="53">
        <v>60</v>
      </c>
      <c r="H242" s="53">
        <v>83</v>
      </c>
      <c r="I242" s="53">
        <v>42</v>
      </c>
      <c r="J242">
        <f t="shared" si="3"/>
        <v>0.32069999999999999</v>
      </c>
      <c r="K242" s="54">
        <v>9.2670999999998078E-3</v>
      </c>
    </row>
    <row r="243" spans="1:11" x14ac:dyDescent="0.25">
      <c r="A243" s="53">
        <v>2140110744</v>
      </c>
      <c r="B243" s="53" t="s">
        <v>480</v>
      </c>
      <c r="C243" s="53"/>
      <c r="D243" s="53" t="s">
        <v>186</v>
      </c>
      <c r="E243" s="53" t="s">
        <v>378</v>
      </c>
      <c r="F243" s="53"/>
      <c r="G243" s="53"/>
      <c r="H243" s="53"/>
      <c r="I243" s="53"/>
      <c r="J243" t="str">
        <f t="shared" si="3"/>
        <v/>
      </c>
      <c r="K243" s="54"/>
    </row>
    <row r="244" spans="1:11" x14ac:dyDescent="0.25">
      <c r="A244" s="53">
        <v>2140110745</v>
      </c>
      <c r="B244" s="53" t="s">
        <v>481</v>
      </c>
      <c r="C244" s="53"/>
      <c r="D244" s="53" t="s">
        <v>186</v>
      </c>
      <c r="E244" s="53" t="s">
        <v>378</v>
      </c>
      <c r="F244" s="53"/>
      <c r="G244" s="53"/>
      <c r="H244" s="53"/>
      <c r="I244" s="53"/>
      <c r="J244" t="str">
        <f t="shared" si="3"/>
        <v/>
      </c>
      <c r="K244" s="54"/>
    </row>
    <row r="245" spans="1:11" x14ac:dyDescent="0.25">
      <c r="A245" s="53">
        <v>2140110746</v>
      </c>
      <c r="B245" s="53" t="s">
        <v>482</v>
      </c>
      <c r="C245" s="53"/>
      <c r="D245" s="53" t="s">
        <v>186</v>
      </c>
      <c r="E245" s="53" t="s">
        <v>378</v>
      </c>
      <c r="F245" s="53"/>
      <c r="G245" s="53"/>
      <c r="H245" s="53"/>
      <c r="I245" s="53"/>
      <c r="J245" t="str">
        <f t="shared" si="3"/>
        <v/>
      </c>
      <c r="K245" s="54"/>
    </row>
    <row r="246" spans="1:11" x14ac:dyDescent="0.25">
      <c r="A246" s="53">
        <v>2140340001</v>
      </c>
      <c r="B246" s="53" t="s">
        <v>483</v>
      </c>
      <c r="C246" s="53"/>
      <c r="D246" s="53" t="s">
        <v>286</v>
      </c>
      <c r="E246" s="53" t="s">
        <v>378</v>
      </c>
      <c r="F246" s="53"/>
      <c r="G246" s="53"/>
      <c r="H246" s="53"/>
      <c r="I246" s="53"/>
      <c r="J246" t="str">
        <f t="shared" si="3"/>
        <v/>
      </c>
      <c r="K246" s="54">
        <v>0.13</v>
      </c>
    </row>
    <row r="247" spans="1:11" x14ac:dyDescent="0.25">
      <c r="A247" s="53">
        <v>2140340002</v>
      </c>
      <c r="B247" s="53" t="s">
        <v>484</v>
      </c>
      <c r="C247" s="53"/>
      <c r="D247" s="53" t="s">
        <v>286</v>
      </c>
      <c r="E247" s="53" t="s">
        <v>378</v>
      </c>
      <c r="F247" s="53"/>
      <c r="G247" s="53"/>
      <c r="H247" s="53"/>
      <c r="I247" s="53"/>
      <c r="J247" t="str">
        <f t="shared" si="3"/>
        <v/>
      </c>
      <c r="K247" s="54">
        <v>0.13</v>
      </c>
    </row>
    <row r="248" spans="1:11" x14ac:dyDescent="0.25">
      <c r="A248" s="53">
        <v>2140340003</v>
      </c>
      <c r="B248" s="53" t="s">
        <v>485</v>
      </c>
      <c r="C248" s="53"/>
      <c r="D248" s="53" t="s">
        <v>286</v>
      </c>
      <c r="E248" s="53" t="s">
        <v>378</v>
      </c>
      <c r="F248" s="53"/>
      <c r="G248" s="53"/>
      <c r="H248" s="53"/>
      <c r="I248" s="53"/>
      <c r="J248" t="str">
        <f t="shared" si="3"/>
        <v/>
      </c>
      <c r="K248" s="54">
        <v>0.12</v>
      </c>
    </row>
    <row r="249" spans="1:11" x14ac:dyDescent="0.25">
      <c r="A249" s="53">
        <v>2140340004</v>
      </c>
      <c r="B249" s="53" t="s">
        <v>486</v>
      </c>
      <c r="C249" s="53"/>
      <c r="D249" s="53" t="s">
        <v>286</v>
      </c>
      <c r="E249" s="53" t="s">
        <v>378</v>
      </c>
      <c r="F249" s="53"/>
      <c r="G249" s="53"/>
      <c r="H249" s="53"/>
      <c r="I249" s="53"/>
      <c r="J249" t="str">
        <f t="shared" si="3"/>
        <v/>
      </c>
      <c r="K249" s="54">
        <v>0.12</v>
      </c>
    </row>
    <row r="250" spans="1:11" x14ac:dyDescent="0.25">
      <c r="A250" s="53">
        <v>2140340005</v>
      </c>
      <c r="B250" s="53" t="s">
        <v>487</v>
      </c>
      <c r="C250" s="53"/>
      <c r="D250" s="53" t="s">
        <v>286</v>
      </c>
      <c r="E250" s="53" t="s">
        <v>378</v>
      </c>
      <c r="F250" s="53"/>
      <c r="G250" s="53"/>
      <c r="H250" s="53"/>
      <c r="I250" s="53"/>
      <c r="J250" t="str">
        <f t="shared" si="3"/>
        <v/>
      </c>
      <c r="K250" s="54"/>
    </row>
    <row r="251" spans="1:11" x14ac:dyDescent="0.25">
      <c r="A251" s="53">
        <v>2140340006</v>
      </c>
      <c r="B251" s="53" t="s">
        <v>488</v>
      </c>
      <c r="C251" s="53"/>
      <c r="D251" s="53" t="s">
        <v>286</v>
      </c>
      <c r="E251" s="53" t="s">
        <v>378</v>
      </c>
      <c r="F251" s="53"/>
      <c r="G251" s="53"/>
      <c r="H251" s="53"/>
      <c r="I251" s="53"/>
      <c r="J251" t="str">
        <f t="shared" si="3"/>
        <v/>
      </c>
      <c r="K251" s="54"/>
    </row>
    <row r="252" spans="1:11" x14ac:dyDescent="0.25">
      <c r="A252" s="53">
        <v>2140110003</v>
      </c>
      <c r="B252" s="53" t="s">
        <v>489</v>
      </c>
      <c r="C252" s="53"/>
      <c r="D252" s="53" t="s">
        <v>287</v>
      </c>
      <c r="E252" s="53" t="s">
        <v>378</v>
      </c>
      <c r="F252" s="53"/>
      <c r="G252" s="53"/>
      <c r="H252" s="53"/>
      <c r="I252" s="53"/>
      <c r="J252" t="str">
        <f t="shared" si="3"/>
        <v/>
      </c>
      <c r="K252" s="54"/>
    </row>
    <row r="253" spans="1:11" x14ac:dyDescent="0.25">
      <c r="A253" s="53">
        <v>2140110004</v>
      </c>
      <c r="B253" s="53" t="s">
        <v>490</v>
      </c>
      <c r="C253" s="53"/>
      <c r="D253" s="53" t="s">
        <v>287</v>
      </c>
      <c r="E253" s="53" t="s">
        <v>378</v>
      </c>
      <c r="F253" s="53"/>
      <c r="G253" s="53"/>
      <c r="H253" s="53"/>
      <c r="I253" s="53"/>
      <c r="J253" t="str">
        <f t="shared" si="3"/>
        <v/>
      </c>
      <c r="K253" s="54"/>
    </row>
    <row r="254" spans="1:11" x14ac:dyDescent="0.25">
      <c r="A254" s="53">
        <v>2140110005</v>
      </c>
      <c r="B254" s="53" t="s">
        <v>491</v>
      </c>
      <c r="C254" s="53"/>
      <c r="D254" s="53" t="s">
        <v>287</v>
      </c>
      <c r="E254" s="53" t="s">
        <v>378</v>
      </c>
      <c r="F254" s="53"/>
      <c r="G254" s="53"/>
      <c r="H254" s="53"/>
      <c r="I254" s="53"/>
      <c r="J254" t="str">
        <f t="shared" si="3"/>
        <v/>
      </c>
      <c r="K254" s="54"/>
    </row>
    <row r="255" spans="1:11" x14ac:dyDescent="0.25">
      <c r="A255" s="53">
        <v>2140110006</v>
      </c>
      <c r="B255" s="53" t="s">
        <v>492</v>
      </c>
      <c r="C255" s="53"/>
      <c r="D255" s="53" t="s">
        <v>287</v>
      </c>
      <c r="E255" s="53" t="s">
        <v>378</v>
      </c>
      <c r="F255" s="53"/>
      <c r="G255" s="53"/>
      <c r="H255" s="53"/>
      <c r="I255" s="53"/>
      <c r="J255" t="str">
        <f t="shared" si="3"/>
        <v/>
      </c>
      <c r="K255" s="54"/>
    </row>
    <row r="256" spans="1:11" x14ac:dyDescent="0.25">
      <c r="A256" s="53">
        <v>2140110007</v>
      </c>
      <c r="B256" s="53" t="s">
        <v>493</v>
      </c>
      <c r="C256" s="53"/>
      <c r="D256" s="53" t="s">
        <v>287</v>
      </c>
      <c r="E256" s="53" t="s">
        <v>378</v>
      </c>
      <c r="F256" s="53"/>
      <c r="G256" s="53"/>
      <c r="H256" s="53"/>
      <c r="I256" s="53"/>
      <c r="J256" t="str">
        <f t="shared" si="3"/>
        <v/>
      </c>
      <c r="K256" s="54"/>
    </row>
    <row r="257" spans="1:11" x14ac:dyDescent="0.25">
      <c r="A257" s="53">
        <v>2140110010</v>
      </c>
      <c r="B257" s="53" t="s">
        <v>494</v>
      </c>
      <c r="C257" s="53"/>
      <c r="D257" s="53" t="s">
        <v>287</v>
      </c>
      <c r="E257" s="53" t="s">
        <v>378</v>
      </c>
      <c r="F257" s="53"/>
      <c r="G257" s="53"/>
      <c r="H257" s="53"/>
      <c r="I257" s="53"/>
      <c r="J257" t="str">
        <f t="shared" si="3"/>
        <v/>
      </c>
      <c r="K257" s="54"/>
    </row>
    <row r="258" spans="1:11" x14ac:dyDescent="0.25">
      <c r="A258" s="53">
        <v>2140110012</v>
      </c>
      <c r="B258" s="53" t="s">
        <v>495</v>
      </c>
      <c r="C258" s="53"/>
      <c r="D258" s="53" t="s">
        <v>287</v>
      </c>
      <c r="E258" s="53" t="s">
        <v>378</v>
      </c>
      <c r="F258" s="53"/>
      <c r="G258" s="53"/>
      <c r="H258" s="53"/>
      <c r="I258" s="53"/>
      <c r="J258" t="str">
        <f t="shared" ref="J258:J321" si="4">IF(COUNT(F258:I258)=4,ROUND(G258/1000*H258/100*I258/100*F258/3,4),"")</f>
        <v/>
      </c>
      <c r="K258" s="54"/>
    </row>
    <row r="259" spans="1:11" x14ac:dyDescent="0.25">
      <c r="A259" s="53">
        <v>2140110013</v>
      </c>
      <c r="B259" s="53" t="s">
        <v>496</v>
      </c>
      <c r="C259" s="53"/>
      <c r="D259" s="53" t="s">
        <v>287</v>
      </c>
      <c r="E259" s="53" t="s">
        <v>378</v>
      </c>
      <c r="F259" s="53"/>
      <c r="G259" s="53"/>
      <c r="H259" s="53"/>
      <c r="I259" s="53"/>
      <c r="J259" t="str">
        <f t="shared" si="4"/>
        <v/>
      </c>
      <c r="K259" s="54"/>
    </row>
    <row r="260" spans="1:11" x14ac:dyDescent="0.25">
      <c r="A260" s="53">
        <v>2140110015</v>
      </c>
      <c r="B260" s="53" t="s">
        <v>497</v>
      </c>
      <c r="C260" s="53"/>
      <c r="D260" s="53" t="s">
        <v>287</v>
      </c>
      <c r="E260" s="53" t="s">
        <v>378</v>
      </c>
      <c r="F260" s="53"/>
      <c r="G260" s="53"/>
      <c r="H260" s="53"/>
      <c r="I260" s="53"/>
      <c r="J260" t="str">
        <f t="shared" si="4"/>
        <v/>
      </c>
      <c r="K260" s="54"/>
    </row>
    <row r="261" spans="1:11" x14ac:dyDescent="0.25">
      <c r="A261" s="53">
        <v>2140110016</v>
      </c>
      <c r="B261" s="53" t="s">
        <v>498</v>
      </c>
      <c r="C261" s="53"/>
      <c r="D261" s="53" t="s">
        <v>287</v>
      </c>
      <c r="E261" s="53" t="s">
        <v>378</v>
      </c>
      <c r="F261" s="53"/>
      <c r="G261" s="53"/>
      <c r="H261" s="53"/>
      <c r="I261" s="53"/>
      <c r="J261" t="str">
        <f t="shared" si="4"/>
        <v/>
      </c>
      <c r="K261" s="54"/>
    </row>
    <row r="262" spans="1:11" x14ac:dyDescent="0.25">
      <c r="A262" s="53">
        <v>2140110017</v>
      </c>
      <c r="B262" s="53" t="s">
        <v>499</v>
      </c>
      <c r="C262" s="53"/>
      <c r="D262" s="53" t="s">
        <v>287</v>
      </c>
      <c r="E262" s="53" t="s">
        <v>378</v>
      </c>
      <c r="F262" s="53"/>
      <c r="G262" s="53"/>
      <c r="H262" s="53"/>
      <c r="I262" s="53"/>
      <c r="J262" t="str">
        <f t="shared" si="4"/>
        <v/>
      </c>
      <c r="K262" s="54"/>
    </row>
    <row r="263" spans="1:11" x14ac:dyDescent="0.25">
      <c r="A263" s="53">
        <v>2140110018</v>
      </c>
      <c r="B263" s="53" t="s">
        <v>500</v>
      </c>
      <c r="C263" s="53"/>
      <c r="D263" s="53" t="s">
        <v>287</v>
      </c>
      <c r="E263" s="53" t="s">
        <v>378</v>
      </c>
      <c r="F263" s="53"/>
      <c r="G263" s="53"/>
      <c r="H263" s="53"/>
      <c r="I263" s="53"/>
      <c r="J263" t="str">
        <f t="shared" si="4"/>
        <v/>
      </c>
      <c r="K263" s="54"/>
    </row>
    <row r="264" spans="1:11" x14ac:dyDescent="0.25">
      <c r="A264" s="53">
        <v>2140110019</v>
      </c>
      <c r="B264" s="53" t="s">
        <v>501</v>
      </c>
      <c r="C264" s="53"/>
      <c r="D264" s="53" t="s">
        <v>287</v>
      </c>
      <c r="E264" s="53" t="s">
        <v>378</v>
      </c>
      <c r="F264" s="53"/>
      <c r="G264" s="53"/>
      <c r="H264" s="53"/>
      <c r="I264" s="53"/>
      <c r="J264" t="str">
        <f t="shared" si="4"/>
        <v/>
      </c>
      <c r="K264" s="54"/>
    </row>
    <row r="265" spans="1:11" x14ac:dyDescent="0.25">
      <c r="A265" s="53">
        <v>2140110020</v>
      </c>
      <c r="B265" s="53" t="s">
        <v>502</v>
      </c>
      <c r="C265" s="53"/>
      <c r="D265" s="53" t="s">
        <v>287</v>
      </c>
      <c r="E265" s="53" t="s">
        <v>378</v>
      </c>
      <c r="F265" s="53"/>
      <c r="G265" s="53"/>
      <c r="H265" s="53"/>
      <c r="I265" s="53"/>
      <c r="J265" t="str">
        <f t="shared" si="4"/>
        <v/>
      </c>
      <c r="K265" s="54"/>
    </row>
    <row r="266" spans="1:11" x14ac:dyDescent="0.25">
      <c r="A266" s="53">
        <v>2140110021</v>
      </c>
      <c r="B266" s="53" t="s">
        <v>503</v>
      </c>
      <c r="C266" s="53"/>
      <c r="D266" s="53" t="s">
        <v>287</v>
      </c>
      <c r="E266" s="53" t="s">
        <v>378</v>
      </c>
      <c r="F266" s="53"/>
      <c r="G266" s="53"/>
      <c r="H266" s="53"/>
      <c r="I266" s="53"/>
      <c r="J266" t="str">
        <f t="shared" si="4"/>
        <v/>
      </c>
      <c r="K266" s="54"/>
    </row>
    <row r="267" spans="1:11" x14ac:dyDescent="0.25">
      <c r="A267" s="53">
        <v>2140110023</v>
      </c>
      <c r="B267" s="53" t="s">
        <v>504</v>
      </c>
      <c r="C267" s="53"/>
      <c r="D267" s="53" t="s">
        <v>287</v>
      </c>
      <c r="E267" s="53" t="s">
        <v>378</v>
      </c>
      <c r="F267" s="53"/>
      <c r="G267" s="53"/>
      <c r="H267" s="53"/>
      <c r="I267" s="53"/>
      <c r="J267" t="str">
        <f t="shared" si="4"/>
        <v/>
      </c>
      <c r="K267" s="54"/>
    </row>
    <row r="268" spans="1:11" x14ac:dyDescent="0.25">
      <c r="A268" s="53">
        <v>2140110025</v>
      </c>
      <c r="B268" s="53" t="s">
        <v>505</v>
      </c>
      <c r="C268" s="53"/>
      <c r="D268" s="53" t="s">
        <v>287</v>
      </c>
      <c r="E268" s="53" t="s">
        <v>378</v>
      </c>
      <c r="F268" s="53"/>
      <c r="G268" s="53"/>
      <c r="H268" s="53"/>
      <c r="I268" s="53"/>
      <c r="J268" t="str">
        <f t="shared" si="4"/>
        <v/>
      </c>
      <c r="K268" s="54"/>
    </row>
    <row r="269" spans="1:11" x14ac:dyDescent="0.25">
      <c r="A269" s="53">
        <v>2140110028</v>
      </c>
      <c r="B269" s="53" t="s">
        <v>506</v>
      </c>
      <c r="C269" s="53"/>
      <c r="D269" s="53" t="s">
        <v>287</v>
      </c>
      <c r="E269" s="53" t="s">
        <v>378</v>
      </c>
      <c r="F269" s="53"/>
      <c r="G269" s="53"/>
      <c r="H269" s="53"/>
      <c r="I269" s="53"/>
      <c r="J269" t="str">
        <f t="shared" si="4"/>
        <v/>
      </c>
      <c r="K269" s="54"/>
    </row>
    <row r="270" spans="1:11" x14ac:dyDescent="0.25">
      <c r="A270" s="53">
        <v>2140110029</v>
      </c>
      <c r="B270" s="53" t="s">
        <v>507</v>
      </c>
      <c r="C270" s="53"/>
      <c r="D270" s="53" t="s">
        <v>287</v>
      </c>
      <c r="E270" s="53" t="s">
        <v>378</v>
      </c>
      <c r="F270" s="53"/>
      <c r="G270" s="53"/>
      <c r="H270" s="53"/>
      <c r="I270" s="53"/>
      <c r="J270" t="str">
        <f t="shared" si="4"/>
        <v/>
      </c>
      <c r="K270" s="54"/>
    </row>
    <row r="271" spans="1:11" x14ac:dyDescent="0.25">
      <c r="A271" s="53">
        <v>2140110030</v>
      </c>
      <c r="B271" s="53" t="s">
        <v>508</v>
      </c>
      <c r="C271" s="53"/>
      <c r="D271" s="53" t="s">
        <v>287</v>
      </c>
      <c r="E271" s="53" t="s">
        <v>378</v>
      </c>
      <c r="F271" s="53"/>
      <c r="G271" s="53"/>
      <c r="H271" s="53"/>
      <c r="I271" s="53"/>
      <c r="J271" t="str">
        <f t="shared" si="4"/>
        <v/>
      </c>
      <c r="K271" s="54"/>
    </row>
    <row r="272" spans="1:11" x14ac:dyDescent="0.25">
      <c r="A272" s="53">
        <v>2140110031</v>
      </c>
      <c r="B272" s="53" t="s">
        <v>509</v>
      </c>
      <c r="C272" s="53"/>
      <c r="D272" s="53" t="s">
        <v>287</v>
      </c>
      <c r="E272" s="53" t="s">
        <v>378</v>
      </c>
      <c r="F272" s="53"/>
      <c r="G272" s="53"/>
      <c r="H272" s="53"/>
      <c r="I272" s="53"/>
      <c r="J272" t="str">
        <f t="shared" si="4"/>
        <v/>
      </c>
      <c r="K272" s="54"/>
    </row>
    <row r="273" spans="1:11" x14ac:dyDescent="0.25">
      <c r="A273" s="53">
        <v>2140110032</v>
      </c>
      <c r="B273" s="53" t="s">
        <v>510</v>
      </c>
      <c r="C273" s="53"/>
      <c r="D273" s="53" t="s">
        <v>287</v>
      </c>
      <c r="E273" s="53" t="s">
        <v>378</v>
      </c>
      <c r="F273" s="53"/>
      <c r="G273" s="53"/>
      <c r="H273" s="53"/>
      <c r="I273" s="53"/>
      <c r="J273" t="str">
        <f t="shared" si="4"/>
        <v/>
      </c>
      <c r="K273" s="54"/>
    </row>
    <row r="274" spans="1:11" x14ac:dyDescent="0.25">
      <c r="A274" s="53">
        <v>2140110033</v>
      </c>
      <c r="B274" s="53" t="s">
        <v>511</v>
      </c>
      <c r="C274" s="53"/>
      <c r="D274" s="53" t="s">
        <v>287</v>
      </c>
      <c r="E274" s="53" t="s">
        <v>378</v>
      </c>
      <c r="F274" s="53"/>
      <c r="G274" s="53"/>
      <c r="H274" s="53"/>
      <c r="I274" s="53"/>
      <c r="J274" t="str">
        <f t="shared" si="4"/>
        <v/>
      </c>
      <c r="K274" s="54"/>
    </row>
    <row r="275" spans="1:11" x14ac:dyDescent="0.25">
      <c r="A275" s="53">
        <v>2140110042</v>
      </c>
      <c r="B275" s="53" t="s">
        <v>512</v>
      </c>
      <c r="C275" s="53"/>
      <c r="D275" s="53" t="s">
        <v>287</v>
      </c>
      <c r="E275" s="53" t="s">
        <v>378</v>
      </c>
      <c r="F275" s="53"/>
      <c r="G275" s="53"/>
      <c r="H275" s="53"/>
      <c r="I275" s="53"/>
      <c r="J275" t="str">
        <f t="shared" si="4"/>
        <v/>
      </c>
      <c r="K275" s="54"/>
    </row>
    <row r="276" spans="1:11" x14ac:dyDescent="0.25">
      <c r="A276" s="53">
        <v>2140110043</v>
      </c>
      <c r="B276" s="53" t="s">
        <v>513</v>
      </c>
      <c r="C276" s="53"/>
      <c r="D276" s="53" t="s">
        <v>287</v>
      </c>
      <c r="E276" s="53" t="s">
        <v>378</v>
      </c>
      <c r="F276" s="53"/>
      <c r="G276" s="53"/>
      <c r="H276" s="53"/>
      <c r="I276" s="53"/>
      <c r="J276" t="str">
        <f t="shared" si="4"/>
        <v/>
      </c>
      <c r="K276" s="54"/>
    </row>
    <row r="277" spans="1:11" x14ac:dyDescent="0.25">
      <c r="A277" s="53">
        <v>2140110044</v>
      </c>
      <c r="B277" s="53" t="s">
        <v>514</v>
      </c>
      <c r="C277" s="53"/>
      <c r="D277" s="53" t="s">
        <v>287</v>
      </c>
      <c r="E277" s="53" t="s">
        <v>378</v>
      </c>
      <c r="F277" s="53"/>
      <c r="G277" s="53"/>
      <c r="H277" s="53"/>
      <c r="I277" s="53"/>
      <c r="J277" t="str">
        <f t="shared" si="4"/>
        <v/>
      </c>
      <c r="K277" s="54"/>
    </row>
    <row r="278" spans="1:11" x14ac:dyDescent="0.25">
      <c r="A278" s="53">
        <v>2140110045</v>
      </c>
      <c r="B278" s="53" t="s">
        <v>515</v>
      </c>
      <c r="C278" s="53"/>
      <c r="D278" s="53" t="s">
        <v>287</v>
      </c>
      <c r="E278" s="53" t="s">
        <v>378</v>
      </c>
      <c r="F278" s="53"/>
      <c r="G278" s="53"/>
      <c r="H278" s="53"/>
      <c r="I278" s="53"/>
      <c r="J278" t="str">
        <f t="shared" si="4"/>
        <v/>
      </c>
      <c r="K278" s="54"/>
    </row>
    <row r="279" spans="1:11" x14ac:dyDescent="0.25">
      <c r="A279" s="53">
        <v>2140110046</v>
      </c>
      <c r="B279" s="53" t="s">
        <v>516</v>
      </c>
      <c r="C279" s="53"/>
      <c r="D279" s="53" t="s">
        <v>287</v>
      </c>
      <c r="E279" s="53" t="s">
        <v>378</v>
      </c>
      <c r="F279" s="53"/>
      <c r="G279" s="53"/>
      <c r="H279" s="53"/>
      <c r="I279" s="53"/>
      <c r="J279" t="str">
        <f t="shared" si="4"/>
        <v/>
      </c>
      <c r="K279" s="54"/>
    </row>
    <row r="280" spans="1:11" x14ac:dyDescent="0.25">
      <c r="A280" s="53">
        <v>2140110048</v>
      </c>
      <c r="B280" s="53" t="s">
        <v>517</v>
      </c>
      <c r="C280" s="53"/>
      <c r="D280" s="53" t="s">
        <v>287</v>
      </c>
      <c r="E280" s="53" t="s">
        <v>378</v>
      </c>
      <c r="F280" s="53"/>
      <c r="G280" s="53"/>
      <c r="H280" s="53"/>
      <c r="I280" s="53"/>
      <c r="J280" t="str">
        <f t="shared" si="4"/>
        <v/>
      </c>
      <c r="K280" s="54"/>
    </row>
    <row r="281" spans="1:11" x14ac:dyDescent="0.25">
      <c r="A281" s="53">
        <v>2140110049</v>
      </c>
      <c r="B281" s="53" t="s">
        <v>518</v>
      </c>
      <c r="C281" s="53"/>
      <c r="D281" s="53" t="s">
        <v>287</v>
      </c>
      <c r="E281" s="53" t="s">
        <v>378</v>
      </c>
      <c r="F281" s="53"/>
      <c r="G281" s="53"/>
      <c r="H281" s="53"/>
      <c r="I281" s="53"/>
      <c r="J281" t="str">
        <f t="shared" si="4"/>
        <v/>
      </c>
      <c r="K281" s="54"/>
    </row>
    <row r="282" spans="1:11" x14ac:dyDescent="0.25">
      <c r="A282" s="53">
        <v>2140110050</v>
      </c>
      <c r="B282" s="53" t="s">
        <v>519</v>
      </c>
      <c r="C282" s="53"/>
      <c r="D282" s="53" t="s">
        <v>287</v>
      </c>
      <c r="E282" s="53" t="s">
        <v>378</v>
      </c>
      <c r="F282" s="53"/>
      <c r="G282" s="53"/>
      <c r="H282" s="53"/>
      <c r="I282" s="53"/>
      <c r="J282" t="str">
        <f t="shared" si="4"/>
        <v/>
      </c>
      <c r="K282" s="54"/>
    </row>
    <row r="283" spans="1:11" x14ac:dyDescent="0.25">
      <c r="A283" s="53">
        <v>2140110051</v>
      </c>
      <c r="B283" s="53" t="s">
        <v>520</v>
      </c>
      <c r="C283" s="53"/>
      <c r="D283" s="53" t="s">
        <v>287</v>
      </c>
      <c r="E283" s="53" t="s">
        <v>378</v>
      </c>
      <c r="F283" s="53"/>
      <c r="G283" s="53"/>
      <c r="H283" s="53"/>
      <c r="I283" s="53"/>
      <c r="J283" t="str">
        <f t="shared" si="4"/>
        <v/>
      </c>
      <c r="K283" s="54"/>
    </row>
    <row r="284" spans="1:11" x14ac:dyDescent="0.25">
      <c r="A284" s="53">
        <v>2140110052</v>
      </c>
      <c r="B284" s="53" t="s">
        <v>521</v>
      </c>
      <c r="C284" s="53"/>
      <c r="D284" s="53" t="s">
        <v>287</v>
      </c>
      <c r="E284" s="53" t="s">
        <v>378</v>
      </c>
      <c r="F284" s="53"/>
      <c r="G284" s="53"/>
      <c r="H284" s="53"/>
      <c r="I284" s="53"/>
      <c r="J284" t="str">
        <f t="shared" si="4"/>
        <v/>
      </c>
      <c r="K284" s="54"/>
    </row>
    <row r="285" spans="1:11" x14ac:dyDescent="0.25">
      <c r="A285" s="53">
        <v>2140110053</v>
      </c>
      <c r="B285" s="53" t="s">
        <v>522</v>
      </c>
      <c r="C285" s="53"/>
      <c r="D285" s="53" t="s">
        <v>287</v>
      </c>
      <c r="E285" s="53" t="s">
        <v>378</v>
      </c>
      <c r="F285" s="53"/>
      <c r="G285" s="53"/>
      <c r="H285" s="53"/>
      <c r="I285" s="53"/>
      <c r="J285" t="str">
        <f t="shared" si="4"/>
        <v/>
      </c>
      <c r="K285" s="54"/>
    </row>
    <row r="286" spans="1:11" x14ac:dyDescent="0.25">
      <c r="A286" s="53">
        <v>2140110054</v>
      </c>
      <c r="B286" s="53" t="s">
        <v>523</v>
      </c>
      <c r="C286" s="53"/>
      <c r="D286" s="53" t="s">
        <v>287</v>
      </c>
      <c r="E286" s="53" t="s">
        <v>378</v>
      </c>
      <c r="F286" s="53"/>
      <c r="G286" s="53"/>
      <c r="H286" s="53"/>
      <c r="I286" s="53"/>
      <c r="J286" t="str">
        <f t="shared" si="4"/>
        <v/>
      </c>
      <c r="K286" s="54"/>
    </row>
    <row r="287" spans="1:11" x14ac:dyDescent="0.25">
      <c r="A287" s="53">
        <v>2140110055</v>
      </c>
      <c r="B287" s="53" t="s">
        <v>524</v>
      </c>
      <c r="C287" s="53"/>
      <c r="D287" s="53" t="s">
        <v>287</v>
      </c>
      <c r="E287" s="53" t="s">
        <v>378</v>
      </c>
      <c r="F287" s="53"/>
      <c r="G287" s="53"/>
      <c r="H287" s="53"/>
      <c r="I287" s="53"/>
      <c r="J287" t="str">
        <f t="shared" si="4"/>
        <v/>
      </c>
      <c r="K287" s="54"/>
    </row>
    <row r="288" spans="1:11" x14ac:dyDescent="0.25">
      <c r="A288" s="53">
        <v>2140110056</v>
      </c>
      <c r="B288" s="53" t="s">
        <v>525</v>
      </c>
      <c r="C288" s="53"/>
      <c r="D288" s="53" t="s">
        <v>287</v>
      </c>
      <c r="E288" s="53" t="s">
        <v>378</v>
      </c>
      <c r="F288" s="53"/>
      <c r="G288" s="53"/>
      <c r="H288" s="53"/>
      <c r="I288" s="53"/>
      <c r="J288" t="str">
        <f t="shared" si="4"/>
        <v/>
      </c>
      <c r="K288" s="54"/>
    </row>
    <row r="289" spans="1:11" x14ac:dyDescent="0.25">
      <c r="A289" s="53">
        <v>2140110057</v>
      </c>
      <c r="B289" s="53" t="s">
        <v>526</v>
      </c>
      <c r="C289" s="53"/>
      <c r="D289" s="53" t="s">
        <v>287</v>
      </c>
      <c r="E289" s="53" t="s">
        <v>378</v>
      </c>
      <c r="F289" s="53"/>
      <c r="G289" s="53"/>
      <c r="H289" s="53"/>
      <c r="I289" s="53"/>
      <c r="J289" t="str">
        <f t="shared" si="4"/>
        <v/>
      </c>
      <c r="K289" s="54"/>
    </row>
    <row r="290" spans="1:11" x14ac:dyDescent="0.25">
      <c r="A290" s="53">
        <v>2140110058</v>
      </c>
      <c r="B290" s="53" t="s">
        <v>527</v>
      </c>
      <c r="C290" s="53"/>
      <c r="D290" s="53" t="s">
        <v>287</v>
      </c>
      <c r="E290" s="53" t="s">
        <v>378</v>
      </c>
      <c r="F290" s="53"/>
      <c r="G290" s="53"/>
      <c r="H290" s="53"/>
      <c r="I290" s="53"/>
      <c r="J290" t="str">
        <f t="shared" si="4"/>
        <v/>
      </c>
      <c r="K290" s="54"/>
    </row>
    <row r="291" spans="1:11" x14ac:dyDescent="0.25">
      <c r="A291" s="53">
        <v>2140110059</v>
      </c>
      <c r="B291" s="53" t="s">
        <v>528</v>
      </c>
      <c r="C291" s="53"/>
      <c r="D291" s="53" t="s">
        <v>287</v>
      </c>
      <c r="E291" s="53" t="s">
        <v>378</v>
      </c>
      <c r="F291" s="53"/>
      <c r="G291" s="53"/>
      <c r="H291" s="53"/>
      <c r="I291" s="53"/>
      <c r="J291" t="str">
        <f t="shared" si="4"/>
        <v/>
      </c>
      <c r="K291" s="54"/>
    </row>
    <row r="292" spans="1:11" x14ac:dyDescent="0.25">
      <c r="A292" s="53">
        <v>2140110060</v>
      </c>
      <c r="B292" s="53" t="s">
        <v>529</v>
      </c>
      <c r="C292" s="53"/>
      <c r="D292" s="53" t="s">
        <v>287</v>
      </c>
      <c r="E292" s="53" t="s">
        <v>378</v>
      </c>
      <c r="F292" s="53"/>
      <c r="G292" s="53"/>
      <c r="H292" s="53"/>
      <c r="I292" s="53"/>
      <c r="J292" t="str">
        <f t="shared" si="4"/>
        <v/>
      </c>
      <c r="K292" s="54"/>
    </row>
    <row r="293" spans="1:11" x14ac:dyDescent="0.25">
      <c r="A293" s="53">
        <v>2140110061</v>
      </c>
      <c r="B293" s="53" t="s">
        <v>530</v>
      </c>
      <c r="C293" s="53"/>
      <c r="D293" s="53" t="s">
        <v>287</v>
      </c>
      <c r="E293" s="53" t="s">
        <v>378</v>
      </c>
      <c r="F293" s="53"/>
      <c r="G293" s="53"/>
      <c r="H293" s="53"/>
      <c r="I293" s="53"/>
      <c r="J293" t="str">
        <f t="shared" si="4"/>
        <v/>
      </c>
      <c r="K293" s="54"/>
    </row>
    <row r="294" spans="1:11" x14ac:dyDescent="0.25">
      <c r="A294" s="53">
        <v>2140110062</v>
      </c>
      <c r="B294" s="53" t="s">
        <v>531</v>
      </c>
      <c r="C294" s="53"/>
      <c r="D294" s="53" t="s">
        <v>287</v>
      </c>
      <c r="E294" s="53" t="s">
        <v>378</v>
      </c>
      <c r="F294" s="53"/>
      <c r="G294" s="53"/>
      <c r="H294" s="53"/>
      <c r="I294" s="53"/>
      <c r="J294" t="str">
        <f t="shared" si="4"/>
        <v/>
      </c>
      <c r="K294" s="54"/>
    </row>
    <row r="295" spans="1:11" x14ac:dyDescent="0.25">
      <c r="A295" s="53">
        <v>2140110064</v>
      </c>
      <c r="B295" s="53" t="s">
        <v>532</v>
      </c>
      <c r="C295" s="53"/>
      <c r="D295" s="53" t="s">
        <v>287</v>
      </c>
      <c r="E295" s="53" t="s">
        <v>378</v>
      </c>
      <c r="F295" s="53"/>
      <c r="G295" s="53"/>
      <c r="H295" s="53"/>
      <c r="I295" s="53"/>
      <c r="J295" t="str">
        <f t="shared" si="4"/>
        <v/>
      </c>
      <c r="K295" s="54"/>
    </row>
    <row r="296" spans="1:11" x14ac:dyDescent="0.25">
      <c r="A296" s="53">
        <v>2140110065</v>
      </c>
      <c r="B296" s="53" t="s">
        <v>533</v>
      </c>
      <c r="C296" s="53"/>
      <c r="D296" s="53" t="s">
        <v>287</v>
      </c>
      <c r="E296" s="53" t="s">
        <v>378</v>
      </c>
      <c r="F296" s="53"/>
      <c r="G296" s="53"/>
      <c r="H296" s="53"/>
      <c r="I296" s="53"/>
      <c r="J296" t="str">
        <f t="shared" si="4"/>
        <v/>
      </c>
      <c r="K296" s="54"/>
    </row>
    <row r="297" spans="1:11" x14ac:dyDescent="0.25">
      <c r="A297" s="53">
        <v>2140110066</v>
      </c>
      <c r="B297" s="53" t="s">
        <v>534</v>
      </c>
      <c r="C297" s="53"/>
      <c r="D297" s="53" t="s">
        <v>287</v>
      </c>
      <c r="E297" s="53" t="s">
        <v>378</v>
      </c>
      <c r="F297" s="53"/>
      <c r="G297" s="53"/>
      <c r="H297" s="53"/>
      <c r="I297" s="53"/>
      <c r="J297" t="str">
        <f t="shared" si="4"/>
        <v/>
      </c>
      <c r="K297" s="54"/>
    </row>
    <row r="298" spans="1:11" x14ac:dyDescent="0.25">
      <c r="A298" s="53">
        <v>2140110067</v>
      </c>
      <c r="B298" s="53" t="s">
        <v>535</v>
      </c>
      <c r="C298" s="53"/>
      <c r="D298" s="53" t="s">
        <v>287</v>
      </c>
      <c r="E298" s="53" t="s">
        <v>378</v>
      </c>
      <c r="F298" s="53"/>
      <c r="G298" s="53"/>
      <c r="H298" s="53"/>
      <c r="I298" s="53"/>
      <c r="J298" t="str">
        <f t="shared" si="4"/>
        <v/>
      </c>
      <c r="K298" s="54"/>
    </row>
    <row r="299" spans="1:11" x14ac:dyDescent="0.25">
      <c r="A299" s="53">
        <v>2140110068</v>
      </c>
      <c r="B299" s="53" t="s">
        <v>536</v>
      </c>
      <c r="C299" s="53"/>
      <c r="D299" s="53" t="s">
        <v>287</v>
      </c>
      <c r="E299" s="53" t="s">
        <v>378</v>
      </c>
      <c r="F299" s="53"/>
      <c r="G299" s="53"/>
      <c r="H299" s="53"/>
      <c r="I299" s="53"/>
      <c r="J299" t="str">
        <f t="shared" si="4"/>
        <v/>
      </c>
      <c r="K299" s="54"/>
    </row>
    <row r="300" spans="1:11" x14ac:dyDescent="0.25">
      <c r="A300" s="53">
        <v>2140110070</v>
      </c>
      <c r="B300" s="53" t="s">
        <v>537</v>
      </c>
      <c r="C300" s="53"/>
      <c r="D300" s="53" t="s">
        <v>287</v>
      </c>
      <c r="E300" s="53" t="s">
        <v>378</v>
      </c>
      <c r="F300" s="53"/>
      <c r="G300" s="53"/>
      <c r="H300" s="53"/>
      <c r="I300" s="53"/>
      <c r="J300" t="str">
        <f t="shared" si="4"/>
        <v/>
      </c>
      <c r="K300" s="54"/>
    </row>
    <row r="301" spans="1:11" x14ac:dyDescent="0.25">
      <c r="A301" s="53">
        <v>2140110071</v>
      </c>
      <c r="B301" s="53" t="s">
        <v>538</v>
      </c>
      <c r="C301" s="53"/>
      <c r="D301" s="53" t="s">
        <v>287</v>
      </c>
      <c r="E301" s="53" t="s">
        <v>378</v>
      </c>
      <c r="F301" s="53"/>
      <c r="G301" s="53"/>
      <c r="H301" s="53"/>
      <c r="I301" s="53"/>
      <c r="J301" t="str">
        <f t="shared" si="4"/>
        <v/>
      </c>
      <c r="K301" s="54"/>
    </row>
    <row r="302" spans="1:11" x14ac:dyDescent="0.25">
      <c r="A302" s="53">
        <v>2140110072</v>
      </c>
      <c r="B302" s="53" t="s">
        <v>539</v>
      </c>
      <c r="C302" s="53"/>
      <c r="D302" s="53" t="s">
        <v>287</v>
      </c>
      <c r="E302" s="53" t="s">
        <v>378</v>
      </c>
      <c r="F302" s="53"/>
      <c r="G302" s="53"/>
      <c r="H302" s="53"/>
      <c r="I302" s="53"/>
      <c r="J302" t="str">
        <f t="shared" si="4"/>
        <v/>
      </c>
      <c r="K302" s="54"/>
    </row>
    <row r="303" spans="1:11" x14ac:dyDescent="0.25">
      <c r="A303" s="53">
        <v>2140110073</v>
      </c>
      <c r="B303" s="53" t="s">
        <v>540</v>
      </c>
      <c r="C303" s="53"/>
      <c r="D303" s="53" t="s">
        <v>287</v>
      </c>
      <c r="E303" s="53" t="s">
        <v>378</v>
      </c>
      <c r="F303" s="53"/>
      <c r="G303" s="53"/>
      <c r="H303" s="53"/>
      <c r="I303" s="53"/>
      <c r="J303" t="str">
        <f t="shared" si="4"/>
        <v/>
      </c>
      <c r="K303" s="54"/>
    </row>
    <row r="304" spans="1:11" x14ac:dyDescent="0.25">
      <c r="A304" s="53">
        <v>2140110074</v>
      </c>
      <c r="B304" s="53" t="s">
        <v>541</v>
      </c>
      <c r="C304" s="53"/>
      <c r="D304" s="53" t="s">
        <v>287</v>
      </c>
      <c r="E304" s="53" t="s">
        <v>378</v>
      </c>
      <c r="F304" s="53"/>
      <c r="G304" s="53"/>
      <c r="H304" s="53"/>
      <c r="I304" s="53"/>
      <c r="J304" t="str">
        <f t="shared" si="4"/>
        <v/>
      </c>
      <c r="K304" s="54"/>
    </row>
    <row r="305" spans="1:11" x14ac:dyDescent="0.25">
      <c r="A305" s="53">
        <v>2140110075</v>
      </c>
      <c r="B305" s="53" t="s">
        <v>542</v>
      </c>
      <c r="C305" s="53"/>
      <c r="D305" s="53" t="s">
        <v>287</v>
      </c>
      <c r="E305" s="53" t="s">
        <v>378</v>
      </c>
      <c r="F305" s="53"/>
      <c r="G305" s="53"/>
      <c r="H305" s="53"/>
      <c r="I305" s="53"/>
      <c r="J305" t="str">
        <f t="shared" si="4"/>
        <v/>
      </c>
      <c r="K305" s="54"/>
    </row>
    <row r="306" spans="1:11" x14ac:dyDescent="0.25">
      <c r="A306" s="53">
        <v>2140110077</v>
      </c>
      <c r="B306" s="53" t="s">
        <v>543</v>
      </c>
      <c r="C306" s="53"/>
      <c r="D306" s="53" t="s">
        <v>287</v>
      </c>
      <c r="E306" s="53" t="s">
        <v>378</v>
      </c>
      <c r="F306" s="53"/>
      <c r="G306" s="53"/>
      <c r="H306" s="53"/>
      <c r="I306" s="53"/>
      <c r="J306" t="str">
        <f t="shared" si="4"/>
        <v/>
      </c>
      <c r="K306" s="54"/>
    </row>
    <row r="307" spans="1:11" x14ac:dyDescent="0.25">
      <c r="A307" s="53">
        <v>2140110080</v>
      </c>
      <c r="B307" s="53" t="s">
        <v>544</v>
      </c>
      <c r="C307" s="53"/>
      <c r="D307" s="53" t="s">
        <v>287</v>
      </c>
      <c r="E307" s="53" t="s">
        <v>378</v>
      </c>
      <c r="F307" s="53"/>
      <c r="G307" s="53"/>
      <c r="H307" s="53"/>
      <c r="I307" s="53"/>
      <c r="J307" t="str">
        <f t="shared" si="4"/>
        <v/>
      </c>
      <c r="K307" s="54"/>
    </row>
    <row r="308" spans="1:11" x14ac:dyDescent="0.25">
      <c r="A308" s="53">
        <v>2140110081</v>
      </c>
      <c r="B308" s="53" t="s">
        <v>545</v>
      </c>
      <c r="C308" s="53"/>
      <c r="D308" s="53" t="s">
        <v>287</v>
      </c>
      <c r="E308" s="53" t="s">
        <v>378</v>
      </c>
      <c r="F308" s="53"/>
      <c r="G308" s="53"/>
      <c r="H308" s="53"/>
      <c r="I308" s="53"/>
      <c r="J308" t="str">
        <f t="shared" si="4"/>
        <v/>
      </c>
      <c r="K308" s="54"/>
    </row>
    <row r="309" spans="1:11" x14ac:dyDescent="0.25">
      <c r="A309" s="53">
        <v>2140110082</v>
      </c>
      <c r="B309" s="53" t="s">
        <v>546</v>
      </c>
      <c r="C309" s="53"/>
      <c r="D309" s="53" t="s">
        <v>287</v>
      </c>
      <c r="E309" s="53" t="s">
        <v>378</v>
      </c>
      <c r="F309" s="53"/>
      <c r="G309" s="53"/>
      <c r="H309" s="53"/>
      <c r="I309" s="53"/>
      <c r="J309" t="str">
        <f t="shared" si="4"/>
        <v/>
      </c>
      <c r="K309" s="54"/>
    </row>
    <row r="310" spans="1:11" x14ac:dyDescent="0.25">
      <c r="A310" s="53">
        <v>2140110083</v>
      </c>
      <c r="B310" s="53" t="s">
        <v>547</v>
      </c>
      <c r="C310" s="53"/>
      <c r="D310" s="53" t="s">
        <v>287</v>
      </c>
      <c r="E310" s="53" t="s">
        <v>378</v>
      </c>
      <c r="F310" s="53"/>
      <c r="G310" s="53"/>
      <c r="H310" s="53"/>
      <c r="I310" s="53"/>
      <c r="J310" t="str">
        <f t="shared" si="4"/>
        <v/>
      </c>
      <c r="K310" s="54"/>
    </row>
    <row r="311" spans="1:11" x14ac:dyDescent="0.25">
      <c r="A311" s="53">
        <v>2140110084</v>
      </c>
      <c r="B311" s="53" t="s">
        <v>548</v>
      </c>
      <c r="C311" s="53"/>
      <c r="D311" s="53" t="s">
        <v>287</v>
      </c>
      <c r="E311" s="53" t="s">
        <v>378</v>
      </c>
      <c r="F311" s="53"/>
      <c r="G311" s="53"/>
      <c r="H311" s="53"/>
      <c r="I311" s="53"/>
      <c r="J311" t="str">
        <f t="shared" si="4"/>
        <v/>
      </c>
      <c r="K311" s="54"/>
    </row>
    <row r="312" spans="1:11" x14ac:dyDescent="0.25">
      <c r="A312" s="53">
        <v>2140110086</v>
      </c>
      <c r="B312" s="53" t="s">
        <v>549</v>
      </c>
      <c r="C312" s="53"/>
      <c r="D312" s="53" t="s">
        <v>287</v>
      </c>
      <c r="E312" s="53" t="s">
        <v>378</v>
      </c>
      <c r="F312" s="53"/>
      <c r="G312" s="53"/>
      <c r="H312" s="53"/>
      <c r="I312" s="53"/>
      <c r="J312" t="str">
        <f t="shared" si="4"/>
        <v/>
      </c>
      <c r="K312" s="54"/>
    </row>
    <row r="313" spans="1:11" x14ac:dyDescent="0.25">
      <c r="A313" s="53">
        <v>2140110087</v>
      </c>
      <c r="B313" s="53" t="s">
        <v>550</v>
      </c>
      <c r="C313" s="53"/>
      <c r="D313" s="53" t="s">
        <v>287</v>
      </c>
      <c r="E313" s="53" t="s">
        <v>378</v>
      </c>
      <c r="F313" s="53"/>
      <c r="G313" s="53"/>
      <c r="H313" s="53"/>
      <c r="I313" s="53"/>
      <c r="J313" t="str">
        <f t="shared" si="4"/>
        <v/>
      </c>
      <c r="K313" s="54"/>
    </row>
    <row r="314" spans="1:11" x14ac:dyDescent="0.25">
      <c r="A314" s="53">
        <v>2140110088</v>
      </c>
      <c r="B314" s="53" t="s">
        <v>551</v>
      </c>
      <c r="C314" s="53"/>
      <c r="D314" s="53" t="s">
        <v>287</v>
      </c>
      <c r="E314" s="53" t="s">
        <v>378</v>
      </c>
      <c r="F314" s="53"/>
      <c r="G314" s="53"/>
      <c r="H314" s="53"/>
      <c r="I314" s="53"/>
      <c r="J314" t="str">
        <f t="shared" si="4"/>
        <v/>
      </c>
      <c r="K314" s="54"/>
    </row>
    <row r="315" spans="1:11" x14ac:dyDescent="0.25">
      <c r="A315" s="53">
        <v>2140110090</v>
      </c>
      <c r="B315" s="53" t="s">
        <v>552</v>
      </c>
      <c r="C315" s="53"/>
      <c r="D315" s="53" t="s">
        <v>287</v>
      </c>
      <c r="E315" s="53" t="s">
        <v>378</v>
      </c>
      <c r="F315" s="53"/>
      <c r="G315" s="53"/>
      <c r="H315" s="53"/>
      <c r="I315" s="53"/>
      <c r="J315" t="str">
        <f t="shared" si="4"/>
        <v/>
      </c>
      <c r="K315" s="54"/>
    </row>
    <row r="316" spans="1:11" x14ac:dyDescent="0.25">
      <c r="A316" s="53">
        <v>2140110092</v>
      </c>
      <c r="B316" s="53" t="s">
        <v>553</v>
      </c>
      <c r="C316" s="53"/>
      <c r="D316" s="53" t="s">
        <v>287</v>
      </c>
      <c r="E316" s="53" t="s">
        <v>378</v>
      </c>
      <c r="F316" s="53"/>
      <c r="G316" s="53"/>
      <c r="H316" s="53"/>
      <c r="I316" s="53"/>
      <c r="J316" t="str">
        <f t="shared" si="4"/>
        <v/>
      </c>
      <c r="K316" s="54"/>
    </row>
    <row r="317" spans="1:11" x14ac:dyDescent="0.25">
      <c r="A317" s="53">
        <v>2140110093</v>
      </c>
      <c r="B317" s="53" t="s">
        <v>554</v>
      </c>
      <c r="C317" s="53"/>
      <c r="D317" s="53" t="s">
        <v>287</v>
      </c>
      <c r="E317" s="53" t="s">
        <v>378</v>
      </c>
      <c r="F317" s="53"/>
      <c r="G317" s="53"/>
      <c r="H317" s="53"/>
      <c r="I317" s="53"/>
      <c r="J317" t="str">
        <f t="shared" si="4"/>
        <v/>
      </c>
      <c r="K317" s="54"/>
    </row>
    <row r="318" spans="1:11" x14ac:dyDescent="0.25">
      <c r="A318" s="53">
        <v>2140110094</v>
      </c>
      <c r="B318" s="53" t="s">
        <v>555</v>
      </c>
      <c r="C318" s="53"/>
      <c r="D318" s="53" t="s">
        <v>287</v>
      </c>
      <c r="E318" s="53" t="s">
        <v>378</v>
      </c>
      <c r="F318" s="53"/>
      <c r="G318" s="53"/>
      <c r="H318" s="53"/>
      <c r="I318" s="53"/>
      <c r="J318" t="str">
        <f t="shared" si="4"/>
        <v/>
      </c>
      <c r="K318" s="54"/>
    </row>
    <row r="319" spans="1:11" x14ac:dyDescent="0.25">
      <c r="A319" s="53">
        <v>2140110095</v>
      </c>
      <c r="B319" s="53" t="s">
        <v>556</v>
      </c>
      <c r="C319" s="53"/>
      <c r="D319" s="53" t="s">
        <v>287</v>
      </c>
      <c r="E319" s="53" t="s">
        <v>378</v>
      </c>
      <c r="F319" s="53"/>
      <c r="G319" s="53"/>
      <c r="H319" s="53"/>
      <c r="I319" s="53"/>
      <c r="J319" t="str">
        <f t="shared" si="4"/>
        <v/>
      </c>
      <c r="K319" s="54"/>
    </row>
    <row r="320" spans="1:11" x14ac:dyDescent="0.25">
      <c r="A320" s="53">
        <v>2140110096</v>
      </c>
      <c r="B320" s="53" t="s">
        <v>557</v>
      </c>
      <c r="C320" s="53"/>
      <c r="D320" s="53" t="s">
        <v>287</v>
      </c>
      <c r="E320" s="53" t="s">
        <v>378</v>
      </c>
      <c r="F320" s="53"/>
      <c r="G320" s="53"/>
      <c r="H320" s="53"/>
      <c r="I320" s="53"/>
      <c r="J320" t="str">
        <f t="shared" si="4"/>
        <v/>
      </c>
      <c r="K320" s="54"/>
    </row>
    <row r="321" spans="1:11" x14ac:dyDescent="0.25">
      <c r="A321" s="53">
        <v>2140110109</v>
      </c>
      <c r="B321" s="53" t="s">
        <v>558</v>
      </c>
      <c r="C321" s="53"/>
      <c r="D321" s="53" t="s">
        <v>287</v>
      </c>
      <c r="E321" s="53" t="s">
        <v>378</v>
      </c>
      <c r="F321" s="53"/>
      <c r="G321" s="53"/>
      <c r="H321" s="53"/>
      <c r="I321" s="53"/>
      <c r="J321" t="str">
        <f t="shared" si="4"/>
        <v/>
      </c>
      <c r="K321" s="54"/>
    </row>
    <row r="322" spans="1:11" x14ac:dyDescent="0.25">
      <c r="A322" s="53">
        <v>2140110110</v>
      </c>
      <c r="B322" s="53" t="s">
        <v>559</v>
      </c>
      <c r="C322" s="53"/>
      <c r="D322" s="53" t="s">
        <v>287</v>
      </c>
      <c r="E322" s="53" t="s">
        <v>378</v>
      </c>
      <c r="F322" s="53"/>
      <c r="G322" s="53"/>
      <c r="H322" s="53"/>
      <c r="I322" s="53"/>
      <c r="J322" t="str">
        <f t="shared" ref="J322:J385" si="5">IF(COUNT(F322:I322)=4,ROUND(G322/1000*H322/100*I322/100*F322/3,4),"")</f>
        <v/>
      </c>
      <c r="K322" s="54"/>
    </row>
    <row r="323" spans="1:11" x14ac:dyDescent="0.25">
      <c r="A323" s="53">
        <v>2140110112</v>
      </c>
      <c r="B323" s="53" t="s">
        <v>560</v>
      </c>
      <c r="C323" s="53"/>
      <c r="D323" s="53" t="s">
        <v>287</v>
      </c>
      <c r="E323" s="53" t="s">
        <v>378</v>
      </c>
      <c r="F323" s="53"/>
      <c r="G323" s="53"/>
      <c r="H323" s="53"/>
      <c r="I323" s="53"/>
      <c r="J323" t="str">
        <f t="shared" si="5"/>
        <v/>
      </c>
      <c r="K323" s="54"/>
    </row>
    <row r="324" spans="1:11" x14ac:dyDescent="0.25">
      <c r="A324" s="53">
        <v>2140110115</v>
      </c>
      <c r="B324" s="53" t="s">
        <v>561</v>
      </c>
      <c r="C324" s="53"/>
      <c r="D324" s="53" t="s">
        <v>287</v>
      </c>
      <c r="E324" s="53" t="s">
        <v>378</v>
      </c>
      <c r="F324" s="53"/>
      <c r="G324" s="53"/>
      <c r="H324" s="53"/>
      <c r="I324" s="53"/>
      <c r="J324" t="str">
        <f t="shared" si="5"/>
        <v/>
      </c>
      <c r="K324" s="54"/>
    </row>
    <row r="325" spans="1:11" x14ac:dyDescent="0.25">
      <c r="A325" s="53">
        <v>2140110116</v>
      </c>
      <c r="B325" s="53" t="s">
        <v>562</v>
      </c>
      <c r="C325" s="53"/>
      <c r="D325" s="53" t="s">
        <v>287</v>
      </c>
      <c r="E325" s="53" t="s">
        <v>378</v>
      </c>
      <c r="F325" s="53"/>
      <c r="G325" s="53"/>
      <c r="H325" s="53"/>
      <c r="I325" s="53"/>
      <c r="J325" t="str">
        <f t="shared" si="5"/>
        <v/>
      </c>
      <c r="K325" s="54"/>
    </row>
    <row r="326" spans="1:11" x14ac:dyDescent="0.25">
      <c r="A326" s="53">
        <v>2140110117</v>
      </c>
      <c r="B326" s="53" t="s">
        <v>563</v>
      </c>
      <c r="C326" s="53"/>
      <c r="D326" s="53" t="s">
        <v>287</v>
      </c>
      <c r="E326" s="53" t="s">
        <v>378</v>
      </c>
      <c r="F326" s="53"/>
      <c r="G326" s="53"/>
      <c r="H326" s="53"/>
      <c r="I326" s="53"/>
      <c r="J326" t="str">
        <f t="shared" si="5"/>
        <v/>
      </c>
      <c r="K326" s="54"/>
    </row>
    <row r="327" spans="1:11" x14ac:dyDescent="0.25">
      <c r="A327" s="53">
        <v>2140110127</v>
      </c>
      <c r="B327" s="53" t="s">
        <v>564</v>
      </c>
      <c r="C327" s="53"/>
      <c r="D327" s="53" t="s">
        <v>287</v>
      </c>
      <c r="E327" s="53" t="s">
        <v>378</v>
      </c>
      <c r="F327" s="53"/>
      <c r="G327" s="53"/>
      <c r="H327" s="53"/>
      <c r="I327" s="53"/>
      <c r="J327" t="str">
        <f t="shared" si="5"/>
        <v/>
      </c>
      <c r="K327" s="54"/>
    </row>
    <row r="328" spans="1:11" x14ac:dyDescent="0.25">
      <c r="A328" s="53">
        <v>2140110129</v>
      </c>
      <c r="B328" s="53" t="s">
        <v>565</v>
      </c>
      <c r="C328" s="53"/>
      <c r="D328" s="53" t="s">
        <v>287</v>
      </c>
      <c r="E328" s="53" t="s">
        <v>378</v>
      </c>
      <c r="F328" s="53"/>
      <c r="G328" s="53"/>
      <c r="H328" s="53"/>
      <c r="I328" s="53"/>
      <c r="J328" t="str">
        <f t="shared" si="5"/>
        <v/>
      </c>
      <c r="K328" s="54"/>
    </row>
    <row r="329" spans="1:11" x14ac:dyDescent="0.25">
      <c r="A329" s="53">
        <v>2140110142</v>
      </c>
      <c r="B329" s="53" t="s">
        <v>566</v>
      </c>
      <c r="C329" s="53"/>
      <c r="D329" s="53" t="s">
        <v>287</v>
      </c>
      <c r="E329" s="53" t="s">
        <v>378</v>
      </c>
      <c r="F329" s="53"/>
      <c r="G329" s="53"/>
      <c r="H329" s="53"/>
      <c r="I329" s="53"/>
      <c r="J329" t="str">
        <f t="shared" si="5"/>
        <v/>
      </c>
      <c r="K329" s="54"/>
    </row>
    <row r="330" spans="1:11" x14ac:dyDescent="0.25">
      <c r="A330" s="53">
        <v>2140110143</v>
      </c>
      <c r="B330" s="53" t="s">
        <v>567</v>
      </c>
      <c r="C330" s="53"/>
      <c r="D330" s="53" t="s">
        <v>287</v>
      </c>
      <c r="E330" s="53" t="s">
        <v>378</v>
      </c>
      <c r="F330" s="53"/>
      <c r="G330" s="53"/>
      <c r="H330" s="53"/>
      <c r="I330" s="53"/>
      <c r="J330" t="str">
        <f t="shared" si="5"/>
        <v/>
      </c>
      <c r="K330" s="54"/>
    </row>
    <row r="331" spans="1:11" x14ac:dyDescent="0.25">
      <c r="A331" s="53">
        <v>2140110144</v>
      </c>
      <c r="B331" s="53" t="s">
        <v>568</v>
      </c>
      <c r="C331" s="53"/>
      <c r="D331" s="53" t="s">
        <v>287</v>
      </c>
      <c r="E331" s="53" t="s">
        <v>378</v>
      </c>
      <c r="F331" s="53"/>
      <c r="G331" s="53"/>
      <c r="H331" s="53"/>
      <c r="I331" s="53"/>
      <c r="J331" t="str">
        <f t="shared" si="5"/>
        <v/>
      </c>
      <c r="K331" s="54"/>
    </row>
    <row r="332" spans="1:11" x14ac:dyDescent="0.25">
      <c r="A332" s="53">
        <v>2140110145</v>
      </c>
      <c r="B332" s="53" t="s">
        <v>569</v>
      </c>
      <c r="C332" s="53"/>
      <c r="D332" s="53" t="s">
        <v>287</v>
      </c>
      <c r="E332" s="53" t="s">
        <v>378</v>
      </c>
      <c r="F332" s="53"/>
      <c r="G332" s="53"/>
      <c r="H332" s="53"/>
      <c r="I332" s="53"/>
      <c r="J332" t="str">
        <f t="shared" si="5"/>
        <v/>
      </c>
      <c r="K332" s="54"/>
    </row>
    <row r="333" spans="1:11" x14ac:dyDescent="0.25">
      <c r="A333" s="53">
        <v>2140110146</v>
      </c>
      <c r="B333" s="53" t="s">
        <v>570</v>
      </c>
      <c r="C333" s="53"/>
      <c r="D333" s="53" t="s">
        <v>287</v>
      </c>
      <c r="E333" s="53" t="s">
        <v>378</v>
      </c>
      <c r="F333" s="53"/>
      <c r="G333" s="53"/>
      <c r="H333" s="53"/>
      <c r="I333" s="53"/>
      <c r="J333" t="str">
        <f t="shared" si="5"/>
        <v/>
      </c>
      <c r="K333" s="54"/>
    </row>
    <row r="334" spans="1:11" x14ac:dyDescent="0.25">
      <c r="A334" s="53">
        <v>2140110147</v>
      </c>
      <c r="B334" s="53" t="s">
        <v>571</v>
      </c>
      <c r="C334" s="53"/>
      <c r="D334" s="53" t="s">
        <v>287</v>
      </c>
      <c r="E334" s="53" t="s">
        <v>378</v>
      </c>
      <c r="F334" s="53"/>
      <c r="G334" s="53"/>
      <c r="H334" s="53"/>
      <c r="I334" s="53"/>
      <c r="J334" t="str">
        <f t="shared" si="5"/>
        <v/>
      </c>
      <c r="K334" s="54"/>
    </row>
    <row r="335" spans="1:11" x14ac:dyDescent="0.25">
      <c r="A335" s="53">
        <v>2140110148</v>
      </c>
      <c r="B335" s="53" t="s">
        <v>572</v>
      </c>
      <c r="C335" s="53"/>
      <c r="D335" s="53" t="s">
        <v>287</v>
      </c>
      <c r="E335" s="53" t="s">
        <v>378</v>
      </c>
      <c r="F335" s="53"/>
      <c r="G335" s="53"/>
      <c r="H335" s="53"/>
      <c r="I335" s="53"/>
      <c r="J335" t="str">
        <f t="shared" si="5"/>
        <v/>
      </c>
      <c r="K335" s="54"/>
    </row>
    <row r="336" spans="1:11" x14ac:dyDescent="0.25">
      <c r="A336" s="53">
        <v>2140110149</v>
      </c>
      <c r="B336" s="53" t="s">
        <v>573</v>
      </c>
      <c r="C336" s="53"/>
      <c r="D336" s="53" t="s">
        <v>287</v>
      </c>
      <c r="E336" s="53" t="s">
        <v>378</v>
      </c>
      <c r="F336" s="53"/>
      <c r="G336" s="53"/>
      <c r="H336" s="53"/>
      <c r="I336" s="53"/>
      <c r="J336" t="str">
        <f t="shared" si="5"/>
        <v/>
      </c>
      <c r="K336" s="54"/>
    </row>
    <row r="337" spans="1:11" x14ac:dyDescent="0.25">
      <c r="A337" s="53">
        <v>2140110150</v>
      </c>
      <c r="B337" s="53" t="s">
        <v>574</v>
      </c>
      <c r="C337" s="53"/>
      <c r="D337" s="53" t="s">
        <v>287</v>
      </c>
      <c r="E337" s="53" t="s">
        <v>378</v>
      </c>
      <c r="F337" s="53"/>
      <c r="G337" s="53"/>
      <c r="H337" s="53"/>
      <c r="I337" s="53"/>
      <c r="J337" t="str">
        <f t="shared" si="5"/>
        <v/>
      </c>
      <c r="K337" s="54"/>
    </row>
    <row r="338" spans="1:11" x14ac:dyDescent="0.25">
      <c r="A338" s="53">
        <v>2140110152</v>
      </c>
      <c r="B338" s="53" t="s">
        <v>575</v>
      </c>
      <c r="C338" s="53"/>
      <c r="D338" s="53" t="s">
        <v>287</v>
      </c>
      <c r="E338" s="53" t="s">
        <v>378</v>
      </c>
      <c r="F338" s="53"/>
      <c r="G338" s="53"/>
      <c r="H338" s="53"/>
      <c r="I338" s="53"/>
      <c r="J338" t="str">
        <f t="shared" si="5"/>
        <v/>
      </c>
      <c r="K338" s="54"/>
    </row>
    <row r="339" spans="1:11" x14ac:dyDescent="0.25">
      <c r="A339" s="53">
        <v>2140110156</v>
      </c>
      <c r="B339" s="53" t="s">
        <v>576</v>
      </c>
      <c r="C339" s="53"/>
      <c r="D339" s="53" t="s">
        <v>287</v>
      </c>
      <c r="E339" s="53" t="s">
        <v>378</v>
      </c>
      <c r="F339" s="53"/>
      <c r="G339" s="53"/>
      <c r="H339" s="53"/>
      <c r="I339" s="53"/>
      <c r="J339" t="str">
        <f t="shared" si="5"/>
        <v/>
      </c>
      <c r="K339" s="54"/>
    </row>
    <row r="340" spans="1:11" x14ac:dyDescent="0.25">
      <c r="A340" s="53">
        <v>2140110157</v>
      </c>
      <c r="B340" s="53" t="s">
        <v>577</v>
      </c>
      <c r="C340" s="53"/>
      <c r="D340" s="53" t="s">
        <v>287</v>
      </c>
      <c r="E340" s="53" t="s">
        <v>378</v>
      </c>
      <c r="F340" s="53"/>
      <c r="G340" s="53"/>
      <c r="H340" s="53"/>
      <c r="I340" s="53"/>
      <c r="J340" t="str">
        <f t="shared" si="5"/>
        <v/>
      </c>
      <c r="K340" s="54"/>
    </row>
    <row r="341" spans="1:11" x14ac:dyDescent="0.25">
      <c r="A341" s="53">
        <v>2140110163</v>
      </c>
      <c r="B341" s="53" t="s">
        <v>578</v>
      </c>
      <c r="C341" s="53"/>
      <c r="D341" s="53" t="s">
        <v>287</v>
      </c>
      <c r="E341" s="53" t="s">
        <v>378</v>
      </c>
      <c r="F341" s="53"/>
      <c r="G341" s="53"/>
      <c r="H341" s="53"/>
      <c r="I341" s="53"/>
      <c r="J341" t="str">
        <f t="shared" si="5"/>
        <v/>
      </c>
      <c r="K341" s="54"/>
    </row>
    <row r="342" spans="1:11" x14ac:dyDescent="0.25">
      <c r="A342" s="53">
        <v>2140110164</v>
      </c>
      <c r="B342" s="53" t="s">
        <v>579</v>
      </c>
      <c r="C342" s="53"/>
      <c r="D342" s="53" t="s">
        <v>287</v>
      </c>
      <c r="E342" s="53" t="s">
        <v>378</v>
      </c>
      <c r="F342" s="53"/>
      <c r="G342" s="53"/>
      <c r="H342" s="53"/>
      <c r="I342" s="53"/>
      <c r="J342" t="str">
        <f t="shared" si="5"/>
        <v/>
      </c>
      <c r="K342" s="54"/>
    </row>
    <row r="343" spans="1:11" x14ac:dyDescent="0.25">
      <c r="A343" s="53">
        <v>2140110165</v>
      </c>
      <c r="B343" s="53" t="s">
        <v>580</v>
      </c>
      <c r="C343" s="53"/>
      <c r="D343" s="53" t="s">
        <v>287</v>
      </c>
      <c r="E343" s="53" t="s">
        <v>378</v>
      </c>
      <c r="F343" s="53"/>
      <c r="G343" s="53"/>
      <c r="H343" s="53"/>
      <c r="I343" s="53"/>
      <c r="J343" t="str">
        <f t="shared" si="5"/>
        <v/>
      </c>
      <c r="K343" s="54"/>
    </row>
    <row r="344" spans="1:11" x14ac:dyDescent="0.25">
      <c r="A344" s="53">
        <v>2140110166</v>
      </c>
      <c r="B344" s="53" t="s">
        <v>581</v>
      </c>
      <c r="C344" s="53"/>
      <c r="D344" s="53" t="s">
        <v>287</v>
      </c>
      <c r="E344" s="53" t="s">
        <v>378</v>
      </c>
      <c r="F344" s="53"/>
      <c r="G344" s="53"/>
      <c r="H344" s="53"/>
      <c r="I344" s="53"/>
      <c r="J344" t="str">
        <f t="shared" si="5"/>
        <v/>
      </c>
      <c r="K344" s="54"/>
    </row>
    <row r="345" spans="1:11" x14ac:dyDescent="0.25">
      <c r="A345" s="53">
        <v>2140110170</v>
      </c>
      <c r="B345" s="53" t="s">
        <v>582</v>
      </c>
      <c r="C345" s="53"/>
      <c r="D345" s="53" t="s">
        <v>287</v>
      </c>
      <c r="E345" s="53" t="s">
        <v>378</v>
      </c>
      <c r="F345" s="53"/>
      <c r="G345" s="53"/>
      <c r="H345" s="53"/>
      <c r="I345" s="53"/>
      <c r="J345" t="str">
        <f t="shared" si="5"/>
        <v/>
      </c>
      <c r="K345" s="54"/>
    </row>
    <row r="346" spans="1:11" x14ac:dyDescent="0.25">
      <c r="A346" s="53">
        <v>2140110171</v>
      </c>
      <c r="B346" s="53" t="s">
        <v>583</v>
      </c>
      <c r="C346" s="53"/>
      <c r="D346" s="53" t="s">
        <v>287</v>
      </c>
      <c r="E346" s="53" t="s">
        <v>378</v>
      </c>
      <c r="F346" s="53"/>
      <c r="G346" s="53"/>
      <c r="H346" s="53"/>
      <c r="I346" s="53"/>
      <c r="J346" t="str">
        <f t="shared" si="5"/>
        <v/>
      </c>
      <c r="K346" s="54"/>
    </row>
    <row r="347" spans="1:11" x14ac:dyDescent="0.25">
      <c r="A347" s="53">
        <v>2140110173</v>
      </c>
      <c r="B347" s="53" t="s">
        <v>584</v>
      </c>
      <c r="C347" s="53"/>
      <c r="D347" s="53" t="s">
        <v>287</v>
      </c>
      <c r="E347" s="53" t="s">
        <v>378</v>
      </c>
      <c r="F347" s="53"/>
      <c r="G347" s="53"/>
      <c r="H347" s="53"/>
      <c r="I347" s="53"/>
      <c r="J347" t="str">
        <f t="shared" si="5"/>
        <v/>
      </c>
      <c r="K347" s="54"/>
    </row>
    <row r="348" spans="1:11" x14ac:dyDescent="0.25">
      <c r="A348" s="53">
        <v>2140110176</v>
      </c>
      <c r="B348" s="53" t="s">
        <v>585</v>
      </c>
      <c r="C348" s="53"/>
      <c r="D348" s="53" t="s">
        <v>287</v>
      </c>
      <c r="E348" s="53" t="s">
        <v>378</v>
      </c>
      <c r="F348" s="53"/>
      <c r="G348" s="53"/>
      <c r="H348" s="53"/>
      <c r="I348" s="53"/>
      <c r="J348" t="str">
        <f t="shared" si="5"/>
        <v/>
      </c>
      <c r="K348" s="54"/>
    </row>
    <row r="349" spans="1:11" x14ac:dyDescent="0.25">
      <c r="A349" s="53">
        <v>2140110177</v>
      </c>
      <c r="B349" s="53" t="s">
        <v>586</v>
      </c>
      <c r="C349" s="53"/>
      <c r="D349" s="53" t="s">
        <v>287</v>
      </c>
      <c r="E349" s="53" t="s">
        <v>378</v>
      </c>
      <c r="F349" s="53"/>
      <c r="G349" s="53"/>
      <c r="H349" s="53"/>
      <c r="I349" s="53"/>
      <c r="J349" t="str">
        <f t="shared" si="5"/>
        <v/>
      </c>
      <c r="K349" s="54"/>
    </row>
    <row r="350" spans="1:11" x14ac:dyDescent="0.25">
      <c r="A350" s="53">
        <v>2140110178</v>
      </c>
      <c r="B350" s="53" t="s">
        <v>587</v>
      </c>
      <c r="C350" s="53"/>
      <c r="D350" s="53" t="s">
        <v>287</v>
      </c>
      <c r="E350" s="53" t="s">
        <v>378</v>
      </c>
      <c r="F350" s="53"/>
      <c r="G350" s="53"/>
      <c r="H350" s="53"/>
      <c r="I350" s="53"/>
      <c r="J350" t="str">
        <f t="shared" si="5"/>
        <v/>
      </c>
      <c r="K350" s="54"/>
    </row>
    <row r="351" spans="1:11" x14ac:dyDescent="0.25">
      <c r="A351" s="53">
        <v>2140110179</v>
      </c>
      <c r="B351" s="53" t="s">
        <v>588</v>
      </c>
      <c r="C351" s="53"/>
      <c r="D351" s="53" t="s">
        <v>287</v>
      </c>
      <c r="E351" s="53" t="s">
        <v>378</v>
      </c>
      <c r="F351" s="53"/>
      <c r="G351" s="53"/>
      <c r="H351" s="53"/>
      <c r="I351" s="53"/>
      <c r="J351" t="str">
        <f t="shared" si="5"/>
        <v/>
      </c>
      <c r="K351" s="54"/>
    </row>
    <row r="352" spans="1:11" x14ac:dyDescent="0.25">
      <c r="A352" s="53">
        <v>2140110184</v>
      </c>
      <c r="B352" s="53" t="s">
        <v>589</v>
      </c>
      <c r="C352" s="53"/>
      <c r="D352" s="53" t="s">
        <v>287</v>
      </c>
      <c r="E352" s="53" t="s">
        <v>378</v>
      </c>
      <c r="F352" s="53"/>
      <c r="G352" s="53"/>
      <c r="H352" s="53"/>
      <c r="I352" s="53"/>
      <c r="J352" t="str">
        <f t="shared" si="5"/>
        <v/>
      </c>
      <c r="K352" s="54"/>
    </row>
    <row r="353" spans="1:11" x14ac:dyDescent="0.25">
      <c r="A353" s="53">
        <v>2140110185</v>
      </c>
      <c r="B353" s="53" t="s">
        <v>590</v>
      </c>
      <c r="C353" s="53"/>
      <c r="D353" s="53" t="s">
        <v>287</v>
      </c>
      <c r="E353" s="53" t="s">
        <v>378</v>
      </c>
      <c r="F353" s="53"/>
      <c r="G353" s="53"/>
      <c r="H353" s="53"/>
      <c r="I353" s="53"/>
      <c r="J353" t="str">
        <f t="shared" si="5"/>
        <v/>
      </c>
      <c r="K353" s="54"/>
    </row>
    <row r="354" spans="1:11" x14ac:dyDescent="0.25">
      <c r="A354" s="53">
        <v>2140110186</v>
      </c>
      <c r="B354" s="53" t="s">
        <v>591</v>
      </c>
      <c r="C354" s="53"/>
      <c r="D354" s="53" t="s">
        <v>287</v>
      </c>
      <c r="E354" s="53" t="s">
        <v>378</v>
      </c>
      <c r="F354" s="53"/>
      <c r="G354" s="53"/>
      <c r="H354" s="53"/>
      <c r="I354" s="53"/>
      <c r="J354" t="str">
        <f t="shared" si="5"/>
        <v/>
      </c>
      <c r="K354" s="54"/>
    </row>
    <row r="355" spans="1:11" x14ac:dyDescent="0.25">
      <c r="A355" s="53">
        <v>2140110188</v>
      </c>
      <c r="B355" s="53" t="s">
        <v>592</v>
      </c>
      <c r="C355" s="53"/>
      <c r="D355" s="53" t="s">
        <v>287</v>
      </c>
      <c r="E355" s="53" t="s">
        <v>378</v>
      </c>
      <c r="F355" s="53"/>
      <c r="G355" s="53"/>
      <c r="H355" s="53"/>
      <c r="I355" s="53"/>
      <c r="J355" t="str">
        <f t="shared" si="5"/>
        <v/>
      </c>
      <c r="K355" s="54"/>
    </row>
    <row r="356" spans="1:11" x14ac:dyDescent="0.25">
      <c r="A356" s="53">
        <v>2140110189</v>
      </c>
      <c r="B356" s="53" t="s">
        <v>593</v>
      </c>
      <c r="C356" s="53"/>
      <c r="D356" s="53" t="s">
        <v>287</v>
      </c>
      <c r="E356" s="53" t="s">
        <v>378</v>
      </c>
      <c r="F356" s="53"/>
      <c r="G356" s="53"/>
      <c r="H356" s="53"/>
      <c r="I356" s="53"/>
      <c r="J356" t="str">
        <f t="shared" si="5"/>
        <v/>
      </c>
      <c r="K356" s="54"/>
    </row>
    <row r="357" spans="1:11" x14ac:dyDescent="0.25">
      <c r="A357" s="53">
        <v>2140110190</v>
      </c>
      <c r="B357" s="53" t="s">
        <v>594</v>
      </c>
      <c r="C357" s="53"/>
      <c r="D357" s="53" t="s">
        <v>287</v>
      </c>
      <c r="E357" s="53" t="s">
        <v>378</v>
      </c>
      <c r="F357" s="53"/>
      <c r="G357" s="53"/>
      <c r="H357" s="53"/>
      <c r="I357" s="53"/>
      <c r="J357" t="str">
        <f t="shared" si="5"/>
        <v/>
      </c>
      <c r="K357" s="54"/>
    </row>
    <row r="358" spans="1:11" x14ac:dyDescent="0.25">
      <c r="A358" s="53">
        <v>2140110191</v>
      </c>
      <c r="B358" s="53" t="s">
        <v>595</v>
      </c>
      <c r="C358" s="53"/>
      <c r="D358" s="53" t="s">
        <v>287</v>
      </c>
      <c r="E358" s="53" t="s">
        <v>378</v>
      </c>
      <c r="F358" s="53"/>
      <c r="G358" s="53"/>
      <c r="H358" s="53"/>
      <c r="I358" s="53"/>
      <c r="J358" t="str">
        <f t="shared" si="5"/>
        <v/>
      </c>
      <c r="K358" s="54"/>
    </row>
    <row r="359" spans="1:11" x14ac:dyDescent="0.25">
      <c r="A359" s="53">
        <v>2140110192</v>
      </c>
      <c r="B359" s="53" t="s">
        <v>596</v>
      </c>
      <c r="C359" s="53"/>
      <c r="D359" s="53" t="s">
        <v>287</v>
      </c>
      <c r="E359" s="53" t="s">
        <v>378</v>
      </c>
      <c r="F359" s="53"/>
      <c r="G359" s="53"/>
      <c r="H359" s="53"/>
      <c r="I359" s="53"/>
      <c r="J359" t="str">
        <f t="shared" si="5"/>
        <v/>
      </c>
      <c r="K359" s="54"/>
    </row>
    <row r="360" spans="1:11" x14ac:dyDescent="0.25">
      <c r="A360" s="53">
        <v>2140110199</v>
      </c>
      <c r="B360" s="53" t="s">
        <v>597</v>
      </c>
      <c r="C360" s="53"/>
      <c r="D360" s="53" t="s">
        <v>287</v>
      </c>
      <c r="E360" s="53" t="s">
        <v>378</v>
      </c>
      <c r="F360" s="53"/>
      <c r="G360" s="53"/>
      <c r="H360" s="53"/>
      <c r="I360" s="53"/>
      <c r="J360" t="str">
        <f t="shared" si="5"/>
        <v/>
      </c>
      <c r="K360" s="54"/>
    </row>
    <row r="361" spans="1:11" x14ac:dyDescent="0.25">
      <c r="A361" s="53">
        <v>2140110200</v>
      </c>
      <c r="B361" s="53" t="s">
        <v>598</v>
      </c>
      <c r="C361" s="53"/>
      <c r="D361" s="53" t="s">
        <v>287</v>
      </c>
      <c r="E361" s="53" t="s">
        <v>378</v>
      </c>
      <c r="F361" s="53"/>
      <c r="G361" s="53"/>
      <c r="H361" s="53"/>
      <c r="I361" s="53"/>
      <c r="J361" t="str">
        <f t="shared" si="5"/>
        <v/>
      </c>
      <c r="K361" s="54"/>
    </row>
    <row r="362" spans="1:11" x14ac:dyDescent="0.25">
      <c r="A362" s="53">
        <v>2140110201</v>
      </c>
      <c r="B362" s="53" t="s">
        <v>599</v>
      </c>
      <c r="C362" s="53"/>
      <c r="D362" s="53" t="s">
        <v>287</v>
      </c>
      <c r="E362" s="53" t="s">
        <v>378</v>
      </c>
      <c r="F362" s="53"/>
      <c r="G362" s="53"/>
      <c r="H362" s="53"/>
      <c r="I362" s="53"/>
      <c r="J362" t="str">
        <f t="shared" si="5"/>
        <v/>
      </c>
      <c r="K362" s="54"/>
    </row>
    <row r="363" spans="1:11" x14ac:dyDescent="0.25">
      <c r="A363" s="53">
        <v>2140110202</v>
      </c>
      <c r="B363" s="53" t="s">
        <v>600</v>
      </c>
      <c r="C363" s="53"/>
      <c r="D363" s="53" t="s">
        <v>287</v>
      </c>
      <c r="E363" s="53" t="s">
        <v>378</v>
      </c>
      <c r="F363" s="53"/>
      <c r="G363" s="53"/>
      <c r="H363" s="53"/>
      <c r="I363" s="53"/>
      <c r="J363" t="str">
        <f t="shared" si="5"/>
        <v/>
      </c>
      <c r="K363" s="54"/>
    </row>
    <row r="364" spans="1:11" x14ac:dyDescent="0.25">
      <c r="A364" s="53">
        <v>2140110203</v>
      </c>
      <c r="B364" s="53" t="s">
        <v>601</v>
      </c>
      <c r="C364" s="53"/>
      <c r="D364" s="53" t="s">
        <v>287</v>
      </c>
      <c r="E364" s="53" t="s">
        <v>378</v>
      </c>
      <c r="F364" s="53"/>
      <c r="G364" s="53"/>
      <c r="H364" s="53"/>
      <c r="I364" s="53"/>
      <c r="J364" t="str">
        <f t="shared" si="5"/>
        <v/>
      </c>
      <c r="K364" s="54"/>
    </row>
    <row r="365" spans="1:11" x14ac:dyDescent="0.25">
      <c r="A365" s="53">
        <v>2140110204</v>
      </c>
      <c r="B365" s="53" t="s">
        <v>602</v>
      </c>
      <c r="C365" s="53"/>
      <c r="D365" s="53" t="s">
        <v>287</v>
      </c>
      <c r="E365" s="53" t="s">
        <v>378</v>
      </c>
      <c r="F365" s="53"/>
      <c r="G365" s="53"/>
      <c r="H365" s="53"/>
      <c r="I365" s="53"/>
      <c r="J365" t="str">
        <f t="shared" si="5"/>
        <v/>
      </c>
      <c r="K365" s="54"/>
    </row>
    <row r="366" spans="1:11" x14ac:dyDescent="0.25">
      <c r="A366" s="53">
        <v>2140110205</v>
      </c>
      <c r="B366" s="53" t="s">
        <v>603</v>
      </c>
      <c r="C366" s="53"/>
      <c r="D366" s="53" t="s">
        <v>287</v>
      </c>
      <c r="E366" s="53" t="s">
        <v>378</v>
      </c>
      <c r="F366" s="53"/>
      <c r="G366" s="53"/>
      <c r="H366" s="53"/>
      <c r="I366" s="53"/>
      <c r="J366" t="str">
        <f t="shared" si="5"/>
        <v/>
      </c>
      <c r="K366" s="54"/>
    </row>
    <row r="367" spans="1:11" x14ac:dyDescent="0.25">
      <c r="A367" s="53">
        <v>2140110210</v>
      </c>
      <c r="B367" s="53" t="s">
        <v>604</v>
      </c>
      <c r="C367" s="53"/>
      <c r="D367" s="53" t="s">
        <v>287</v>
      </c>
      <c r="E367" s="53" t="s">
        <v>378</v>
      </c>
      <c r="F367" s="53"/>
      <c r="G367" s="53"/>
      <c r="H367" s="53"/>
      <c r="I367" s="53"/>
      <c r="J367" t="str">
        <f t="shared" si="5"/>
        <v/>
      </c>
      <c r="K367" s="54"/>
    </row>
    <row r="368" spans="1:11" x14ac:dyDescent="0.25">
      <c r="A368" s="53">
        <v>2140110212</v>
      </c>
      <c r="B368" s="53" t="s">
        <v>605</v>
      </c>
      <c r="C368" s="53"/>
      <c r="D368" s="53" t="s">
        <v>287</v>
      </c>
      <c r="E368" s="53" t="s">
        <v>378</v>
      </c>
      <c r="F368" s="53"/>
      <c r="G368" s="53"/>
      <c r="H368" s="53"/>
      <c r="I368" s="53"/>
      <c r="J368" t="str">
        <f t="shared" si="5"/>
        <v/>
      </c>
      <c r="K368" s="54"/>
    </row>
    <row r="369" spans="1:11" x14ac:dyDescent="0.25">
      <c r="A369" s="53">
        <v>2140110213</v>
      </c>
      <c r="B369" s="53" t="s">
        <v>606</v>
      </c>
      <c r="C369" s="53"/>
      <c r="D369" s="53" t="s">
        <v>287</v>
      </c>
      <c r="E369" s="53" t="s">
        <v>378</v>
      </c>
      <c r="F369" s="53"/>
      <c r="G369" s="53"/>
      <c r="H369" s="53"/>
      <c r="I369" s="53"/>
      <c r="J369" t="str">
        <f t="shared" si="5"/>
        <v/>
      </c>
      <c r="K369" s="54"/>
    </row>
    <row r="370" spans="1:11" x14ac:dyDescent="0.25">
      <c r="A370" s="53">
        <v>2140110214</v>
      </c>
      <c r="B370" s="53" t="s">
        <v>607</v>
      </c>
      <c r="C370" s="53"/>
      <c r="D370" s="53" t="s">
        <v>287</v>
      </c>
      <c r="E370" s="53" t="s">
        <v>378</v>
      </c>
      <c r="F370" s="53"/>
      <c r="G370" s="53"/>
      <c r="H370" s="53"/>
      <c r="I370" s="53"/>
      <c r="J370" t="str">
        <f t="shared" si="5"/>
        <v/>
      </c>
      <c r="K370" s="54"/>
    </row>
    <row r="371" spans="1:11" x14ac:dyDescent="0.25">
      <c r="A371" s="53">
        <v>2140110216</v>
      </c>
      <c r="B371" s="53" t="s">
        <v>608</v>
      </c>
      <c r="C371" s="53"/>
      <c r="D371" s="53" t="s">
        <v>287</v>
      </c>
      <c r="E371" s="53" t="s">
        <v>378</v>
      </c>
      <c r="F371" s="53"/>
      <c r="G371" s="53"/>
      <c r="H371" s="53"/>
      <c r="I371" s="53"/>
      <c r="J371" t="str">
        <f t="shared" si="5"/>
        <v/>
      </c>
      <c r="K371" s="54"/>
    </row>
    <row r="372" spans="1:11" x14ac:dyDescent="0.25">
      <c r="A372" s="53">
        <v>2140110220</v>
      </c>
      <c r="B372" s="53" t="s">
        <v>609</v>
      </c>
      <c r="C372" s="53"/>
      <c r="D372" s="53" t="s">
        <v>287</v>
      </c>
      <c r="E372" s="53" t="s">
        <v>378</v>
      </c>
      <c r="F372" s="53"/>
      <c r="G372" s="53"/>
      <c r="H372" s="53"/>
      <c r="I372" s="53"/>
      <c r="J372" t="str">
        <f t="shared" si="5"/>
        <v/>
      </c>
      <c r="K372" s="54"/>
    </row>
    <row r="373" spans="1:11" x14ac:dyDescent="0.25">
      <c r="A373" s="53">
        <v>2140110221</v>
      </c>
      <c r="B373" s="53" t="s">
        <v>610</v>
      </c>
      <c r="C373" s="53"/>
      <c r="D373" s="53" t="s">
        <v>287</v>
      </c>
      <c r="E373" s="53" t="s">
        <v>378</v>
      </c>
      <c r="F373" s="53"/>
      <c r="G373" s="53"/>
      <c r="H373" s="53"/>
      <c r="I373" s="53"/>
      <c r="J373" t="str">
        <f t="shared" si="5"/>
        <v/>
      </c>
      <c r="K373" s="54"/>
    </row>
    <row r="374" spans="1:11" x14ac:dyDescent="0.25">
      <c r="A374" s="53">
        <v>2140110222</v>
      </c>
      <c r="B374" s="53" t="s">
        <v>611</v>
      </c>
      <c r="C374" s="53"/>
      <c r="D374" s="53" t="s">
        <v>287</v>
      </c>
      <c r="E374" s="53" t="s">
        <v>378</v>
      </c>
      <c r="F374" s="53"/>
      <c r="G374" s="53"/>
      <c r="H374" s="53"/>
      <c r="I374" s="53"/>
      <c r="J374" t="str">
        <f t="shared" si="5"/>
        <v/>
      </c>
      <c r="K374" s="54"/>
    </row>
    <row r="375" spans="1:11" x14ac:dyDescent="0.25">
      <c r="A375" s="53">
        <v>2140110223</v>
      </c>
      <c r="B375" s="53" t="s">
        <v>612</v>
      </c>
      <c r="C375" s="53"/>
      <c r="D375" s="53" t="s">
        <v>287</v>
      </c>
      <c r="E375" s="53" t="s">
        <v>378</v>
      </c>
      <c r="F375" s="53"/>
      <c r="G375" s="53"/>
      <c r="H375" s="53"/>
      <c r="I375" s="53"/>
      <c r="J375" t="str">
        <f t="shared" si="5"/>
        <v/>
      </c>
      <c r="K375" s="54"/>
    </row>
    <row r="376" spans="1:11" x14ac:dyDescent="0.25">
      <c r="A376" s="53">
        <v>2140110224</v>
      </c>
      <c r="B376" s="53" t="s">
        <v>613</v>
      </c>
      <c r="C376" s="53"/>
      <c r="D376" s="53" t="s">
        <v>287</v>
      </c>
      <c r="E376" s="53" t="s">
        <v>378</v>
      </c>
      <c r="F376" s="53"/>
      <c r="G376" s="53"/>
      <c r="H376" s="53"/>
      <c r="I376" s="53"/>
      <c r="J376" t="str">
        <f t="shared" si="5"/>
        <v/>
      </c>
      <c r="K376" s="54"/>
    </row>
    <row r="377" spans="1:11" x14ac:dyDescent="0.25">
      <c r="A377" s="53">
        <v>2140110225</v>
      </c>
      <c r="B377" s="53" t="s">
        <v>614</v>
      </c>
      <c r="C377" s="53"/>
      <c r="D377" s="53" t="s">
        <v>287</v>
      </c>
      <c r="E377" s="53" t="s">
        <v>378</v>
      </c>
      <c r="F377" s="53"/>
      <c r="G377" s="53"/>
      <c r="H377" s="53"/>
      <c r="I377" s="53"/>
      <c r="J377" t="str">
        <f t="shared" si="5"/>
        <v/>
      </c>
      <c r="K377" s="54"/>
    </row>
    <row r="378" spans="1:11" x14ac:dyDescent="0.25">
      <c r="A378" s="53">
        <v>2140110226</v>
      </c>
      <c r="B378" s="53" t="s">
        <v>615</v>
      </c>
      <c r="C378" s="53"/>
      <c r="D378" s="53" t="s">
        <v>287</v>
      </c>
      <c r="E378" s="53" t="s">
        <v>378</v>
      </c>
      <c r="F378" s="53"/>
      <c r="G378" s="53"/>
      <c r="H378" s="53"/>
      <c r="I378" s="53"/>
      <c r="J378" t="str">
        <f t="shared" si="5"/>
        <v/>
      </c>
      <c r="K378" s="54"/>
    </row>
    <row r="379" spans="1:11" x14ac:dyDescent="0.25">
      <c r="A379" s="53">
        <v>2140110227</v>
      </c>
      <c r="B379" s="53" t="s">
        <v>616</v>
      </c>
      <c r="C379" s="53"/>
      <c r="D379" s="53" t="s">
        <v>287</v>
      </c>
      <c r="E379" s="53" t="s">
        <v>378</v>
      </c>
      <c r="F379" s="53"/>
      <c r="G379" s="53"/>
      <c r="H379" s="53"/>
      <c r="I379" s="53"/>
      <c r="J379" t="str">
        <f t="shared" si="5"/>
        <v/>
      </c>
      <c r="K379" s="54"/>
    </row>
    <row r="380" spans="1:11" x14ac:dyDescent="0.25">
      <c r="A380" s="53">
        <v>2140110228</v>
      </c>
      <c r="B380" s="53" t="s">
        <v>617</v>
      </c>
      <c r="C380" s="53"/>
      <c r="D380" s="53" t="s">
        <v>287</v>
      </c>
      <c r="E380" s="53" t="s">
        <v>378</v>
      </c>
      <c r="F380" s="53"/>
      <c r="G380" s="53"/>
      <c r="H380" s="53"/>
      <c r="I380" s="53"/>
      <c r="J380" t="str">
        <f t="shared" si="5"/>
        <v/>
      </c>
      <c r="K380" s="54"/>
    </row>
    <row r="381" spans="1:11" x14ac:dyDescent="0.25">
      <c r="A381" s="53">
        <v>2140110229</v>
      </c>
      <c r="B381" s="53" t="s">
        <v>618</v>
      </c>
      <c r="C381" s="53"/>
      <c r="D381" s="53" t="s">
        <v>287</v>
      </c>
      <c r="E381" s="53" t="s">
        <v>378</v>
      </c>
      <c r="F381" s="53"/>
      <c r="G381" s="53"/>
      <c r="H381" s="53"/>
      <c r="I381" s="53"/>
      <c r="J381" t="str">
        <f t="shared" si="5"/>
        <v/>
      </c>
      <c r="K381" s="54"/>
    </row>
    <row r="382" spans="1:11" x14ac:dyDescent="0.25">
      <c r="A382" s="53">
        <v>2140110230</v>
      </c>
      <c r="B382" s="53" t="s">
        <v>619</v>
      </c>
      <c r="C382" s="53"/>
      <c r="D382" s="53" t="s">
        <v>287</v>
      </c>
      <c r="E382" s="53" t="s">
        <v>378</v>
      </c>
      <c r="F382" s="53"/>
      <c r="G382" s="53"/>
      <c r="H382" s="53"/>
      <c r="I382" s="53"/>
      <c r="J382" t="str">
        <f t="shared" si="5"/>
        <v/>
      </c>
      <c r="K382" s="54"/>
    </row>
    <row r="383" spans="1:11" x14ac:dyDescent="0.25">
      <c r="A383" s="53">
        <v>2140110231</v>
      </c>
      <c r="B383" s="53" t="s">
        <v>620</v>
      </c>
      <c r="C383" s="53"/>
      <c r="D383" s="53" t="s">
        <v>287</v>
      </c>
      <c r="E383" s="53" t="s">
        <v>378</v>
      </c>
      <c r="F383" s="53"/>
      <c r="G383" s="53"/>
      <c r="H383" s="53"/>
      <c r="I383" s="53"/>
      <c r="J383" t="str">
        <f t="shared" si="5"/>
        <v/>
      </c>
      <c r="K383" s="54"/>
    </row>
    <row r="384" spans="1:11" x14ac:dyDescent="0.25">
      <c r="A384" s="53">
        <v>2140110232</v>
      </c>
      <c r="B384" s="53" t="s">
        <v>621</v>
      </c>
      <c r="C384" s="53"/>
      <c r="D384" s="53" t="s">
        <v>287</v>
      </c>
      <c r="E384" s="53" t="s">
        <v>378</v>
      </c>
      <c r="F384" s="53"/>
      <c r="G384" s="53"/>
      <c r="H384" s="53"/>
      <c r="I384" s="53"/>
      <c r="J384" t="str">
        <f t="shared" si="5"/>
        <v/>
      </c>
      <c r="K384" s="54"/>
    </row>
    <row r="385" spans="1:11" x14ac:dyDescent="0.25">
      <c r="A385" s="53">
        <v>2140110233</v>
      </c>
      <c r="B385" s="53" t="s">
        <v>622</v>
      </c>
      <c r="C385" s="53"/>
      <c r="D385" s="53" t="s">
        <v>287</v>
      </c>
      <c r="E385" s="53" t="s">
        <v>378</v>
      </c>
      <c r="F385" s="53"/>
      <c r="G385" s="53"/>
      <c r="H385" s="53"/>
      <c r="I385" s="53"/>
      <c r="J385" t="str">
        <f t="shared" si="5"/>
        <v/>
      </c>
      <c r="K385" s="54"/>
    </row>
    <row r="386" spans="1:11" x14ac:dyDescent="0.25">
      <c r="A386" s="53">
        <v>2140110235</v>
      </c>
      <c r="B386" s="53" t="s">
        <v>623</v>
      </c>
      <c r="C386" s="53"/>
      <c r="D386" s="53" t="s">
        <v>287</v>
      </c>
      <c r="E386" s="53" t="s">
        <v>378</v>
      </c>
      <c r="F386" s="53"/>
      <c r="G386" s="53"/>
      <c r="H386" s="53"/>
      <c r="I386" s="53"/>
      <c r="J386" t="str">
        <f t="shared" ref="J386:J449" si="6">IF(COUNT(F386:I386)=4,ROUND(G386/1000*H386/100*I386/100*F386/3,4),"")</f>
        <v/>
      </c>
      <c r="K386" s="54"/>
    </row>
    <row r="387" spans="1:11" x14ac:dyDescent="0.25">
      <c r="A387" s="53">
        <v>2140110236</v>
      </c>
      <c r="B387" s="53" t="s">
        <v>624</v>
      </c>
      <c r="C387" s="53"/>
      <c r="D387" s="53" t="s">
        <v>287</v>
      </c>
      <c r="E387" s="53" t="s">
        <v>378</v>
      </c>
      <c r="F387" s="53"/>
      <c r="G387" s="53"/>
      <c r="H387" s="53"/>
      <c r="I387" s="53"/>
      <c r="J387" t="str">
        <f t="shared" si="6"/>
        <v/>
      </c>
      <c r="K387" s="54"/>
    </row>
    <row r="388" spans="1:11" x14ac:dyDescent="0.25">
      <c r="A388" s="53">
        <v>2140110238</v>
      </c>
      <c r="B388" s="53" t="s">
        <v>625</v>
      </c>
      <c r="C388" s="53"/>
      <c r="D388" s="53" t="s">
        <v>287</v>
      </c>
      <c r="E388" s="53" t="s">
        <v>378</v>
      </c>
      <c r="F388" s="53"/>
      <c r="G388" s="53"/>
      <c r="H388" s="53"/>
      <c r="I388" s="53"/>
      <c r="J388" t="str">
        <f t="shared" si="6"/>
        <v/>
      </c>
      <c r="K388" s="54"/>
    </row>
    <row r="389" spans="1:11" x14ac:dyDescent="0.25">
      <c r="A389" s="53">
        <v>2140110239</v>
      </c>
      <c r="B389" s="53" t="s">
        <v>626</v>
      </c>
      <c r="C389" s="53"/>
      <c r="D389" s="53" t="s">
        <v>287</v>
      </c>
      <c r="E389" s="53" t="s">
        <v>378</v>
      </c>
      <c r="F389" s="53"/>
      <c r="G389" s="53"/>
      <c r="H389" s="53"/>
      <c r="I389" s="53"/>
      <c r="J389" t="str">
        <f t="shared" si="6"/>
        <v/>
      </c>
      <c r="K389" s="54"/>
    </row>
    <row r="390" spans="1:11" x14ac:dyDescent="0.25">
      <c r="A390" s="53">
        <v>2140110241</v>
      </c>
      <c r="B390" s="53" t="s">
        <v>627</v>
      </c>
      <c r="C390" s="53"/>
      <c r="D390" s="53" t="s">
        <v>287</v>
      </c>
      <c r="E390" s="53" t="s">
        <v>378</v>
      </c>
      <c r="F390" s="53"/>
      <c r="G390" s="53"/>
      <c r="H390" s="53"/>
      <c r="I390" s="53"/>
      <c r="J390" t="str">
        <f t="shared" si="6"/>
        <v/>
      </c>
      <c r="K390" s="54"/>
    </row>
    <row r="391" spans="1:11" x14ac:dyDescent="0.25">
      <c r="A391" s="53">
        <v>2140110242</v>
      </c>
      <c r="B391" s="53" t="s">
        <v>628</v>
      </c>
      <c r="C391" s="53"/>
      <c r="D391" s="53" t="s">
        <v>287</v>
      </c>
      <c r="E391" s="53" t="s">
        <v>378</v>
      </c>
      <c r="F391" s="53"/>
      <c r="G391" s="53"/>
      <c r="H391" s="53"/>
      <c r="I391" s="53"/>
      <c r="J391" t="str">
        <f t="shared" si="6"/>
        <v/>
      </c>
      <c r="K391" s="54"/>
    </row>
    <row r="392" spans="1:11" x14ac:dyDescent="0.25">
      <c r="A392" s="53">
        <v>2140110244</v>
      </c>
      <c r="B392" s="53" t="s">
        <v>629</v>
      </c>
      <c r="C392" s="53"/>
      <c r="D392" s="53" t="s">
        <v>287</v>
      </c>
      <c r="E392" s="53" t="s">
        <v>378</v>
      </c>
      <c r="F392" s="53"/>
      <c r="G392" s="53"/>
      <c r="H392" s="53"/>
      <c r="I392" s="53"/>
      <c r="J392" t="str">
        <f t="shared" si="6"/>
        <v/>
      </c>
      <c r="K392" s="54"/>
    </row>
    <row r="393" spans="1:11" x14ac:dyDescent="0.25">
      <c r="A393" s="53">
        <v>2140110249</v>
      </c>
      <c r="B393" s="53" t="s">
        <v>630</v>
      </c>
      <c r="C393" s="53"/>
      <c r="D393" s="53" t="s">
        <v>287</v>
      </c>
      <c r="E393" s="53" t="s">
        <v>378</v>
      </c>
      <c r="F393" s="53"/>
      <c r="G393" s="53"/>
      <c r="H393" s="53"/>
      <c r="I393" s="53"/>
      <c r="J393" t="str">
        <f t="shared" si="6"/>
        <v/>
      </c>
      <c r="K393" s="54"/>
    </row>
    <row r="394" spans="1:11" x14ac:dyDescent="0.25">
      <c r="A394" s="53">
        <v>2140110250</v>
      </c>
      <c r="B394" s="53" t="s">
        <v>631</v>
      </c>
      <c r="C394" s="53"/>
      <c r="D394" s="53" t="s">
        <v>287</v>
      </c>
      <c r="E394" s="53" t="s">
        <v>378</v>
      </c>
      <c r="F394" s="53"/>
      <c r="G394" s="53"/>
      <c r="H394" s="53"/>
      <c r="I394" s="53"/>
      <c r="J394" t="str">
        <f t="shared" si="6"/>
        <v/>
      </c>
      <c r="K394" s="54"/>
    </row>
    <row r="395" spans="1:11" x14ac:dyDescent="0.25">
      <c r="A395" s="53">
        <v>2140110251</v>
      </c>
      <c r="B395" s="53" t="s">
        <v>632</v>
      </c>
      <c r="C395" s="53"/>
      <c r="D395" s="53" t="s">
        <v>287</v>
      </c>
      <c r="E395" s="53" t="s">
        <v>378</v>
      </c>
      <c r="F395" s="53"/>
      <c r="G395" s="53"/>
      <c r="H395" s="53"/>
      <c r="I395" s="53"/>
      <c r="J395" t="str">
        <f t="shared" si="6"/>
        <v/>
      </c>
      <c r="K395" s="54"/>
    </row>
    <row r="396" spans="1:11" x14ac:dyDescent="0.25">
      <c r="A396" s="53">
        <v>2140110252</v>
      </c>
      <c r="B396" s="53" t="s">
        <v>633</v>
      </c>
      <c r="C396" s="53"/>
      <c r="D396" s="53" t="s">
        <v>287</v>
      </c>
      <c r="E396" s="53" t="s">
        <v>378</v>
      </c>
      <c r="F396" s="53"/>
      <c r="G396" s="53"/>
      <c r="H396" s="53"/>
      <c r="I396" s="53"/>
      <c r="J396" t="str">
        <f t="shared" si="6"/>
        <v/>
      </c>
      <c r="K396" s="54"/>
    </row>
    <row r="397" spans="1:11" x14ac:dyDescent="0.25">
      <c r="A397" s="53">
        <v>2140110253</v>
      </c>
      <c r="B397" s="53" t="s">
        <v>634</v>
      </c>
      <c r="C397" s="53"/>
      <c r="D397" s="53" t="s">
        <v>287</v>
      </c>
      <c r="E397" s="53" t="s">
        <v>378</v>
      </c>
      <c r="F397" s="53"/>
      <c r="G397" s="53"/>
      <c r="H397" s="53"/>
      <c r="I397" s="53"/>
      <c r="J397" t="str">
        <f t="shared" si="6"/>
        <v/>
      </c>
      <c r="K397" s="54"/>
    </row>
    <row r="398" spans="1:11" x14ac:dyDescent="0.25">
      <c r="A398" s="53">
        <v>2140110254</v>
      </c>
      <c r="B398" s="53" t="s">
        <v>635</v>
      </c>
      <c r="C398" s="53"/>
      <c r="D398" s="53" t="s">
        <v>287</v>
      </c>
      <c r="E398" s="53" t="s">
        <v>378</v>
      </c>
      <c r="F398" s="53"/>
      <c r="G398" s="53"/>
      <c r="H398" s="53"/>
      <c r="I398" s="53"/>
      <c r="J398" t="str">
        <f t="shared" si="6"/>
        <v/>
      </c>
      <c r="K398" s="54"/>
    </row>
    <row r="399" spans="1:11" x14ac:dyDescent="0.25">
      <c r="A399" s="53">
        <v>2140110255</v>
      </c>
      <c r="B399" s="53" t="s">
        <v>636</v>
      </c>
      <c r="C399" s="53"/>
      <c r="D399" s="53" t="s">
        <v>287</v>
      </c>
      <c r="E399" s="53" t="s">
        <v>378</v>
      </c>
      <c r="F399" s="53"/>
      <c r="G399" s="53"/>
      <c r="H399" s="53"/>
      <c r="I399" s="53"/>
      <c r="J399" t="str">
        <f t="shared" si="6"/>
        <v/>
      </c>
      <c r="K399" s="54"/>
    </row>
    <row r="400" spans="1:11" x14ac:dyDescent="0.25">
      <c r="A400" s="53">
        <v>2140110256</v>
      </c>
      <c r="B400" s="53" t="s">
        <v>637</v>
      </c>
      <c r="C400" s="53"/>
      <c r="D400" s="53" t="s">
        <v>287</v>
      </c>
      <c r="E400" s="53" t="s">
        <v>378</v>
      </c>
      <c r="F400" s="53"/>
      <c r="G400" s="53"/>
      <c r="H400" s="53"/>
      <c r="I400" s="53"/>
      <c r="J400" t="str">
        <f t="shared" si="6"/>
        <v/>
      </c>
      <c r="K400" s="54"/>
    </row>
    <row r="401" spans="1:11" x14ac:dyDescent="0.25">
      <c r="A401" s="53">
        <v>2140110257</v>
      </c>
      <c r="B401" s="53" t="s">
        <v>638</v>
      </c>
      <c r="C401" s="53"/>
      <c r="D401" s="53" t="s">
        <v>287</v>
      </c>
      <c r="E401" s="53" t="s">
        <v>378</v>
      </c>
      <c r="F401" s="53"/>
      <c r="G401" s="53"/>
      <c r="H401" s="53"/>
      <c r="I401" s="53"/>
      <c r="J401" t="str">
        <f t="shared" si="6"/>
        <v/>
      </c>
      <c r="K401" s="54"/>
    </row>
    <row r="402" spans="1:11" x14ac:dyDescent="0.25">
      <c r="A402" s="53">
        <v>2140110258</v>
      </c>
      <c r="B402" s="53" t="s">
        <v>639</v>
      </c>
      <c r="C402" s="53"/>
      <c r="D402" s="53" t="s">
        <v>287</v>
      </c>
      <c r="E402" s="53" t="s">
        <v>378</v>
      </c>
      <c r="F402" s="53"/>
      <c r="G402" s="53"/>
      <c r="H402" s="53"/>
      <c r="I402" s="53"/>
      <c r="J402" t="str">
        <f t="shared" si="6"/>
        <v/>
      </c>
      <c r="K402" s="54"/>
    </row>
    <row r="403" spans="1:11" x14ac:dyDescent="0.25">
      <c r="A403" s="53">
        <v>2140110259</v>
      </c>
      <c r="B403" s="53" t="s">
        <v>640</v>
      </c>
      <c r="C403" s="53"/>
      <c r="D403" s="53" t="s">
        <v>287</v>
      </c>
      <c r="E403" s="53" t="s">
        <v>378</v>
      </c>
      <c r="F403" s="53"/>
      <c r="G403" s="53"/>
      <c r="H403" s="53"/>
      <c r="I403" s="53"/>
      <c r="J403" t="str">
        <f t="shared" si="6"/>
        <v/>
      </c>
      <c r="K403" s="54"/>
    </row>
    <row r="404" spans="1:11" x14ac:dyDescent="0.25">
      <c r="A404" s="53">
        <v>2140110260</v>
      </c>
      <c r="B404" s="53" t="s">
        <v>641</v>
      </c>
      <c r="C404" s="53"/>
      <c r="D404" s="53" t="s">
        <v>287</v>
      </c>
      <c r="E404" s="53" t="s">
        <v>378</v>
      </c>
      <c r="F404" s="53"/>
      <c r="G404" s="53"/>
      <c r="H404" s="53"/>
      <c r="I404" s="53"/>
      <c r="J404" t="str">
        <f t="shared" si="6"/>
        <v/>
      </c>
      <c r="K404" s="54"/>
    </row>
    <row r="405" spans="1:11" x14ac:dyDescent="0.25">
      <c r="A405" s="53">
        <v>2140110261</v>
      </c>
      <c r="B405" s="53" t="s">
        <v>642</v>
      </c>
      <c r="C405" s="53"/>
      <c r="D405" s="53" t="s">
        <v>287</v>
      </c>
      <c r="E405" s="53" t="s">
        <v>378</v>
      </c>
      <c r="F405" s="53"/>
      <c r="G405" s="53"/>
      <c r="H405" s="53"/>
      <c r="I405" s="53"/>
      <c r="J405" t="str">
        <f t="shared" si="6"/>
        <v/>
      </c>
      <c r="K405" s="54"/>
    </row>
    <row r="406" spans="1:11" x14ac:dyDescent="0.25">
      <c r="A406" s="53">
        <v>2140110262</v>
      </c>
      <c r="B406" s="53" t="s">
        <v>643</v>
      </c>
      <c r="C406" s="53"/>
      <c r="D406" s="53" t="s">
        <v>287</v>
      </c>
      <c r="E406" s="53" t="s">
        <v>378</v>
      </c>
      <c r="F406" s="53"/>
      <c r="G406" s="53"/>
      <c r="H406" s="53"/>
      <c r="I406" s="53"/>
      <c r="J406" t="str">
        <f t="shared" si="6"/>
        <v/>
      </c>
      <c r="K406" s="54"/>
    </row>
    <row r="407" spans="1:11" x14ac:dyDescent="0.25">
      <c r="A407" s="53">
        <v>2140110263</v>
      </c>
      <c r="B407" s="53" t="s">
        <v>644</v>
      </c>
      <c r="C407" s="53"/>
      <c r="D407" s="53" t="s">
        <v>287</v>
      </c>
      <c r="E407" s="53" t="s">
        <v>378</v>
      </c>
      <c r="F407" s="53"/>
      <c r="G407" s="53"/>
      <c r="H407" s="53"/>
      <c r="I407" s="53"/>
      <c r="J407" t="str">
        <f t="shared" si="6"/>
        <v/>
      </c>
      <c r="K407" s="54"/>
    </row>
    <row r="408" spans="1:11" x14ac:dyDescent="0.25">
      <c r="A408" s="53">
        <v>2140110264</v>
      </c>
      <c r="B408" s="53" t="s">
        <v>645</v>
      </c>
      <c r="C408" s="53"/>
      <c r="D408" s="53" t="s">
        <v>287</v>
      </c>
      <c r="E408" s="53" t="s">
        <v>378</v>
      </c>
      <c r="F408" s="53"/>
      <c r="G408" s="53"/>
      <c r="H408" s="53"/>
      <c r="I408" s="53"/>
      <c r="J408" t="str">
        <f t="shared" si="6"/>
        <v/>
      </c>
      <c r="K408" s="54"/>
    </row>
    <row r="409" spans="1:11" x14ac:dyDescent="0.25">
      <c r="A409" s="53">
        <v>2140110265</v>
      </c>
      <c r="B409" s="53" t="s">
        <v>646</v>
      </c>
      <c r="C409" s="53"/>
      <c r="D409" s="53" t="s">
        <v>287</v>
      </c>
      <c r="E409" s="53" t="s">
        <v>378</v>
      </c>
      <c r="F409" s="53"/>
      <c r="G409" s="53"/>
      <c r="H409" s="53"/>
      <c r="I409" s="53"/>
      <c r="J409" t="str">
        <f t="shared" si="6"/>
        <v/>
      </c>
      <c r="K409" s="54"/>
    </row>
    <row r="410" spans="1:11" x14ac:dyDescent="0.25">
      <c r="A410" s="53">
        <v>2140110266</v>
      </c>
      <c r="B410" s="53" t="s">
        <v>647</v>
      </c>
      <c r="C410" s="53"/>
      <c r="D410" s="53" t="s">
        <v>287</v>
      </c>
      <c r="E410" s="53" t="s">
        <v>378</v>
      </c>
      <c r="F410" s="53"/>
      <c r="G410" s="53"/>
      <c r="H410" s="53"/>
      <c r="I410" s="53"/>
      <c r="J410" t="str">
        <f t="shared" si="6"/>
        <v/>
      </c>
      <c r="K410" s="54"/>
    </row>
    <row r="411" spans="1:11" x14ac:dyDescent="0.25">
      <c r="A411" s="53">
        <v>2140110267</v>
      </c>
      <c r="B411" s="53" t="s">
        <v>648</v>
      </c>
      <c r="C411" s="53"/>
      <c r="D411" s="53" t="s">
        <v>287</v>
      </c>
      <c r="E411" s="53" t="s">
        <v>378</v>
      </c>
      <c r="F411" s="53"/>
      <c r="G411" s="53"/>
      <c r="H411" s="53"/>
      <c r="I411" s="53"/>
      <c r="J411" t="str">
        <f t="shared" si="6"/>
        <v/>
      </c>
      <c r="K411" s="54"/>
    </row>
    <row r="412" spans="1:11" x14ac:dyDescent="0.25">
      <c r="A412" s="53">
        <v>2140110268</v>
      </c>
      <c r="B412" s="53" t="s">
        <v>649</v>
      </c>
      <c r="C412" s="53"/>
      <c r="D412" s="53" t="s">
        <v>287</v>
      </c>
      <c r="E412" s="53" t="s">
        <v>378</v>
      </c>
      <c r="F412" s="53"/>
      <c r="G412" s="53"/>
      <c r="H412" s="53"/>
      <c r="I412" s="53"/>
      <c r="J412" t="str">
        <f t="shared" si="6"/>
        <v/>
      </c>
      <c r="K412" s="54"/>
    </row>
    <row r="413" spans="1:11" x14ac:dyDescent="0.25">
      <c r="A413" s="53">
        <v>2140110269</v>
      </c>
      <c r="B413" s="53" t="s">
        <v>650</v>
      </c>
      <c r="C413" s="53"/>
      <c r="D413" s="53" t="s">
        <v>287</v>
      </c>
      <c r="E413" s="53" t="s">
        <v>378</v>
      </c>
      <c r="F413" s="53"/>
      <c r="G413" s="53"/>
      <c r="H413" s="53"/>
      <c r="I413" s="53"/>
      <c r="J413" t="str">
        <f t="shared" si="6"/>
        <v/>
      </c>
      <c r="K413" s="54"/>
    </row>
    <row r="414" spans="1:11" x14ac:dyDescent="0.25">
      <c r="A414" s="53">
        <v>2140110270</v>
      </c>
      <c r="B414" s="53" t="s">
        <v>651</v>
      </c>
      <c r="C414" s="53"/>
      <c r="D414" s="53" t="s">
        <v>287</v>
      </c>
      <c r="E414" s="53" t="s">
        <v>378</v>
      </c>
      <c r="F414" s="53"/>
      <c r="G414" s="53"/>
      <c r="H414" s="53"/>
      <c r="I414" s="53"/>
      <c r="J414" t="str">
        <f t="shared" si="6"/>
        <v/>
      </c>
      <c r="K414" s="54"/>
    </row>
    <row r="415" spans="1:11" x14ac:dyDescent="0.25">
      <c r="A415" s="53">
        <v>2140110271</v>
      </c>
      <c r="B415" s="53" t="s">
        <v>652</v>
      </c>
      <c r="C415" s="53"/>
      <c r="D415" s="53" t="s">
        <v>287</v>
      </c>
      <c r="E415" s="53" t="s">
        <v>378</v>
      </c>
      <c r="F415" s="53"/>
      <c r="G415" s="53"/>
      <c r="H415" s="53"/>
      <c r="I415" s="53"/>
      <c r="J415" t="str">
        <f t="shared" si="6"/>
        <v/>
      </c>
      <c r="K415" s="54"/>
    </row>
    <row r="416" spans="1:11" x14ac:dyDescent="0.25">
      <c r="A416" s="53">
        <v>2140110272</v>
      </c>
      <c r="B416" s="53" t="s">
        <v>653</v>
      </c>
      <c r="C416" s="53"/>
      <c r="D416" s="53" t="s">
        <v>287</v>
      </c>
      <c r="E416" s="53" t="s">
        <v>378</v>
      </c>
      <c r="F416" s="53"/>
      <c r="G416" s="53"/>
      <c r="H416" s="53"/>
      <c r="I416" s="53"/>
      <c r="J416" t="str">
        <f t="shared" si="6"/>
        <v/>
      </c>
      <c r="K416" s="54"/>
    </row>
    <row r="417" spans="1:11" x14ac:dyDescent="0.25">
      <c r="A417" s="53">
        <v>2140110273</v>
      </c>
      <c r="B417" s="53" t="s">
        <v>654</v>
      </c>
      <c r="C417" s="53"/>
      <c r="D417" s="53" t="s">
        <v>287</v>
      </c>
      <c r="E417" s="53" t="s">
        <v>378</v>
      </c>
      <c r="F417" s="53"/>
      <c r="G417" s="53"/>
      <c r="H417" s="53"/>
      <c r="I417" s="53"/>
      <c r="J417" t="str">
        <f t="shared" si="6"/>
        <v/>
      </c>
      <c r="K417" s="54"/>
    </row>
    <row r="418" spans="1:11" x14ac:dyDescent="0.25">
      <c r="A418" s="53">
        <v>2140110274</v>
      </c>
      <c r="B418" s="53" t="s">
        <v>655</v>
      </c>
      <c r="C418" s="53"/>
      <c r="D418" s="53" t="s">
        <v>287</v>
      </c>
      <c r="E418" s="53" t="s">
        <v>378</v>
      </c>
      <c r="F418" s="53"/>
      <c r="G418" s="53"/>
      <c r="H418" s="53"/>
      <c r="I418" s="53"/>
      <c r="J418" t="str">
        <f t="shared" si="6"/>
        <v/>
      </c>
      <c r="K418" s="54"/>
    </row>
    <row r="419" spans="1:11" x14ac:dyDescent="0.25">
      <c r="A419" s="53">
        <v>2140110275</v>
      </c>
      <c r="B419" s="53" t="s">
        <v>656</v>
      </c>
      <c r="C419" s="53"/>
      <c r="D419" s="53" t="s">
        <v>287</v>
      </c>
      <c r="E419" s="53" t="s">
        <v>378</v>
      </c>
      <c r="F419" s="53"/>
      <c r="G419" s="53"/>
      <c r="H419" s="53"/>
      <c r="I419" s="53"/>
      <c r="J419" t="str">
        <f t="shared" si="6"/>
        <v/>
      </c>
      <c r="K419" s="54"/>
    </row>
    <row r="420" spans="1:11" x14ac:dyDescent="0.25">
      <c r="A420" s="53">
        <v>2140110276</v>
      </c>
      <c r="B420" s="53" t="s">
        <v>657</v>
      </c>
      <c r="C420" s="53"/>
      <c r="D420" s="53" t="s">
        <v>287</v>
      </c>
      <c r="E420" s="53" t="s">
        <v>378</v>
      </c>
      <c r="F420" s="53"/>
      <c r="G420" s="53"/>
      <c r="H420" s="53"/>
      <c r="I420" s="53"/>
      <c r="J420" t="str">
        <f t="shared" si="6"/>
        <v/>
      </c>
      <c r="K420" s="54"/>
    </row>
    <row r="421" spans="1:11" x14ac:dyDescent="0.25">
      <c r="A421" s="53">
        <v>2140110280</v>
      </c>
      <c r="B421" s="53" t="s">
        <v>658</v>
      </c>
      <c r="C421" s="53"/>
      <c r="D421" s="53" t="s">
        <v>287</v>
      </c>
      <c r="E421" s="53" t="s">
        <v>378</v>
      </c>
      <c r="F421" s="53"/>
      <c r="G421" s="53"/>
      <c r="H421" s="53"/>
      <c r="I421" s="53"/>
      <c r="J421" t="str">
        <f t="shared" si="6"/>
        <v/>
      </c>
      <c r="K421" s="54"/>
    </row>
    <row r="422" spans="1:11" x14ac:dyDescent="0.25">
      <c r="A422" s="53">
        <v>2140110281</v>
      </c>
      <c r="B422" s="53" t="s">
        <v>659</v>
      </c>
      <c r="C422" s="53"/>
      <c r="D422" s="53" t="s">
        <v>287</v>
      </c>
      <c r="E422" s="53" t="s">
        <v>378</v>
      </c>
      <c r="F422" s="53"/>
      <c r="G422" s="53"/>
      <c r="H422" s="53"/>
      <c r="I422" s="53"/>
      <c r="J422" t="str">
        <f t="shared" si="6"/>
        <v/>
      </c>
      <c r="K422" s="54"/>
    </row>
    <row r="423" spans="1:11" x14ac:dyDescent="0.25">
      <c r="A423" s="53">
        <v>2140110282</v>
      </c>
      <c r="B423" s="53" t="s">
        <v>660</v>
      </c>
      <c r="C423" s="53"/>
      <c r="D423" s="53" t="s">
        <v>287</v>
      </c>
      <c r="E423" s="53" t="s">
        <v>378</v>
      </c>
      <c r="F423" s="53"/>
      <c r="G423" s="53"/>
      <c r="H423" s="53"/>
      <c r="I423" s="53"/>
      <c r="J423" t="str">
        <f t="shared" si="6"/>
        <v/>
      </c>
      <c r="K423" s="54"/>
    </row>
    <row r="424" spans="1:11" x14ac:dyDescent="0.25">
      <c r="A424" s="53">
        <v>2140110283</v>
      </c>
      <c r="B424" s="53" t="s">
        <v>661</v>
      </c>
      <c r="C424" s="53"/>
      <c r="D424" s="53" t="s">
        <v>287</v>
      </c>
      <c r="E424" s="53" t="s">
        <v>378</v>
      </c>
      <c r="F424" s="53"/>
      <c r="G424" s="53"/>
      <c r="H424" s="53"/>
      <c r="I424" s="53"/>
      <c r="J424" t="str">
        <f t="shared" si="6"/>
        <v/>
      </c>
      <c r="K424" s="54"/>
    </row>
    <row r="425" spans="1:11" x14ac:dyDescent="0.25">
      <c r="A425" s="53">
        <v>2140110284</v>
      </c>
      <c r="B425" s="53" t="s">
        <v>662</v>
      </c>
      <c r="C425" s="53"/>
      <c r="D425" s="53" t="s">
        <v>287</v>
      </c>
      <c r="E425" s="53" t="s">
        <v>378</v>
      </c>
      <c r="F425" s="53"/>
      <c r="G425" s="53"/>
      <c r="H425" s="53"/>
      <c r="I425" s="53"/>
      <c r="J425" t="str">
        <f t="shared" si="6"/>
        <v/>
      </c>
      <c r="K425" s="54"/>
    </row>
    <row r="426" spans="1:11" x14ac:dyDescent="0.25">
      <c r="A426" s="53">
        <v>2140110285</v>
      </c>
      <c r="B426" s="53" t="s">
        <v>663</v>
      </c>
      <c r="C426" s="53"/>
      <c r="D426" s="53" t="s">
        <v>287</v>
      </c>
      <c r="E426" s="53" t="s">
        <v>378</v>
      </c>
      <c r="F426" s="53"/>
      <c r="G426" s="53"/>
      <c r="H426" s="53"/>
      <c r="I426" s="53"/>
      <c r="J426" t="str">
        <f t="shared" si="6"/>
        <v/>
      </c>
      <c r="K426" s="54"/>
    </row>
    <row r="427" spans="1:11" x14ac:dyDescent="0.25">
      <c r="A427" s="53">
        <v>2140110286</v>
      </c>
      <c r="B427" s="53" t="s">
        <v>664</v>
      </c>
      <c r="C427" s="53"/>
      <c r="D427" s="53" t="s">
        <v>287</v>
      </c>
      <c r="E427" s="53" t="s">
        <v>378</v>
      </c>
      <c r="F427" s="53"/>
      <c r="G427" s="53"/>
      <c r="H427" s="53"/>
      <c r="I427" s="53"/>
      <c r="J427" t="str">
        <f t="shared" si="6"/>
        <v/>
      </c>
      <c r="K427" s="54"/>
    </row>
    <row r="428" spans="1:11" x14ac:dyDescent="0.25">
      <c r="A428" s="53">
        <v>2140110287</v>
      </c>
      <c r="B428" s="53" t="s">
        <v>665</v>
      </c>
      <c r="C428" s="53"/>
      <c r="D428" s="53" t="s">
        <v>287</v>
      </c>
      <c r="E428" s="53" t="s">
        <v>378</v>
      </c>
      <c r="F428" s="53"/>
      <c r="G428" s="53"/>
      <c r="H428" s="53"/>
      <c r="I428" s="53"/>
      <c r="J428" t="str">
        <f t="shared" si="6"/>
        <v/>
      </c>
      <c r="K428" s="54"/>
    </row>
    <row r="429" spans="1:11" x14ac:dyDescent="0.25">
      <c r="A429" s="53">
        <v>2140110288</v>
      </c>
      <c r="B429" s="53" t="s">
        <v>666</v>
      </c>
      <c r="C429" s="53"/>
      <c r="D429" s="53" t="s">
        <v>287</v>
      </c>
      <c r="E429" s="53" t="s">
        <v>378</v>
      </c>
      <c r="F429" s="53"/>
      <c r="G429" s="53"/>
      <c r="H429" s="53"/>
      <c r="I429" s="53"/>
      <c r="J429" t="str">
        <f t="shared" si="6"/>
        <v/>
      </c>
      <c r="K429" s="54"/>
    </row>
    <row r="430" spans="1:11" x14ac:dyDescent="0.25">
      <c r="A430" s="53">
        <v>2140110289</v>
      </c>
      <c r="B430" s="53" t="s">
        <v>667</v>
      </c>
      <c r="C430" s="53"/>
      <c r="D430" s="53" t="s">
        <v>287</v>
      </c>
      <c r="E430" s="53" t="s">
        <v>378</v>
      </c>
      <c r="F430" s="53"/>
      <c r="G430" s="53"/>
      <c r="H430" s="53"/>
      <c r="I430" s="53"/>
      <c r="J430" t="str">
        <f t="shared" si="6"/>
        <v/>
      </c>
      <c r="K430" s="54"/>
    </row>
    <row r="431" spans="1:11" x14ac:dyDescent="0.25">
      <c r="A431" s="53">
        <v>2140110290</v>
      </c>
      <c r="B431" s="53" t="s">
        <v>668</v>
      </c>
      <c r="C431" s="53"/>
      <c r="D431" s="53" t="s">
        <v>287</v>
      </c>
      <c r="E431" s="53" t="s">
        <v>378</v>
      </c>
      <c r="F431" s="53"/>
      <c r="G431" s="53"/>
      <c r="H431" s="53"/>
      <c r="I431" s="53"/>
      <c r="J431" t="str">
        <f t="shared" si="6"/>
        <v/>
      </c>
      <c r="K431" s="54"/>
    </row>
    <row r="432" spans="1:11" x14ac:dyDescent="0.25">
      <c r="A432" s="53">
        <v>2140110291</v>
      </c>
      <c r="B432" s="53" t="s">
        <v>669</v>
      </c>
      <c r="C432" s="53"/>
      <c r="D432" s="53" t="s">
        <v>287</v>
      </c>
      <c r="E432" s="53" t="s">
        <v>378</v>
      </c>
      <c r="F432" s="53"/>
      <c r="G432" s="53"/>
      <c r="H432" s="53"/>
      <c r="I432" s="53"/>
      <c r="J432" t="str">
        <f t="shared" si="6"/>
        <v/>
      </c>
      <c r="K432" s="54"/>
    </row>
    <row r="433" spans="1:11" x14ac:dyDescent="0.25">
      <c r="A433" s="53">
        <v>2140110292</v>
      </c>
      <c r="B433" s="53" t="s">
        <v>670</v>
      </c>
      <c r="C433" s="53"/>
      <c r="D433" s="53" t="s">
        <v>287</v>
      </c>
      <c r="E433" s="53" t="s">
        <v>378</v>
      </c>
      <c r="F433" s="53"/>
      <c r="G433" s="53"/>
      <c r="H433" s="53"/>
      <c r="I433" s="53"/>
      <c r="J433" t="str">
        <f t="shared" si="6"/>
        <v/>
      </c>
      <c r="K433" s="54"/>
    </row>
    <row r="434" spans="1:11" x14ac:dyDescent="0.25">
      <c r="A434" s="53">
        <v>2140110293</v>
      </c>
      <c r="B434" s="53" t="s">
        <v>671</v>
      </c>
      <c r="C434" s="53"/>
      <c r="D434" s="53" t="s">
        <v>287</v>
      </c>
      <c r="E434" s="53" t="s">
        <v>378</v>
      </c>
      <c r="F434" s="53"/>
      <c r="G434" s="53"/>
      <c r="H434" s="53"/>
      <c r="I434" s="53"/>
      <c r="J434" t="str">
        <f t="shared" si="6"/>
        <v/>
      </c>
      <c r="K434" s="54"/>
    </row>
    <row r="435" spans="1:11" x14ac:dyDescent="0.25">
      <c r="A435" s="53">
        <v>2140110294</v>
      </c>
      <c r="B435" s="53" t="s">
        <v>672</v>
      </c>
      <c r="C435" s="53"/>
      <c r="D435" s="53" t="s">
        <v>287</v>
      </c>
      <c r="E435" s="53" t="s">
        <v>378</v>
      </c>
      <c r="F435" s="53"/>
      <c r="G435" s="53"/>
      <c r="H435" s="53"/>
      <c r="I435" s="53"/>
      <c r="J435" t="str">
        <f t="shared" si="6"/>
        <v/>
      </c>
      <c r="K435" s="54"/>
    </row>
    <row r="436" spans="1:11" x14ac:dyDescent="0.25">
      <c r="A436" s="53">
        <v>2140110295</v>
      </c>
      <c r="B436" s="53" t="s">
        <v>673</v>
      </c>
      <c r="C436" s="53"/>
      <c r="D436" s="53" t="s">
        <v>287</v>
      </c>
      <c r="E436" s="53" t="s">
        <v>378</v>
      </c>
      <c r="F436" s="53"/>
      <c r="G436" s="53"/>
      <c r="H436" s="53"/>
      <c r="I436" s="53"/>
      <c r="J436" t="str">
        <f t="shared" si="6"/>
        <v/>
      </c>
      <c r="K436" s="54"/>
    </row>
    <row r="437" spans="1:11" x14ac:dyDescent="0.25">
      <c r="A437" s="53">
        <v>2140110296</v>
      </c>
      <c r="B437" s="53" t="s">
        <v>674</v>
      </c>
      <c r="C437" s="53"/>
      <c r="D437" s="53" t="s">
        <v>287</v>
      </c>
      <c r="E437" s="53" t="s">
        <v>378</v>
      </c>
      <c r="F437" s="53"/>
      <c r="G437" s="53"/>
      <c r="H437" s="53"/>
      <c r="I437" s="53"/>
      <c r="J437" t="str">
        <f t="shared" si="6"/>
        <v/>
      </c>
      <c r="K437" s="54"/>
    </row>
    <row r="438" spans="1:11" x14ac:dyDescent="0.25">
      <c r="A438" s="53">
        <v>2140110297</v>
      </c>
      <c r="B438" s="53" t="s">
        <v>675</v>
      </c>
      <c r="C438" s="53"/>
      <c r="D438" s="53" t="s">
        <v>287</v>
      </c>
      <c r="E438" s="53" t="s">
        <v>378</v>
      </c>
      <c r="F438" s="53"/>
      <c r="G438" s="53"/>
      <c r="H438" s="53"/>
      <c r="I438" s="53"/>
      <c r="J438" t="str">
        <f t="shared" si="6"/>
        <v/>
      </c>
      <c r="K438" s="54"/>
    </row>
    <row r="439" spans="1:11" x14ac:dyDescent="0.25">
      <c r="A439" s="53">
        <v>2140110298</v>
      </c>
      <c r="B439" s="53" t="s">
        <v>676</v>
      </c>
      <c r="C439" s="53"/>
      <c r="D439" s="53" t="s">
        <v>287</v>
      </c>
      <c r="E439" s="53" t="s">
        <v>378</v>
      </c>
      <c r="F439" s="53"/>
      <c r="G439" s="53"/>
      <c r="H439" s="53"/>
      <c r="I439" s="53"/>
      <c r="J439" t="str">
        <f t="shared" si="6"/>
        <v/>
      </c>
      <c r="K439" s="54"/>
    </row>
    <row r="440" spans="1:11" x14ac:dyDescent="0.25">
      <c r="A440" s="53">
        <v>2140110299</v>
      </c>
      <c r="B440" s="53" t="s">
        <v>677</v>
      </c>
      <c r="C440" s="53"/>
      <c r="D440" s="53" t="s">
        <v>287</v>
      </c>
      <c r="E440" s="53" t="s">
        <v>378</v>
      </c>
      <c r="F440" s="53"/>
      <c r="G440" s="53"/>
      <c r="H440" s="53"/>
      <c r="I440" s="53"/>
      <c r="J440" t="str">
        <f t="shared" si="6"/>
        <v/>
      </c>
      <c r="K440" s="54"/>
    </row>
    <row r="441" spans="1:11" x14ac:dyDescent="0.25">
      <c r="A441" s="53">
        <v>2140110300</v>
      </c>
      <c r="B441" s="53" t="s">
        <v>678</v>
      </c>
      <c r="C441" s="53"/>
      <c r="D441" s="53" t="s">
        <v>287</v>
      </c>
      <c r="E441" s="53" t="s">
        <v>378</v>
      </c>
      <c r="F441" s="53"/>
      <c r="G441" s="53"/>
      <c r="H441" s="53"/>
      <c r="I441" s="53"/>
      <c r="J441" t="str">
        <f t="shared" si="6"/>
        <v/>
      </c>
      <c r="K441" s="54"/>
    </row>
    <row r="442" spans="1:11" x14ac:dyDescent="0.25">
      <c r="A442" s="53">
        <v>2140110302</v>
      </c>
      <c r="B442" s="53" t="s">
        <v>679</v>
      </c>
      <c r="C442" s="53"/>
      <c r="D442" s="53" t="s">
        <v>287</v>
      </c>
      <c r="E442" s="53" t="s">
        <v>378</v>
      </c>
      <c r="F442" s="53"/>
      <c r="G442" s="53"/>
      <c r="H442" s="53"/>
      <c r="I442" s="53"/>
      <c r="J442" t="str">
        <f t="shared" si="6"/>
        <v/>
      </c>
      <c r="K442" s="54"/>
    </row>
    <row r="443" spans="1:11" x14ac:dyDescent="0.25">
      <c r="A443" s="53">
        <v>2140110303</v>
      </c>
      <c r="B443" s="53" t="s">
        <v>680</v>
      </c>
      <c r="C443" s="53"/>
      <c r="D443" s="53" t="s">
        <v>287</v>
      </c>
      <c r="E443" s="53" t="s">
        <v>378</v>
      </c>
      <c r="F443" s="53"/>
      <c r="G443" s="53"/>
      <c r="H443" s="53"/>
      <c r="I443" s="53"/>
      <c r="J443" t="str">
        <f t="shared" si="6"/>
        <v/>
      </c>
      <c r="K443" s="54"/>
    </row>
    <row r="444" spans="1:11" x14ac:dyDescent="0.25">
      <c r="A444" s="53">
        <v>2140110304</v>
      </c>
      <c r="B444" s="53" t="s">
        <v>681</v>
      </c>
      <c r="C444" s="53"/>
      <c r="D444" s="53" t="s">
        <v>287</v>
      </c>
      <c r="E444" s="53" t="s">
        <v>378</v>
      </c>
      <c r="F444" s="53"/>
      <c r="G444" s="53"/>
      <c r="H444" s="53"/>
      <c r="I444" s="53"/>
      <c r="J444" t="str">
        <f t="shared" si="6"/>
        <v/>
      </c>
      <c r="K444" s="54"/>
    </row>
    <row r="445" spans="1:11" x14ac:dyDescent="0.25">
      <c r="A445" s="53">
        <v>2140110305</v>
      </c>
      <c r="B445" s="53" t="s">
        <v>682</v>
      </c>
      <c r="C445" s="53"/>
      <c r="D445" s="53" t="s">
        <v>287</v>
      </c>
      <c r="E445" s="53" t="s">
        <v>378</v>
      </c>
      <c r="F445" s="53"/>
      <c r="G445" s="53"/>
      <c r="H445" s="53"/>
      <c r="I445" s="53"/>
      <c r="J445" t="str">
        <f t="shared" si="6"/>
        <v/>
      </c>
      <c r="K445" s="54"/>
    </row>
    <row r="446" spans="1:11" x14ac:dyDescent="0.25">
      <c r="A446" s="53">
        <v>2140110306</v>
      </c>
      <c r="B446" s="53" t="s">
        <v>683</v>
      </c>
      <c r="C446" s="53"/>
      <c r="D446" s="53" t="s">
        <v>287</v>
      </c>
      <c r="E446" s="53" t="s">
        <v>378</v>
      </c>
      <c r="F446" s="53"/>
      <c r="G446" s="53"/>
      <c r="H446" s="53"/>
      <c r="I446" s="53"/>
      <c r="J446" t="str">
        <f t="shared" si="6"/>
        <v/>
      </c>
      <c r="K446" s="54"/>
    </row>
    <row r="447" spans="1:11" x14ac:dyDescent="0.25">
      <c r="A447" s="53">
        <v>2140110307</v>
      </c>
      <c r="B447" s="53" t="s">
        <v>684</v>
      </c>
      <c r="C447" s="53"/>
      <c r="D447" s="53" t="s">
        <v>287</v>
      </c>
      <c r="E447" s="53" t="s">
        <v>378</v>
      </c>
      <c r="F447" s="53"/>
      <c r="G447" s="53"/>
      <c r="H447" s="53"/>
      <c r="I447" s="53"/>
      <c r="J447" t="str">
        <f t="shared" si="6"/>
        <v/>
      </c>
      <c r="K447" s="54"/>
    </row>
    <row r="448" spans="1:11" x14ac:dyDescent="0.25">
      <c r="A448" s="53">
        <v>2140110309</v>
      </c>
      <c r="B448" s="53" t="s">
        <v>685</v>
      </c>
      <c r="C448" s="53"/>
      <c r="D448" s="53" t="s">
        <v>287</v>
      </c>
      <c r="E448" s="53" t="s">
        <v>378</v>
      </c>
      <c r="F448" s="53"/>
      <c r="G448" s="53"/>
      <c r="H448" s="53"/>
      <c r="I448" s="53"/>
      <c r="J448" t="str">
        <f t="shared" si="6"/>
        <v/>
      </c>
      <c r="K448" s="54"/>
    </row>
    <row r="449" spans="1:11" x14ac:dyDescent="0.25">
      <c r="A449" s="53">
        <v>2140110310</v>
      </c>
      <c r="B449" s="53" t="s">
        <v>686</v>
      </c>
      <c r="C449" s="53"/>
      <c r="D449" s="53" t="s">
        <v>287</v>
      </c>
      <c r="E449" s="53" t="s">
        <v>378</v>
      </c>
      <c r="F449" s="53"/>
      <c r="G449" s="53"/>
      <c r="H449" s="53"/>
      <c r="I449" s="53"/>
      <c r="J449" t="str">
        <f t="shared" si="6"/>
        <v/>
      </c>
      <c r="K449" s="54"/>
    </row>
    <row r="450" spans="1:11" x14ac:dyDescent="0.25">
      <c r="A450" s="53">
        <v>2140110311</v>
      </c>
      <c r="B450" s="53" t="s">
        <v>687</v>
      </c>
      <c r="C450" s="53"/>
      <c r="D450" s="53" t="s">
        <v>287</v>
      </c>
      <c r="E450" s="53" t="s">
        <v>378</v>
      </c>
      <c r="F450" s="53"/>
      <c r="G450" s="53"/>
      <c r="H450" s="53"/>
      <c r="I450" s="53"/>
      <c r="J450" t="str">
        <f t="shared" ref="J450:J513" si="7">IF(COUNT(F450:I450)=4,ROUND(G450/1000*H450/100*I450/100*F450/3,4),"")</f>
        <v/>
      </c>
      <c r="K450" s="54"/>
    </row>
    <row r="451" spans="1:11" x14ac:dyDescent="0.25">
      <c r="A451" s="53">
        <v>2140110312</v>
      </c>
      <c r="B451" s="53" t="s">
        <v>688</v>
      </c>
      <c r="C451" s="53"/>
      <c r="D451" s="53" t="s">
        <v>287</v>
      </c>
      <c r="E451" s="53" t="s">
        <v>378</v>
      </c>
      <c r="F451" s="53"/>
      <c r="G451" s="53"/>
      <c r="H451" s="53"/>
      <c r="I451" s="53"/>
      <c r="J451" t="str">
        <f t="shared" si="7"/>
        <v/>
      </c>
      <c r="K451" s="54"/>
    </row>
    <row r="452" spans="1:11" x14ac:dyDescent="0.25">
      <c r="A452" s="53">
        <v>2140110313</v>
      </c>
      <c r="B452" s="53" t="s">
        <v>689</v>
      </c>
      <c r="C452" s="53"/>
      <c r="D452" s="53" t="s">
        <v>287</v>
      </c>
      <c r="E452" s="53" t="s">
        <v>378</v>
      </c>
      <c r="F452" s="53"/>
      <c r="G452" s="53"/>
      <c r="H452" s="53"/>
      <c r="I452" s="53"/>
      <c r="J452" t="str">
        <f t="shared" si="7"/>
        <v/>
      </c>
      <c r="K452" s="54"/>
    </row>
    <row r="453" spans="1:11" x14ac:dyDescent="0.25">
      <c r="A453" s="53">
        <v>2140110314</v>
      </c>
      <c r="B453" s="53" t="s">
        <v>690</v>
      </c>
      <c r="C453" s="53"/>
      <c r="D453" s="53" t="s">
        <v>287</v>
      </c>
      <c r="E453" s="53" t="s">
        <v>378</v>
      </c>
      <c r="F453" s="53"/>
      <c r="G453" s="53"/>
      <c r="H453" s="53"/>
      <c r="I453" s="53"/>
      <c r="J453" t="str">
        <f t="shared" si="7"/>
        <v/>
      </c>
      <c r="K453" s="54"/>
    </row>
    <row r="454" spans="1:11" x14ac:dyDescent="0.25">
      <c r="A454" s="53">
        <v>2140110315</v>
      </c>
      <c r="B454" s="53" t="s">
        <v>691</v>
      </c>
      <c r="C454" s="53"/>
      <c r="D454" s="53" t="s">
        <v>287</v>
      </c>
      <c r="E454" s="53" t="s">
        <v>378</v>
      </c>
      <c r="F454" s="53"/>
      <c r="G454" s="53"/>
      <c r="H454" s="53"/>
      <c r="I454" s="53"/>
      <c r="J454" t="str">
        <f t="shared" si="7"/>
        <v/>
      </c>
      <c r="K454" s="54"/>
    </row>
    <row r="455" spans="1:11" x14ac:dyDescent="0.25">
      <c r="A455" s="53">
        <v>2140110316</v>
      </c>
      <c r="B455" s="53" t="s">
        <v>692</v>
      </c>
      <c r="C455" s="53"/>
      <c r="D455" s="53" t="s">
        <v>287</v>
      </c>
      <c r="E455" s="53" t="s">
        <v>378</v>
      </c>
      <c r="F455" s="53"/>
      <c r="G455" s="53"/>
      <c r="H455" s="53"/>
      <c r="I455" s="53"/>
      <c r="J455" t="str">
        <f t="shared" si="7"/>
        <v/>
      </c>
      <c r="K455" s="54"/>
    </row>
    <row r="456" spans="1:11" x14ac:dyDescent="0.25">
      <c r="A456" s="53">
        <v>2140110318</v>
      </c>
      <c r="B456" s="53" t="s">
        <v>693</v>
      </c>
      <c r="C456" s="53"/>
      <c r="D456" s="53" t="s">
        <v>287</v>
      </c>
      <c r="E456" s="53" t="s">
        <v>378</v>
      </c>
      <c r="F456" s="53"/>
      <c r="G456" s="53"/>
      <c r="H456" s="53"/>
      <c r="I456" s="53"/>
      <c r="J456" t="str">
        <f t="shared" si="7"/>
        <v/>
      </c>
      <c r="K456" s="54"/>
    </row>
    <row r="457" spans="1:11" x14ac:dyDescent="0.25">
      <c r="A457" s="53">
        <v>2140110319</v>
      </c>
      <c r="B457" s="53" t="s">
        <v>694</v>
      </c>
      <c r="C457" s="53"/>
      <c r="D457" s="53" t="s">
        <v>287</v>
      </c>
      <c r="E457" s="53" t="s">
        <v>378</v>
      </c>
      <c r="F457" s="53"/>
      <c r="G457" s="53"/>
      <c r="H457" s="53"/>
      <c r="I457" s="53"/>
      <c r="J457" t="str">
        <f t="shared" si="7"/>
        <v/>
      </c>
      <c r="K457" s="54"/>
    </row>
    <row r="458" spans="1:11" x14ac:dyDescent="0.25">
      <c r="A458" s="53">
        <v>2140110320</v>
      </c>
      <c r="B458" s="53" t="s">
        <v>695</v>
      </c>
      <c r="C458" s="53"/>
      <c r="D458" s="53" t="s">
        <v>287</v>
      </c>
      <c r="E458" s="53" t="s">
        <v>378</v>
      </c>
      <c r="F458" s="53"/>
      <c r="G458" s="53"/>
      <c r="H458" s="53"/>
      <c r="I458" s="53"/>
      <c r="J458" t="str">
        <f t="shared" si="7"/>
        <v/>
      </c>
      <c r="K458" s="54"/>
    </row>
    <row r="459" spans="1:11" x14ac:dyDescent="0.25">
      <c r="A459" s="53">
        <v>2140110322</v>
      </c>
      <c r="B459" s="53" t="s">
        <v>696</v>
      </c>
      <c r="C459" s="53"/>
      <c r="D459" s="53" t="s">
        <v>287</v>
      </c>
      <c r="E459" s="53" t="s">
        <v>378</v>
      </c>
      <c r="F459" s="53"/>
      <c r="G459" s="53"/>
      <c r="H459" s="53"/>
      <c r="I459" s="53"/>
      <c r="J459" t="str">
        <f t="shared" si="7"/>
        <v/>
      </c>
      <c r="K459" s="54"/>
    </row>
    <row r="460" spans="1:11" x14ac:dyDescent="0.25">
      <c r="A460" s="53">
        <v>2140110323</v>
      </c>
      <c r="B460" s="53" t="s">
        <v>697</v>
      </c>
      <c r="C460" s="53"/>
      <c r="D460" s="53" t="s">
        <v>287</v>
      </c>
      <c r="E460" s="53" t="s">
        <v>378</v>
      </c>
      <c r="F460" s="53"/>
      <c r="G460" s="53"/>
      <c r="H460" s="53"/>
      <c r="I460" s="53"/>
      <c r="J460" t="str">
        <f t="shared" si="7"/>
        <v/>
      </c>
      <c r="K460" s="54"/>
    </row>
    <row r="461" spans="1:11" x14ac:dyDescent="0.25">
      <c r="A461" s="53">
        <v>2140110324</v>
      </c>
      <c r="B461" s="53" t="s">
        <v>698</v>
      </c>
      <c r="C461" s="53"/>
      <c r="D461" s="53" t="s">
        <v>287</v>
      </c>
      <c r="E461" s="53" t="s">
        <v>378</v>
      </c>
      <c r="F461" s="53"/>
      <c r="G461" s="53"/>
      <c r="H461" s="53"/>
      <c r="I461" s="53"/>
      <c r="J461" t="str">
        <f t="shared" si="7"/>
        <v/>
      </c>
      <c r="K461" s="54"/>
    </row>
    <row r="462" spans="1:11" x14ac:dyDescent="0.25">
      <c r="A462" s="53">
        <v>2140110325</v>
      </c>
      <c r="B462" s="53" t="s">
        <v>699</v>
      </c>
      <c r="C462" s="53"/>
      <c r="D462" s="53" t="s">
        <v>287</v>
      </c>
      <c r="E462" s="53" t="s">
        <v>378</v>
      </c>
      <c r="F462" s="53"/>
      <c r="G462" s="53"/>
      <c r="H462" s="53"/>
      <c r="I462" s="53"/>
      <c r="J462" t="str">
        <f t="shared" si="7"/>
        <v/>
      </c>
      <c r="K462" s="54"/>
    </row>
    <row r="463" spans="1:11" x14ac:dyDescent="0.25">
      <c r="A463" s="53">
        <v>2140110326</v>
      </c>
      <c r="B463" s="53" t="s">
        <v>700</v>
      </c>
      <c r="C463" s="53"/>
      <c r="D463" s="53" t="s">
        <v>287</v>
      </c>
      <c r="E463" s="53" t="s">
        <v>378</v>
      </c>
      <c r="F463" s="53"/>
      <c r="G463" s="53"/>
      <c r="H463" s="53"/>
      <c r="I463" s="53"/>
      <c r="J463" t="str">
        <f t="shared" si="7"/>
        <v/>
      </c>
      <c r="K463" s="54"/>
    </row>
    <row r="464" spans="1:11" x14ac:dyDescent="0.25">
      <c r="A464" s="53">
        <v>2140110333</v>
      </c>
      <c r="B464" s="53" t="s">
        <v>701</v>
      </c>
      <c r="C464" s="53"/>
      <c r="D464" s="53" t="s">
        <v>287</v>
      </c>
      <c r="E464" s="53" t="s">
        <v>378</v>
      </c>
      <c r="F464" s="53"/>
      <c r="G464" s="53"/>
      <c r="H464" s="53"/>
      <c r="I464" s="53"/>
      <c r="J464" t="str">
        <f t="shared" si="7"/>
        <v/>
      </c>
      <c r="K464" s="54"/>
    </row>
    <row r="465" spans="1:11" x14ac:dyDescent="0.25">
      <c r="A465" s="53">
        <v>2140110334</v>
      </c>
      <c r="B465" s="53" t="s">
        <v>702</v>
      </c>
      <c r="C465" s="53"/>
      <c r="D465" s="53" t="s">
        <v>287</v>
      </c>
      <c r="E465" s="53" t="s">
        <v>378</v>
      </c>
      <c r="F465" s="53"/>
      <c r="G465" s="53"/>
      <c r="H465" s="53"/>
      <c r="I465" s="53"/>
      <c r="J465" t="str">
        <f t="shared" si="7"/>
        <v/>
      </c>
      <c r="K465" s="54"/>
    </row>
    <row r="466" spans="1:11" x14ac:dyDescent="0.25">
      <c r="A466" s="53">
        <v>2140110335</v>
      </c>
      <c r="B466" s="53" t="s">
        <v>703</v>
      </c>
      <c r="C466" s="53"/>
      <c r="D466" s="53" t="s">
        <v>287</v>
      </c>
      <c r="E466" s="53" t="s">
        <v>378</v>
      </c>
      <c r="F466" s="53"/>
      <c r="G466" s="53"/>
      <c r="H466" s="53"/>
      <c r="I466" s="53"/>
      <c r="J466" t="str">
        <f t="shared" si="7"/>
        <v/>
      </c>
      <c r="K466" s="54"/>
    </row>
    <row r="467" spans="1:11" x14ac:dyDescent="0.25">
      <c r="A467" s="53">
        <v>2140110336</v>
      </c>
      <c r="B467" s="53" t="s">
        <v>704</v>
      </c>
      <c r="C467" s="53"/>
      <c r="D467" s="53" t="s">
        <v>287</v>
      </c>
      <c r="E467" s="53" t="s">
        <v>378</v>
      </c>
      <c r="F467" s="53"/>
      <c r="G467" s="53"/>
      <c r="H467" s="53"/>
      <c r="I467" s="53"/>
      <c r="J467" t="str">
        <f t="shared" si="7"/>
        <v/>
      </c>
      <c r="K467" s="54"/>
    </row>
    <row r="468" spans="1:11" x14ac:dyDescent="0.25">
      <c r="A468" s="53">
        <v>2140110337</v>
      </c>
      <c r="B468" s="53" t="s">
        <v>705</v>
      </c>
      <c r="C468" s="53"/>
      <c r="D468" s="53" t="s">
        <v>287</v>
      </c>
      <c r="E468" s="53" t="s">
        <v>378</v>
      </c>
      <c r="F468" s="53"/>
      <c r="G468" s="53"/>
      <c r="H468" s="53"/>
      <c r="I468" s="53"/>
      <c r="J468" t="str">
        <f t="shared" si="7"/>
        <v/>
      </c>
      <c r="K468" s="54"/>
    </row>
    <row r="469" spans="1:11" x14ac:dyDescent="0.25">
      <c r="A469" s="53">
        <v>2140110338</v>
      </c>
      <c r="B469" s="53" t="s">
        <v>706</v>
      </c>
      <c r="C469" s="53"/>
      <c r="D469" s="53" t="s">
        <v>287</v>
      </c>
      <c r="E469" s="53" t="s">
        <v>378</v>
      </c>
      <c r="F469" s="53"/>
      <c r="G469" s="53"/>
      <c r="H469" s="53"/>
      <c r="I469" s="53"/>
      <c r="J469" t="str">
        <f t="shared" si="7"/>
        <v/>
      </c>
      <c r="K469" s="54"/>
    </row>
    <row r="470" spans="1:11" x14ac:dyDescent="0.25">
      <c r="A470" s="53">
        <v>2140110339</v>
      </c>
      <c r="B470" s="53" t="s">
        <v>707</v>
      </c>
      <c r="C470" s="53"/>
      <c r="D470" s="53" t="s">
        <v>287</v>
      </c>
      <c r="E470" s="53" t="s">
        <v>378</v>
      </c>
      <c r="F470" s="53"/>
      <c r="G470" s="53"/>
      <c r="H470" s="53"/>
      <c r="I470" s="53"/>
      <c r="J470" t="str">
        <f t="shared" si="7"/>
        <v/>
      </c>
      <c r="K470" s="54"/>
    </row>
    <row r="471" spans="1:11" x14ac:dyDescent="0.25">
      <c r="A471" s="53">
        <v>2140110340</v>
      </c>
      <c r="B471" s="53" t="s">
        <v>708</v>
      </c>
      <c r="C471" s="53"/>
      <c r="D471" s="53" t="s">
        <v>287</v>
      </c>
      <c r="E471" s="53" t="s">
        <v>378</v>
      </c>
      <c r="F471" s="53"/>
      <c r="G471" s="53"/>
      <c r="H471" s="53"/>
      <c r="I471" s="53"/>
      <c r="J471" t="str">
        <f t="shared" si="7"/>
        <v/>
      </c>
      <c r="K471" s="54"/>
    </row>
    <row r="472" spans="1:11" x14ac:dyDescent="0.25">
      <c r="A472" s="53">
        <v>2140110341</v>
      </c>
      <c r="B472" s="53" t="s">
        <v>709</v>
      </c>
      <c r="C472" s="53"/>
      <c r="D472" s="53" t="s">
        <v>287</v>
      </c>
      <c r="E472" s="53" t="s">
        <v>378</v>
      </c>
      <c r="F472" s="53"/>
      <c r="G472" s="53"/>
      <c r="H472" s="53"/>
      <c r="I472" s="53"/>
      <c r="J472" t="str">
        <f t="shared" si="7"/>
        <v/>
      </c>
      <c r="K472" s="54"/>
    </row>
    <row r="473" spans="1:11" x14ac:dyDescent="0.25">
      <c r="A473" s="53">
        <v>2140110342</v>
      </c>
      <c r="B473" s="53" t="s">
        <v>710</v>
      </c>
      <c r="C473" s="53"/>
      <c r="D473" s="53" t="s">
        <v>287</v>
      </c>
      <c r="E473" s="53" t="s">
        <v>378</v>
      </c>
      <c r="F473" s="53"/>
      <c r="G473" s="53"/>
      <c r="H473" s="53"/>
      <c r="I473" s="53"/>
      <c r="J473" t="str">
        <f t="shared" si="7"/>
        <v/>
      </c>
      <c r="K473" s="54"/>
    </row>
    <row r="474" spans="1:11" x14ac:dyDescent="0.25">
      <c r="A474" s="53">
        <v>2140110343</v>
      </c>
      <c r="B474" s="53" t="s">
        <v>711</v>
      </c>
      <c r="C474" s="53"/>
      <c r="D474" s="53" t="s">
        <v>287</v>
      </c>
      <c r="E474" s="53" t="s">
        <v>378</v>
      </c>
      <c r="F474" s="53"/>
      <c r="G474" s="53"/>
      <c r="H474" s="53"/>
      <c r="I474" s="53"/>
      <c r="J474" t="str">
        <f t="shared" si="7"/>
        <v/>
      </c>
      <c r="K474" s="54"/>
    </row>
    <row r="475" spans="1:11" x14ac:dyDescent="0.25">
      <c r="A475" s="53">
        <v>2140110344</v>
      </c>
      <c r="B475" s="53" t="s">
        <v>712</v>
      </c>
      <c r="C475" s="53"/>
      <c r="D475" s="53" t="s">
        <v>287</v>
      </c>
      <c r="E475" s="53" t="s">
        <v>378</v>
      </c>
      <c r="F475" s="53"/>
      <c r="G475" s="53"/>
      <c r="H475" s="53"/>
      <c r="I475" s="53"/>
      <c r="J475" t="str">
        <f t="shared" si="7"/>
        <v/>
      </c>
      <c r="K475" s="54"/>
    </row>
    <row r="476" spans="1:11" x14ac:dyDescent="0.25">
      <c r="A476" s="53">
        <v>2140110345</v>
      </c>
      <c r="B476" s="53" t="s">
        <v>713</v>
      </c>
      <c r="C476" s="53"/>
      <c r="D476" s="53" t="s">
        <v>287</v>
      </c>
      <c r="E476" s="53" t="s">
        <v>378</v>
      </c>
      <c r="F476" s="53"/>
      <c r="G476" s="53"/>
      <c r="H476" s="53"/>
      <c r="I476" s="53"/>
      <c r="J476" t="str">
        <f t="shared" si="7"/>
        <v/>
      </c>
      <c r="K476" s="54"/>
    </row>
    <row r="477" spans="1:11" x14ac:dyDescent="0.25">
      <c r="A477" s="53">
        <v>2140110346</v>
      </c>
      <c r="B477" s="53" t="s">
        <v>714</v>
      </c>
      <c r="C477" s="53"/>
      <c r="D477" s="53" t="s">
        <v>287</v>
      </c>
      <c r="E477" s="53" t="s">
        <v>378</v>
      </c>
      <c r="F477" s="53"/>
      <c r="G477" s="53"/>
      <c r="H477" s="53"/>
      <c r="I477" s="53"/>
      <c r="J477" t="str">
        <f t="shared" si="7"/>
        <v/>
      </c>
      <c r="K477" s="54"/>
    </row>
    <row r="478" spans="1:11" x14ac:dyDescent="0.25">
      <c r="A478" s="53">
        <v>2140110347</v>
      </c>
      <c r="B478" s="53" t="s">
        <v>715</v>
      </c>
      <c r="C478" s="53"/>
      <c r="D478" s="53" t="s">
        <v>287</v>
      </c>
      <c r="E478" s="53" t="s">
        <v>378</v>
      </c>
      <c r="F478" s="53"/>
      <c r="G478" s="53"/>
      <c r="H478" s="53"/>
      <c r="I478" s="53"/>
      <c r="J478" t="str">
        <f t="shared" si="7"/>
        <v/>
      </c>
      <c r="K478" s="54"/>
    </row>
    <row r="479" spans="1:11" x14ac:dyDescent="0.25">
      <c r="A479" s="53">
        <v>2140110348</v>
      </c>
      <c r="B479" s="53" t="s">
        <v>716</v>
      </c>
      <c r="C479" s="53"/>
      <c r="D479" s="53" t="s">
        <v>287</v>
      </c>
      <c r="E479" s="53" t="s">
        <v>378</v>
      </c>
      <c r="F479" s="53"/>
      <c r="G479" s="53"/>
      <c r="H479" s="53"/>
      <c r="I479" s="53"/>
      <c r="J479" t="str">
        <f t="shared" si="7"/>
        <v/>
      </c>
      <c r="K479" s="54"/>
    </row>
    <row r="480" spans="1:11" x14ac:dyDescent="0.25">
      <c r="A480" s="53">
        <v>2140110349</v>
      </c>
      <c r="B480" s="53" t="s">
        <v>717</v>
      </c>
      <c r="C480" s="53"/>
      <c r="D480" s="53" t="s">
        <v>287</v>
      </c>
      <c r="E480" s="53" t="s">
        <v>378</v>
      </c>
      <c r="F480" s="53"/>
      <c r="G480" s="53"/>
      <c r="H480" s="53"/>
      <c r="I480" s="53"/>
      <c r="J480" t="str">
        <f t="shared" si="7"/>
        <v/>
      </c>
      <c r="K480" s="54"/>
    </row>
    <row r="481" spans="1:11" x14ac:dyDescent="0.25">
      <c r="A481" s="53">
        <v>2140110350</v>
      </c>
      <c r="B481" s="53" t="s">
        <v>718</v>
      </c>
      <c r="C481" s="53"/>
      <c r="D481" s="53" t="s">
        <v>287</v>
      </c>
      <c r="E481" s="53" t="s">
        <v>378</v>
      </c>
      <c r="F481" s="53"/>
      <c r="G481" s="53"/>
      <c r="H481" s="53"/>
      <c r="I481" s="53"/>
      <c r="J481" t="str">
        <f t="shared" si="7"/>
        <v/>
      </c>
      <c r="K481" s="54"/>
    </row>
    <row r="482" spans="1:11" x14ac:dyDescent="0.25">
      <c r="A482" s="53">
        <v>2140110351</v>
      </c>
      <c r="B482" s="53" t="s">
        <v>719</v>
      </c>
      <c r="C482" s="53"/>
      <c r="D482" s="53" t="s">
        <v>287</v>
      </c>
      <c r="E482" s="53" t="s">
        <v>378</v>
      </c>
      <c r="F482" s="53"/>
      <c r="G482" s="53"/>
      <c r="H482" s="53"/>
      <c r="I482" s="53"/>
      <c r="J482" t="str">
        <f t="shared" si="7"/>
        <v/>
      </c>
      <c r="K482" s="54"/>
    </row>
    <row r="483" spans="1:11" x14ac:dyDescent="0.25">
      <c r="A483" s="53">
        <v>2140110352</v>
      </c>
      <c r="B483" s="53" t="s">
        <v>720</v>
      </c>
      <c r="C483" s="53"/>
      <c r="D483" s="53" t="s">
        <v>287</v>
      </c>
      <c r="E483" s="53" t="s">
        <v>378</v>
      </c>
      <c r="F483" s="53"/>
      <c r="G483" s="53"/>
      <c r="H483" s="53"/>
      <c r="I483" s="53"/>
      <c r="J483" t="str">
        <f t="shared" si="7"/>
        <v/>
      </c>
      <c r="K483" s="54"/>
    </row>
    <row r="484" spans="1:11" x14ac:dyDescent="0.25">
      <c r="A484" s="53">
        <v>2140110354</v>
      </c>
      <c r="B484" s="53" t="s">
        <v>721</v>
      </c>
      <c r="C484" s="53"/>
      <c r="D484" s="53" t="s">
        <v>287</v>
      </c>
      <c r="E484" s="53" t="s">
        <v>378</v>
      </c>
      <c r="F484" s="53"/>
      <c r="G484" s="53"/>
      <c r="H484" s="53"/>
      <c r="I484" s="53"/>
      <c r="J484" t="str">
        <f t="shared" si="7"/>
        <v/>
      </c>
      <c r="K484" s="54"/>
    </row>
    <row r="485" spans="1:11" x14ac:dyDescent="0.25">
      <c r="A485" s="53">
        <v>2140110355</v>
      </c>
      <c r="B485" s="53" t="s">
        <v>722</v>
      </c>
      <c r="C485" s="53"/>
      <c r="D485" s="53" t="s">
        <v>287</v>
      </c>
      <c r="E485" s="53" t="s">
        <v>378</v>
      </c>
      <c r="F485" s="53"/>
      <c r="G485" s="53"/>
      <c r="H485" s="53"/>
      <c r="I485" s="53"/>
      <c r="J485" t="str">
        <f t="shared" si="7"/>
        <v/>
      </c>
      <c r="K485" s="54"/>
    </row>
    <row r="486" spans="1:11" x14ac:dyDescent="0.25">
      <c r="A486" s="53">
        <v>2140110356</v>
      </c>
      <c r="B486" s="53" t="s">
        <v>723</v>
      </c>
      <c r="C486" s="53"/>
      <c r="D486" s="53" t="s">
        <v>287</v>
      </c>
      <c r="E486" s="53" t="s">
        <v>378</v>
      </c>
      <c r="F486" s="53"/>
      <c r="G486" s="53"/>
      <c r="H486" s="53"/>
      <c r="I486" s="53"/>
      <c r="J486" t="str">
        <f t="shared" si="7"/>
        <v/>
      </c>
      <c r="K486" s="54"/>
    </row>
    <row r="487" spans="1:11" x14ac:dyDescent="0.25">
      <c r="A487" s="53">
        <v>2140110357</v>
      </c>
      <c r="B487" s="53" t="s">
        <v>724</v>
      </c>
      <c r="C487" s="53"/>
      <c r="D487" s="53" t="s">
        <v>287</v>
      </c>
      <c r="E487" s="53" t="s">
        <v>378</v>
      </c>
      <c r="F487" s="53"/>
      <c r="G487" s="53"/>
      <c r="H487" s="53"/>
      <c r="I487" s="53"/>
      <c r="J487" t="str">
        <f t="shared" si="7"/>
        <v/>
      </c>
      <c r="K487" s="54"/>
    </row>
    <row r="488" spans="1:11" x14ac:dyDescent="0.25">
      <c r="A488" s="53">
        <v>2140110358</v>
      </c>
      <c r="B488" s="53" t="s">
        <v>725</v>
      </c>
      <c r="C488" s="53"/>
      <c r="D488" s="53" t="s">
        <v>287</v>
      </c>
      <c r="E488" s="53" t="s">
        <v>378</v>
      </c>
      <c r="F488" s="53"/>
      <c r="G488" s="53"/>
      <c r="H488" s="53"/>
      <c r="I488" s="53"/>
      <c r="J488" t="str">
        <f t="shared" si="7"/>
        <v/>
      </c>
      <c r="K488" s="54"/>
    </row>
    <row r="489" spans="1:11" x14ac:dyDescent="0.25">
      <c r="A489" s="53">
        <v>2140110359</v>
      </c>
      <c r="B489" s="53" t="s">
        <v>726</v>
      </c>
      <c r="C489" s="53"/>
      <c r="D489" s="53" t="s">
        <v>287</v>
      </c>
      <c r="E489" s="53" t="s">
        <v>378</v>
      </c>
      <c r="F489" s="53"/>
      <c r="G489" s="53"/>
      <c r="H489" s="53"/>
      <c r="I489" s="53"/>
      <c r="J489" t="str">
        <f t="shared" si="7"/>
        <v/>
      </c>
      <c r="K489" s="54"/>
    </row>
    <row r="490" spans="1:11" x14ac:dyDescent="0.25">
      <c r="A490" s="53">
        <v>2140110360</v>
      </c>
      <c r="B490" s="53" t="s">
        <v>727</v>
      </c>
      <c r="C490" s="53"/>
      <c r="D490" s="53" t="s">
        <v>287</v>
      </c>
      <c r="E490" s="53" t="s">
        <v>378</v>
      </c>
      <c r="F490" s="53"/>
      <c r="G490" s="53"/>
      <c r="H490" s="53"/>
      <c r="I490" s="53"/>
      <c r="J490" t="str">
        <f t="shared" si="7"/>
        <v/>
      </c>
      <c r="K490" s="54"/>
    </row>
    <row r="491" spans="1:11" x14ac:dyDescent="0.25">
      <c r="A491" s="53">
        <v>2140110401</v>
      </c>
      <c r="B491" s="53" t="s">
        <v>728</v>
      </c>
      <c r="C491" s="53"/>
      <c r="D491" s="53" t="s">
        <v>287</v>
      </c>
      <c r="E491" s="53" t="s">
        <v>378</v>
      </c>
      <c r="F491" s="53"/>
      <c r="G491" s="53"/>
      <c r="H491" s="53"/>
      <c r="I491" s="53"/>
      <c r="J491" t="str">
        <f t="shared" si="7"/>
        <v/>
      </c>
      <c r="K491" s="54"/>
    </row>
    <row r="492" spans="1:11" x14ac:dyDescent="0.25">
      <c r="A492" s="53">
        <v>2140110402</v>
      </c>
      <c r="B492" s="53" t="s">
        <v>729</v>
      </c>
      <c r="C492" s="53"/>
      <c r="D492" s="53" t="s">
        <v>287</v>
      </c>
      <c r="E492" s="53" t="s">
        <v>378</v>
      </c>
      <c r="F492" s="53"/>
      <c r="G492" s="53"/>
      <c r="H492" s="53"/>
      <c r="I492" s="53"/>
      <c r="J492" t="str">
        <f t="shared" si="7"/>
        <v/>
      </c>
      <c r="K492" s="54"/>
    </row>
    <row r="493" spans="1:11" x14ac:dyDescent="0.25">
      <c r="A493" s="53">
        <v>2140110403</v>
      </c>
      <c r="B493" s="53" t="s">
        <v>730</v>
      </c>
      <c r="C493" s="53"/>
      <c r="D493" s="53" t="s">
        <v>287</v>
      </c>
      <c r="E493" s="53" t="s">
        <v>378</v>
      </c>
      <c r="F493" s="53"/>
      <c r="G493" s="53"/>
      <c r="H493" s="53"/>
      <c r="I493" s="53"/>
      <c r="J493" t="str">
        <f t="shared" si="7"/>
        <v/>
      </c>
      <c r="K493" s="54"/>
    </row>
    <row r="494" spans="1:11" x14ac:dyDescent="0.25">
      <c r="A494" s="53">
        <v>2140110405</v>
      </c>
      <c r="B494" s="53" t="s">
        <v>731</v>
      </c>
      <c r="C494" s="53"/>
      <c r="D494" s="53" t="s">
        <v>287</v>
      </c>
      <c r="E494" s="53" t="s">
        <v>378</v>
      </c>
      <c r="F494" s="53"/>
      <c r="G494" s="53"/>
      <c r="H494" s="53"/>
      <c r="I494" s="53"/>
      <c r="J494" t="str">
        <f t="shared" si="7"/>
        <v/>
      </c>
      <c r="K494" s="54"/>
    </row>
    <row r="495" spans="1:11" x14ac:dyDescent="0.25">
      <c r="A495" s="53">
        <v>2140110407</v>
      </c>
      <c r="B495" s="53" t="s">
        <v>732</v>
      </c>
      <c r="C495" s="53"/>
      <c r="D495" s="53" t="s">
        <v>287</v>
      </c>
      <c r="E495" s="53" t="s">
        <v>378</v>
      </c>
      <c r="F495" s="53"/>
      <c r="G495" s="53"/>
      <c r="H495" s="53"/>
      <c r="I495" s="53"/>
      <c r="J495" t="str">
        <f t="shared" si="7"/>
        <v/>
      </c>
      <c r="K495" s="54"/>
    </row>
    <row r="496" spans="1:11" x14ac:dyDescent="0.25">
      <c r="A496" s="53">
        <v>2140110408</v>
      </c>
      <c r="B496" s="53" t="s">
        <v>733</v>
      </c>
      <c r="C496" s="53"/>
      <c r="D496" s="53" t="s">
        <v>287</v>
      </c>
      <c r="E496" s="53" t="s">
        <v>378</v>
      </c>
      <c r="F496" s="53"/>
      <c r="G496" s="53"/>
      <c r="H496" s="53"/>
      <c r="I496" s="53"/>
      <c r="J496" t="str">
        <f t="shared" si="7"/>
        <v/>
      </c>
      <c r="K496" s="54"/>
    </row>
    <row r="497" spans="1:11" x14ac:dyDescent="0.25">
      <c r="A497" s="53">
        <v>2140110409</v>
      </c>
      <c r="B497" s="53" t="s">
        <v>734</v>
      </c>
      <c r="C497" s="53"/>
      <c r="D497" s="53" t="s">
        <v>287</v>
      </c>
      <c r="E497" s="53" t="s">
        <v>378</v>
      </c>
      <c r="F497" s="53"/>
      <c r="G497" s="53"/>
      <c r="H497" s="53"/>
      <c r="I497" s="53"/>
      <c r="J497" t="str">
        <f t="shared" si="7"/>
        <v/>
      </c>
      <c r="K497" s="54"/>
    </row>
    <row r="498" spans="1:11" x14ac:dyDescent="0.25">
      <c r="A498" s="53">
        <v>2140110410</v>
      </c>
      <c r="B498" s="53" t="s">
        <v>735</v>
      </c>
      <c r="C498" s="53"/>
      <c r="D498" s="53" t="s">
        <v>287</v>
      </c>
      <c r="E498" s="53" t="s">
        <v>378</v>
      </c>
      <c r="F498" s="53"/>
      <c r="G498" s="53"/>
      <c r="H498" s="53"/>
      <c r="I498" s="53"/>
      <c r="J498" t="str">
        <f t="shared" si="7"/>
        <v/>
      </c>
      <c r="K498" s="54"/>
    </row>
    <row r="499" spans="1:11" x14ac:dyDescent="0.25">
      <c r="A499" s="53">
        <v>2140110415</v>
      </c>
      <c r="B499" s="53" t="s">
        <v>736</v>
      </c>
      <c r="C499" s="53"/>
      <c r="D499" s="53" t="s">
        <v>287</v>
      </c>
      <c r="E499" s="53" t="s">
        <v>378</v>
      </c>
      <c r="F499" s="53"/>
      <c r="G499" s="53"/>
      <c r="H499" s="53"/>
      <c r="I499" s="53"/>
      <c r="J499" t="str">
        <f t="shared" si="7"/>
        <v/>
      </c>
      <c r="K499" s="54"/>
    </row>
    <row r="500" spans="1:11" x14ac:dyDescent="0.25">
      <c r="A500" s="53">
        <v>2140110416</v>
      </c>
      <c r="B500" s="53" t="s">
        <v>737</v>
      </c>
      <c r="C500" s="53"/>
      <c r="D500" s="53" t="s">
        <v>287</v>
      </c>
      <c r="E500" s="53" t="s">
        <v>378</v>
      </c>
      <c r="F500" s="53"/>
      <c r="G500" s="53"/>
      <c r="H500" s="53"/>
      <c r="I500" s="53"/>
      <c r="J500" t="str">
        <f t="shared" si="7"/>
        <v/>
      </c>
      <c r="K500" s="54"/>
    </row>
    <row r="501" spans="1:11" x14ac:dyDescent="0.25">
      <c r="A501" s="53">
        <v>2140110417</v>
      </c>
      <c r="B501" s="53" t="s">
        <v>738</v>
      </c>
      <c r="C501" s="53"/>
      <c r="D501" s="53" t="s">
        <v>287</v>
      </c>
      <c r="E501" s="53" t="s">
        <v>378</v>
      </c>
      <c r="F501" s="53"/>
      <c r="G501" s="53"/>
      <c r="H501" s="53"/>
      <c r="I501" s="53"/>
      <c r="J501" t="str">
        <f t="shared" si="7"/>
        <v/>
      </c>
      <c r="K501" s="54"/>
    </row>
    <row r="502" spans="1:11" x14ac:dyDescent="0.25">
      <c r="A502" s="53">
        <v>2140110418</v>
      </c>
      <c r="B502" s="53" t="s">
        <v>739</v>
      </c>
      <c r="C502" s="53"/>
      <c r="D502" s="53" t="s">
        <v>287</v>
      </c>
      <c r="E502" s="53" t="s">
        <v>378</v>
      </c>
      <c r="F502" s="53"/>
      <c r="G502" s="53"/>
      <c r="H502" s="53"/>
      <c r="I502" s="53"/>
      <c r="J502" t="str">
        <f t="shared" si="7"/>
        <v/>
      </c>
      <c r="K502" s="54"/>
    </row>
    <row r="503" spans="1:11" x14ac:dyDescent="0.25">
      <c r="A503" s="53">
        <v>2140110419</v>
      </c>
      <c r="B503" s="53" t="s">
        <v>740</v>
      </c>
      <c r="C503" s="53"/>
      <c r="D503" s="53" t="s">
        <v>287</v>
      </c>
      <c r="E503" s="53" t="s">
        <v>378</v>
      </c>
      <c r="F503" s="53"/>
      <c r="G503" s="53"/>
      <c r="H503" s="53"/>
      <c r="I503" s="53"/>
      <c r="J503" t="str">
        <f t="shared" si="7"/>
        <v/>
      </c>
      <c r="K503" s="54"/>
    </row>
    <row r="504" spans="1:11" x14ac:dyDescent="0.25">
      <c r="A504" s="53">
        <v>2140110420</v>
      </c>
      <c r="B504" s="53" t="s">
        <v>741</v>
      </c>
      <c r="C504" s="53"/>
      <c r="D504" s="53" t="s">
        <v>287</v>
      </c>
      <c r="E504" s="53" t="s">
        <v>378</v>
      </c>
      <c r="F504" s="53"/>
      <c r="G504" s="53"/>
      <c r="H504" s="53"/>
      <c r="I504" s="53"/>
      <c r="J504" t="str">
        <f t="shared" si="7"/>
        <v/>
      </c>
      <c r="K504" s="54"/>
    </row>
    <row r="505" spans="1:11" x14ac:dyDescent="0.25">
      <c r="A505" s="53">
        <v>2140110421</v>
      </c>
      <c r="B505" s="53" t="s">
        <v>742</v>
      </c>
      <c r="C505" s="53"/>
      <c r="D505" s="53" t="s">
        <v>287</v>
      </c>
      <c r="E505" s="53" t="s">
        <v>378</v>
      </c>
      <c r="F505" s="53"/>
      <c r="G505" s="53"/>
      <c r="H505" s="53"/>
      <c r="I505" s="53"/>
      <c r="J505" t="str">
        <f t="shared" si="7"/>
        <v/>
      </c>
      <c r="K505" s="54"/>
    </row>
    <row r="506" spans="1:11" x14ac:dyDescent="0.25">
      <c r="A506" s="53">
        <v>2140110422</v>
      </c>
      <c r="B506" s="53" t="s">
        <v>743</v>
      </c>
      <c r="C506" s="53"/>
      <c r="D506" s="53" t="s">
        <v>287</v>
      </c>
      <c r="E506" s="53" t="s">
        <v>378</v>
      </c>
      <c r="F506" s="53"/>
      <c r="G506" s="53"/>
      <c r="H506" s="53"/>
      <c r="I506" s="53"/>
      <c r="J506" t="str">
        <f t="shared" si="7"/>
        <v/>
      </c>
      <c r="K506" s="54"/>
    </row>
    <row r="507" spans="1:11" x14ac:dyDescent="0.25">
      <c r="A507" s="53">
        <v>2140110423</v>
      </c>
      <c r="B507" s="53" t="s">
        <v>744</v>
      </c>
      <c r="C507" s="53"/>
      <c r="D507" s="53" t="s">
        <v>287</v>
      </c>
      <c r="E507" s="53" t="s">
        <v>378</v>
      </c>
      <c r="F507" s="53"/>
      <c r="G507" s="53"/>
      <c r="H507" s="53"/>
      <c r="I507" s="53"/>
      <c r="J507" t="str">
        <f t="shared" si="7"/>
        <v/>
      </c>
      <c r="K507" s="54"/>
    </row>
    <row r="508" spans="1:11" x14ac:dyDescent="0.25">
      <c r="A508" s="53">
        <v>2140110424</v>
      </c>
      <c r="B508" s="53" t="s">
        <v>745</v>
      </c>
      <c r="C508" s="53"/>
      <c r="D508" s="53" t="s">
        <v>287</v>
      </c>
      <c r="E508" s="53" t="s">
        <v>378</v>
      </c>
      <c r="F508" s="53"/>
      <c r="G508" s="53"/>
      <c r="H508" s="53"/>
      <c r="I508" s="53"/>
      <c r="J508" t="str">
        <f t="shared" si="7"/>
        <v/>
      </c>
      <c r="K508" s="54"/>
    </row>
    <row r="509" spans="1:11" x14ac:dyDescent="0.25">
      <c r="A509" s="53">
        <v>2140110425</v>
      </c>
      <c r="B509" s="53" t="s">
        <v>746</v>
      </c>
      <c r="C509" s="53"/>
      <c r="D509" s="53" t="s">
        <v>287</v>
      </c>
      <c r="E509" s="53" t="s">
        <v>378</v>
      </c>
      <c r="F509" s="53"/>
      <c r="G509" s="53"/>
      <c r="H509" s="53"/>
      <c r="I509" s="53"/>
      <c r="J509" t="str">
        <f t="shared" si="7"/>
        <v/>
      </c>
      <c r="K509" s="54"/>
    </row>
    <row r="510" spans="1:11" x14ac:dyDescent="0.25">
      <c r="A510" s="53">
        <v>2140110426</v>
      </c>
      <c r="B510" s="53" t="s">
        <v>747</v>
      </c>
      <c r="C510" s="53"/>
      <c r="D510" s="53" t="s">
        <v>287</v>
      </c>
      <c r="E510" s="53" t="s">
        <v>378</v>
      </c>
      <c r="F510" s="53"/>
      <c r="G510" s="53"/>
      <c r="H510" s="53"/>
      <c r="I510" s="53"/>
      <c r="J510" t="str">
        <f t="shared" si="7"/>
        <v/>
      </c>
      <c r="K510" s="54"/>
    </row>
    <row r="511" spans="1:11" x14ac:dyDescent="0.25">
      <c r="A511" s="53">
        <v>2140110433</v>
      </c>
      <c r="B511" s="53" t="s">
        <v>748</v>
      </c>
      <c r="C511" s="53"/>
      <c r="D511" s="53" t="s">
        <v>287</v>
      </c>
      <c r="E511" s="53" t="s">
        <v>378</v>
      </c>
      <c r="F511" s="53"/>
      <c r="G511" s="53"/>
      <c r="H511" s="53"/>
      <c r="I511" s="53"/>
      <c r="J511" t="str">
        <f t="shared" si="7"/>
        <v/>
      </c>
      <c r="K511" s="54"/>
    </row>
    <row r="512" spans="1:11" x14ac:dyDescent="0.25">
      <c r="A512" s="53">
        <v>2140110434</v>
      </c>
      <c r="B512" s="53" t="s">
        <v>749</v>
      </c>
      <c r="C512" s="53"/>
      <c r="D512" s="53" t="s">
        <v>287</v>
      </c>
      <c r="E512" s="53" t="s">
        <v>378</v>
      </c>
      <c r="F512" s="53"/>
      <c r="G512" s="53"/>
      <c r="H512" s="53"/>
      <c r="I512" s="53"/>
      <c r="J512" t="str">
        <f t="shared" si="7"/>
        <v/>
      </c>
      <c r="K512" s="54"/>
    </row>
    <row r="513" spans="1:11" x14ac:dyDescent="0.25">
      <c r="A513" s="53">
        <v>2140110435</v>
      </c>
      <c r="B513" s="53" t="s">
        <v>750</v>
      </c>
      <c r="C513" s="53"/>
      <c r="D513" s="53" t="s">
        <v>287</v>
      </c>
      <c r="E513" s="53" t="s">
        <v>378</v>
      </c>
      <c r="F513" s="53"/>
      <c r="G513" s="53"/>
      <c r="H513" s="53"/>
      <c r="I513" s="53"/>
      <c r="J513" t="str">
        <f t="shared" si="7"/>
        <v/>
      </c>
      <c r="K513" s="54"/>
    </row>
    <row r="514" spans="1:11" x14ac:dyDescent="0.25">
      <c r="A514" s="53">
        <v>2140110439</v>
      </c>
      <c r="B514" s="53" t="s">
        <v>751</v>
      </c>
      <c r="C514" s="53"/>
      <c r="D514" s="53" t="s">
        <v>287</v>
      </c>
      <c r="E514" s="53" t="s">
        <v>378</v>
      </c>
      <c r="F514" s="53"/>
      <c r="G514" s="53"/>
      <c r="H514" s="53"/>
      <c r="I514" s="53"/>
      <c r="J514" t="str">
        <f t="shared" ref="J514:J577" si="8">IF(COUNT(F514:I514)=4,ROUND(G514/1000*H514/100*I514/100*F514/3,4),"")</f>
        <v/>
      </c>
      <c r="K514" s="54"/>
    </row>
    <row r="515" spans="1:11" x14ac:dyDescent="0.25">
      <c r="A515" s="53">
        <v>2140110440</v>
      </c>
      <c r="B515" s="53" t="s">
        <v>752</v>
      </c>
      <c r="C515" s="53"/>
      <c r="D515" s="53" t="s">
        <v>287</v>
      </c>
      <c r="E515" s="53" t="s">
        <v>378</v>
      </c>
      <c r="F515" s="53"/>
      <c r="G515" s="53"/>
      <c r="H515" s="53"/>
      <c r="I515" s="53"/>
      <c r="J515" t="str">
        <f t="shared" si="8"/>
        <v/>
      </c>
      <c r="K515" s="54"/>
    </row>
    <row r="516" spans="1:11" x14ac:dyDescent="0.25">
      <c r="A516" s="53">
        <v>2140110441</v>
      </c>
      <c r="B516" s="53" t="s">
        <v>753</v>
      </c>
      <c r="C516" s="53"/>
      <c r="D516" s="53" t="s">
        <v>287</v>
      </c>
      <c r="E516" s="53" t="s">
        <v>378</v>
      </c>
      <c r="F516" s="53"/>
      <c r="G516" s="53"/>
      <c r="H516" s="53"/>
      <c r="I516" s="53"/>
      <c r="J516" t="str">
        <f t="shared" si="8"/>
        <v/>
      </c>
      <c r="K516" s="54"/>
    </row>
    <row r="517" spans="1:11" x14ac:dyDescent="0.25">
      <c r="A517" s="53">
        <v>2140110447</v>
      </c>
      <c r="B517" s="53" t="s">
        <v>754</v>
      </c>
      <c r="C517" s="53"/>
      <c r="D517" s="53" t="s">
        <v>287</v>
      </c>
      <c r="E517" s="53" t="s">
        <v>378</v>
      </c>
      <c r="F517" s="53"/>
      <c r="G517" s="53"/>
      <c r="H517" s="53"/>
      <c r="I517" s="53"/>
      <c r="J517" t="str">
        <f t="shared" si="8"/>
        <v/>
      </c>
      <c r="K517" s="54"/>
    </row>
    <row r="518" spans="1:11" x14ac:dyDescent="0.25">
      <c r="A518" s="53">
        <v>2140110448</v>
      </c>
      <c r="B518" s="53" t="s">
        <v>755</v>
      </c>
      <c r="C518" s="53"/>
      <c r="D518" s="53" t="s">
        <v>287</v>
      </c>
      <c r="E518" s="53" t="s">
        <v>378</v>
      </c>
      <c r="F518" s="53"/>
      <c r="G518" s="53"/>
      <c r="H518" s="53"/>
      <c r="I518" s="53"/>
      <c r="J518" t="str">
        <f t="shared" si="8"/>
        <v/>
      </c>
      <c r="K518" s="54"/>
    </row>
    <row r="519" spans="1:11" x14ac:dyDescent="0.25">
      <c r="A519" s="53">
        <v>2140110449</v>
      </c>
      <c r="B519" s="53" t="s">
        <v>756</v>
      </c>
      <c r="C519" s="53"/>
      <c r="D519" s="53" t="s">
        <v>287</v>
      </c>
      <c r="E519" s="53" t="s">
        <v>378</v>
      </c>
      <c r="F519" s="53"/>
      <c r="G519" s="53"/>
      <c r="H519" s="53"/>
      <c r="I519" s="53"/>
      <c r="J519" t="str">
        <f t="shared" si="8"/>
        <v/>
      </c>
      <c r="K519" s="54"/>
    </row>
    <row r="520" spans="1:11" x14ac:dyDescent="0.25">
      <c r="A520" s="53">
        <v>2140110450</v>
      </c>
      <c r="B520" s="53" t="s">
        <v>757</v>
      </c>
      <c r="C520" s="53"/>
      <c r="D520" s="53" t="s">
        <v>287</v>
      </c>
      <c r="E520" s="53" t="s">
        <v>378</v>
      </c>
      <c r="F520" s="53"/>
      <c r="G520" s="53"/>
      <c r="H520" s="53"/>
      <c r="I520" s="53"/>
      <c r="J520" t="str">
        <f t="shared" si="8"/>
        <v/>
      </c>
      <c r="K520" s="54"/>
    </row>
    <row r="521" spans="1:11" x14ac:dyDescent="0.25">
      <c r="A521" s="53">
        <v>2140110451</v>
      </c>
      <c r="B521" s="53" t="s">
        <v>758</v>
      </c>
      <c r="C521" s="53"/>
      <c r="D521" s="53" t="s">
        <v>287</v>
      </c>
      <c r="E521" s="53" t="s">
        <v>378</v>
      </c>
      <c r="F521" s="53"/>
      <c r="G521" s="53"/>
      <c r="H521" s="53"/>
      <c r="I521" s="53"/>
      <c r="J521" t="str">
        <f t="shared" si="8"/>
        <v/>
      </c>
      <c r="K521" s="54"/>
    </row>
    <row r="522" spans="1:11" x14ac:dyDescent="0.25">
      <c r="A522" s="53">
        <v>2140110453</v>
      </c>
      <c r="B522" s="53" t="s">
        <v>759</v>
      </c>
      <c r="C522" s="53"/>
      <c r="D522" s="53" t="s">
        <v>287</v>
      </c>
      <c r="E522" s="53" t="s">
        <v>378</v>
      </c>
      <c r="F522" s="53"/>
      <c r="G522" s="53"/>
      <c r="H522" s="53"/>
      <c r="I522" s="53"/>
      <c r="J522" t="str">
        <f t="shared" si="8"/>
        <v/>
      </c>
      <c r="K522" s="54"/>
    </row>
    <row r="523" spans="1:11" x14ac:dyDescent="0.25">
      <c r="A523" s="53">
        <v>2140110455</v>
      </c>
      <c r="B523" s="53" t="s">
        <v>760</v>
      </c>
      <c r="C523" s="53"/>
      <c r="D523" s="53" t="s">
        <v>287</v>
      </c>
      <c r="E523" s="53" t="s">
        <v>378</v>
      </c>
      <c r="F523" s="53"/>
      <c r="G523" s="53"/>
      <c r="H523" s="53"/>
      <c r="I523" s="53"/>
      <c r="J523" t="str">
        <f t="shared" si="8"/>
        <v/>
      </c>
      <c r="K523" s="54"/>
    </row>
    <row r="524" spans="1:11" x14ac:dyDescent="0.25">
      <c r="A524" s="53">
        <v>2140110456</v>
      </c>
      <c r="B524" s="53" t="s">
        <v>761</v>
      </c>
      <c r="C524" s="53"/>
      <c r="D524" s="53" t="s">
        <v>287</v>
      </c>
      <c r="E524" s="53" t="s">
        <v>378</v>
      </c>
      <c r="F524" s="53"/>
      <c r="G524" s="53"/>
      <c r="H524" s="53"/>
      <c r="I524" s="53"/>
      <c r="J524" t="str">
        <f t="shared" si="8"/>
        <v/>
      </c>
      <c r="K524" s="54"/>
    </row>
    <row r="525" spans="1:11" x14ac:dyDescent="0.25">
      <c r="A525" s="53">
        <v>2140110457</v>
      </c>
      <c r="B525" s="53" t="s">
        <v>762</v>
      </c>
      <c r="C525" s="53"/>
      <c r="D525" s="53" t="s">
        <v>287</v>
      </c>
      <c r="E525" s="53" t="s">
        <v>378</v>
      </c>
      <c r="F525" s="53"/>
      <c r="G525" s="53"/>
      <c r="H525" s="53"/>
      <c r="I525" s="53"/>
      <c r="J525" t="str">
        <f t="shared" si="8"/>
        <v/>
      </c>
      <c r="K525" s="54"/>
    </row>
    <row r="526" spans="1:11" x14ac:dyDescent="0.25">
      <c r="A526" s="53">
        <v>2140110458</v>
      </c>
      <c r="B526" s="53" t="s">
        <v>763</v>
      </c>
      <c r="C526" s="53"/>
      <c r="D526" s="53" t="s">
        <v>287</v>
      </c>
      <c r="E526" s="53" t="s">
        <v>378</v>
      </c>
      <c r="F526" s="53"/>
      <c r="G526" s="53"/>
      <c r="H526" s="53"/>
      <c r="I526" s="53"/>
      <c r="J526" t="str">
        <f t="shared" si="8"/>
        <v/>
      </c>
      <c r="K526" s="54"/>
    </row>
    <row r="527" spans="1:11" x14ac:dyDescent="0.25">
      <c r="A527" s="53">
        <v>2140110504</v>
      </c>
      <c r="B527" s="53" t="s">
        <v>764</v>
      </c>
      <c r="C527" s="53"/>
      <c r="D527" s="53" t="s">
        <v>287</v>
      </c>
      <c r="E527" s="53" t="s">
        <v>378</v>
      </c>
      <c r="F527" s="53"/>
      <c r="G527" s="53"/>
      <c r="H527" s="53"/>
      <c r="I527" s="53"/>
      <c r="J527" t="str">
        <f t="shared" si="8"/>
        <v/>
      </c>
      <c r="K527" s="54"/>
    </row>
    <row r="528" spans="1:11" x14ac:dyDescent="0.25">
      <c r="A528" s="53">
        <v>2140110505</v>
      </c>
      <c r="B528" s="53" t="s">
        <v>765</v>
      </c>
      <c r="C528" s="53"/>
      <c r="D528" s="53" t="s">
        <v>287</v>
      </c>
      <c r="E528" s="53" t="s">
        <v>378</v>
      </c>
      <c r="F528" s="53"/>
      <c r="G528" s="53"/>
      <c r="H528" s="53"/>
      <c r="I528" s="53"/>
      <c r="J528" t="str">
        <f t="shared" si="8"/>
        <v/>
      </c>
      <c r="K528" s="54">
        <v>8.1270000000000005E-3</v>
      </c>
    </row>
    <row r="529" spans="1:11" x14ac:dyDescent="0.25">
      <c r="A529" s="53">
        <v>2140110506</v>
      </c>
      <c r="B529" s="53" t="s">
        <v>766</v>
      </c>
      <c r="C529" s="53"/>
      <c r="D529" s="53" t="s">
        <v>287</v>
      </c>
      <c r="E529" s="53" t="s">
        <v>378</v>
      </c>
      <c r="F529" s="53"/>
      <c r="G529" s="53"/>
      <c r="H529" s="53"/>
      <c r="I529" s="53"/>
      <c r="J529" t="str">
        <f t="shared" si="8"/>
        <v/>
      </c>
      <c r="K529" s="54">
        <v>8.1270000000000005E-3</v>
      </c>
    </row>
    <row r="530" spans="1:11" x14ac:dyDescent="0.25">
      <c r="A530" s="53">
        <v>2140110507</v>
      </c>
      <c r="B530" s="53" t="s">
        <v>767</v>
      </c>
      <c r="C530" s="53"/>
      <c r="D530" s="53" t="s">
        <v>287</v>
      </c>
      <c r="E530" s="53" t="s">
        <v>378</v>
      </c>
      <c r="F530" s="53"/>
      <c r="G530" s="53"/>
      <c r="H530" s="53"/>
      <c r="I530" s="53"/>
      <c r="J530" t="str">
        <f t="shared" si="8"/>
        <v/>
      </c>
      <c r="K530" s="54">
        <v>8.1270000000000005E-3</v>
      </c>
    </row>
    <row r="531" spans="1:11" x14ac:dyDescent="0.25">
      <c r="A531" s="53">
        <v>2140110508</v>
      </c>
      <c r="B531" s="53" t="s">
        <v>768</v>
      </c>
      <c r="C531" s="53"/>
      <c r="D531" s="53" t="s">
        <v>287</v>
      </c>
      <c r="E531" s="53" t="s">
        <v>378</v>
      </c>
      <c r="F531" s="53"/>
      <c r="G531" s="53"/>
      <c r="H531" s="53"/>
      <c r="I531" s="53"/>
      <c r="J531" t="str">
        <f t="shared" si="8"/>
        <v/>
      </c>
      <c r="K531" s="54">
        <v>8.1270000000000005E-3</v>
      </c>
    </row>
    <row r="532" spans="1:11" x14ac:dyDescent="0.25">
      <c r="A532" s="53">
        <v>2140110509</v>
      </c>
      <c r="B532" s="53" t="s">
        <v>769</v>
      </c>
      <c r="C532" s="53"/>
      <c r="D532" s="53" t="s">
        <v>287</v>
      </c>
      <c r="E532" s="53" t="s">
        <v>378</v>
      </c>
      <c r="F532" s="53"/>
      <c r="G532" s="53"/>
      <c r="H532" s="53"/>
      <c r="I532" s="53"/>
      <c r="J532" t="str">
        <f t="shared" si="8"/>
        <v/>
      </c>
      <c r="K532" s="54">
        <v>8.1270000000000005E-3</v>
      </c>
    </row>
    <row r="533" spans="1:11" x14ac:dyDescent="0.25">
      <c r="A533" s="53">
        <v>2140110510</v>
      </c>
      <c r="B533" s="53" t="s">
        <v>770</v>
      </c>
      <c r="C533" s="53"/>
      <c r="D533" s="53" t="s">
        <v>287</v>
      </c>
      <c r="E533" s="53" t="s">
        <v>378</v>
      </c>
      <c r="F533" s="53"/>
      <c r="G533" s="53"/>
      <c r="H533" s="53"/>
      <c r="I533" s="53"/>
      <c r="J533" t="str">
        <f t="shared" si="8"/>
        <v/>
      </c>
      <c r="K533" s="54">
        <v>8.1270000000000005E-3</v>
      </c>
    </row>
    <row r="534" spans="1:11" x14ac:dyDescent="0.25">
      <c r="A534" s="53">
        <v>2140110511</v>
      </c>
      <c r="B534" s="53" t="s">
        <v>771</v>
      </c>
      <c r="C534" s="53"/>
      <c r="D534" s="53" t="s">
        <v>287</v>
      </c>
      <c r="E534" s="53" t="s">
        <v>378</v>
      </c>
      <c r="F534" s="53"/>
      <c r="G534" s="53"/>
      <c r="H534" s="53"/>
      <c r="I534" s="53"/>
      <c r="J534" t="str">
        <f t="shared" si="8"/>
        <v/>
      </c>
      <c r="K534" s="54"/>
    </row>
    <row r="535" spans="1:11" x14ac:dyDescent="0.25">
      <c r="A535" s="53">
        <v>2140110512</v>
      </c>
      <c r="B535" s="53" t="s">
        <v>772</v>
      </c>
      <c r="C535" s="53"/>
      <c r="D535" s="53" t="s">
        <v>287</v>
      </c>
      <c r="E535" s="53" t="s">
        <v>378</v>
      </c>
      <c r="F535" s="53"/>
      <c r="G535" s="53"/>
      <c r="H535" s="53"/>
      <c r="I535" s="53"/>
      <c r="J535" t="str">
        <f t="shared" si="8"/>
        <v/>
      </c>
      <c r="K535" s="54"/>
    </row>
    <row r="536" spans="1:11" x14ac:dyDescent="0.25">
      <c r="A536" s="53">
        <v>2140110513</v>
      </c>
      <c r="B536" s="53" t="s">
        <v>773</v>
      </c>
      <c r="C536" s="53"/>
      <c r="D536" s="53" t="s">
        <v>287</v>
      </c>
      <c r="E536" s="53" t="s">
        <v>378</v>
      </c>
      <c r="F536" s="53"/>
      <c r="G536" s="53"/>
      <c r="H536" s="53"/>
      <c r="I536" s="53"/>
      <c r="J536" t="str">
        <f t="shared" si="8"/>
        <v/>
      </c>
      <c r="K536" s="54"/>
    </row>
    <row r="537" spans="1:11" x14ac:dyDescent="0.25">
      <c r="A537" s="53">
        <v>2140110515</v>
      </c>
      <c r="B537" s="53" t="s">
        <v>774</v>
      </c>
      <c r="C537" s="53"/>
      <c r="D537" s="53" t="s">
        <v>287</v>
      </c>
      <c r="E537" s="53" t="s">
        <v>378</v>
      </c>
      <c r="F537" s="53"/>
      <c r="G537" s="53"/>
      <c r="H537" s="53"/>
      <c r="I537" s="53"/>
      <c r="J537" t="str">
        <f t="shared" si="8"/>
        <v/>
      </c>
      <c r="K537" s="54"/>
    </row>
    <row r="538" spans="1:11" x14ac:dyDescent="0.25">
      <c r="A538" s="53">
        <v>2140110516</v>
      </c>
      <c r="B538" s="53" t="s">
        <v>775</v>
      </c>
      <c r="C538" s="53"/>
      <c r="D538" s="53" t="s">
        <v>287</v>
      </c>
      <c r="E538" s="53" t="s">
        <v>378</v>
      </c>
      <c r="F538" s="53"/>
      <c r="G538" s="53"/>
      <c r="H538" s="53"/>
      <c r="I538" s="53"/>
      <c r="J538" t="str">
        <f t="shared" si="8"/>
        <v/>
      </c>
      <c r="K538" s="54"/>
    </row>
    <row r="539" spans="1:11" x14ac:dyDescent="0.25">
      <c r="A539" s="53">
        <v>2140110517</v>
      </c>
      <c r="B539" s="53" t="s">
        <v>776</v>
      </c>
      <c r="C539" s="53"/>
      <c r="D539" s="53" t="s">
        <v>287</v>
      </c>
      <c r="E539" s="53" t="s">
        <v>378</v>
      </c>
      <c r="F539" s="53"/>
      <c r="G539" s="53"/>
      <c r="H539" s="53"/>
      <c r="I539" s="53"/>
      <c r="J539" t="str">
        <f t="shared" si="8"/>
        <v/>
      </c>
      <c r="K539" s="54"/>
    </row>
    <row r="540" spans="1:11" x14ac:dyDescent="0.25">
      <c r="A540" s="53">
        <v>2140110518</v>
      </c>
      <c r="B540" s="53" t="s">
        <v>777</v>
      </c>
      <c r="C540" s="53"/>
      <c r="D540" s="53" t="s">
        <v>287</v>
      </c>
      <c r="E540" s="53" t="s">
        <v>378</v>
      </c>
      <c r="F540" s="53"/>
      <c r="G540" s="53"/>
      <c r="H540" s="53"/>
      <c r="I540" s="53"/>
      <c r="J540" t="str">
        <f t="shared" si="8"/>
        <v/>
      </c>
      <c r="K540" s="54"/>
    </row>
    <row r="541" spans="1:11" x14ac:dyDescent="0.25">
      <c r="A541" s="53">
        <v>2140110519</v>
      </c>
      <c r="B541" s="53" t="s">
        <v>778</v>
      </c>
      <c r="C541" s="53"/>
      <c r="D541" s="53" t="s">
        <v>287</v>
      </c>
      <c r="E541" s="53" t="s">
        <v>378</v>
      </c>
      <c r="F541" s="53"/>
      <c r="G541" s="53"/>
      <c r="H541" s="53"/>
      <c r="I541" s="53"/>
      <c r="J541" t="str">
        <f t="shared" si="8"/>
        <v/>
      </c>
      <c r="K541" s="54"/>
    </row>
    <row r="542" spans="1:11" x14ac:dyDescent="0.25">
      <c r="A542" s="53">
        <v>2140110749</v>
      </c>
      <c r="B542" s="53" t="s">
        <v>779</v>
      </c>
      <c r="C542" s="53"/>
      <c r="D542" s="53" t="s">
        <v>287</v>
      </c>
      <c r="E542" s="53" t="s">
        <v>378</v>
      </c>
      <c r="F542" s="53"/>
      <c r="G542" s="53"/>
      <c r="H542" s="53"/>
      <c r="I542" s="53"/>
      <c r="J542" t="str">
        <f t="shared" si="8"/>
        <v/>
      </c>
      <c r="K542" s="54"/>
    </row>
    <row r="543" spans="1:11" x14ac:dyDescent="0.25">
      <c r="A543" s="53">
        <v>2140110750</v>
      </c>
      <c r="B543" s="53" t="s">
        <v>780</v>
      </c>
      <c r="C543" s="53"/>
      <c r="D543" s="53" t="s">
        <v>287</v>
      </c>
      <c r="E543" s="53" t="s">
        <v>378</v>
      </c>
      <c r="F543" s="53"/>
      <c r="G543" s="53"/>
      <c r="H543" s="53"/>
      <c r="I543" s="53"/>
      <c r="J543" t="str">
        <f t="shared" si="8"/>
        <v/>
      </c>
      <c r="K543" s="54"/>
    </row>
    <row r="544" spans="1:11" x14ac:dyDescent="0.25">
      <c r="A544" s="53">
        <v>2140110579</v>
      </c>
      <c r="B544" s="53" t="s">
        <v>781</v>
      </c>
      <c r="C544" s="53"/>
      <c r="D544" s="53" t="s">
        <v>124</v>
      </c>
      <c r="E544" s="53" t="s">
        <v>378</v>
      </c>
      <c r="F544" s="53"/>
      <c r="G544" s="53"/>
      <c r="H544" s="53"/>
      <c r="I544" s="53"/>
      <c r="J544" t="str">
        <f t="shared" si="8"/>
        <v/>
      </c>
      <c r="K544" s="54">
        <v>8.2629999999999995E-3</v>
      </c>
    </row>
    <row r="545" spans="1:11" x14ac:dyDescent="0.25">
      <c r="A545" s="53">
        <v>2140110580</v>
      </c>
      <c r="B545" s="53" t="s">
        <v>782</v>
      </c>
      <c r="C545" s="53"/>
      <c r="D545" s="53" t="s">
        <v>124</v>
      </c>
      <c r="E545" s="53" t="s">
        <v>378</v>
      </c>
      <c r="F545" s="53"/>
      <c r="G545" s="53"/>
      <c r="H545" s="53"/>
      <c r="I545" s="53"/>
      <c r="J545" t="str">
        <f t="shared" si="8"/>
        <v/>
      </c>
      <c r="K545" s="54">
        <v>8.2629999999999995E-3</v>
      </c>
    </row>
    <row r="546" spans="1:11" x14ac:dyDescent="0.25">
      <c r="A546" s="53">
        <v>2140110630</v>
      </c>
      <c r="B546" s="53" t="s">
        <v>783</v>
      </c>
      <c r="C546" s="53"/>
      <c r="D546" s="53" t="s">
        <v>124</v>
      </c>
      <c r="E546" s="53" t="s">
        <v>378</v>
      </c>
      <c r="F546" s="53"/>
      <c r="G546" s="53"/>
      <c r="H546" s="53"/>
      <c r="I546" s="53"/>
      <c r="J546" t="str">
        <f t="shared" si="8"/>
        <v/>
      </c>
      <c r="K546" s="54"/>
    </row>
    <row r="547" spans="1:11" x14ac:dyDescent="0.25">
      <c r="A547" s="53">
        <v>2140110695</v>
      </c>
      <c r="B547" s="53" t="s">
        <v>784</v>
      </c>
      <c r="C547" s="53"/>
      <c r="D547" s="53" t="s">
        <v>124</v>
      </c>
      <c r="E547" s="53" t="s">
        <v>378</v>
      </c>
      <c r="F547" s="53"/>
      <c r="G547" s="53"/>
      <c r="H547" s="53"/>
      <c r="I547" s="53"/>
      <c r="J547" t="str">
        <f t="shared" si="8"/>
        <v/>
      </c>
      <c r="K547" s="54"/>
    </row>
    <row r="548" spans="1:11" x14ac:dyDescent="0.25">
      <c r="A548" s="53">
        <v>2140110696</v>
      </c>
      <c r="B548" s="53" t="s">
        <v>785</v>
      </c>
      <c r="C548" s="53"/>
      <c r="D548" s="53" t="s">
        <v>124</v>
      </c>
      <c r="E548" s="53" t="s">
        <v>378</v>
      </c>
      <c r="F548" s="53"/>
      <c r="G548" s="53"/>
      <c r="H548" s="53"/>
      <c r="I548" s="53"/>
      <c r="J548" t="str">
        <f t="shared" si="8"/>
        <v/>
      </c>
      <c r="K548" s="54"/>
    </row>
    <row r="549" spans="1:11" x14ac:dyDescent="0.25">
      <c r="A549" s="53">
        <v>2140110697</v>
      </c>
      <c r="B549" s="53" t="s">
        <v>786</v>
      </c>
      <c r="C549" s="53"/>
      <c r="D549" s="53" t="s">
        <v>124</v>
      </c>
      <c r="E549" s="53" t="s">
        <v>378</v>
      </c>
      <c r="F549" s="53"/>
      <c r="G549" s="53"/>
      <c r="H549" s="53"/>
      <c r="I549" s="53"/>
      <c r="J549" t="str">
        <f t="shared" si="8"/>
        <v/>
      </c>
      <c r="K549" s="54"/>
    </row>
    <row r="550" spans="1:11" x14ac:dyDescent="0.25">
      <c r="A550" s="53">
        <v>2140110698</v>
      </c>
      <c r="B550" s="53" t="s">
        <v>787</v>
      </c>
      <c r="C550" s="53"/>
      <c r="D550" s="53" t="s">
        <v>124</v>
      </c>
      <c r="E550" s="53" t="s">
        <v>378</v>
      </c>
      <c r="F550" s="53"/>
      <c r="G550" s="53"/>
      <c r="H550" s="53"/>
      <c r="I550" s="53"/>
      <c r="J550" t="str">
        <f t="shared" si="8"/>
        <v/>
      </c>
      <c r="K550" s="54"/>
    </row>
    <row r="551" spans="1:11" x14ac:dyDescent="0.25">
      <c r="A551" s="53">
        <v>2140110726</v>
      </c>
      <c r="B551" s="53" t="s">
        <v>223</v>
      </c>
      <c r="C551" s="53"/>
      <c r="D551" s="53" t="s">
        <v>124</v>
      </c>
      <c r="E551" s="53" t="s">
        <v>378</v>
      </c>
      <c r="F551" s="53"/>
      <c r="G551" s="53"/>
      <c r="H551" s="53"/>
      <c r="I551" s="53"/>
      <c r="J551" t="str">
        <f t="shared" si="8"/>
        <v/>
      </c>
      <c r="K551" s="54"/>
    </row>
  </sheetData>
  <conditionalFormatting sqref="E2:E850">
    <cfRule type="cellIs" dxfId="0" priority="1" operator="equal">
      <formula>"No está en el maestro"</formula>
    </cfRule>
  </conditionalFormatting>
  <pageMargins left="0.75" right="0.75" top="1" bottom="1" header="0.5" footer="0.5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600-000000000000}">
          <x14:formula1>
            <xm:f>OFFSET(Familias!$A$5,0,0,COUNTA(Familias!$A:$A)-2,1)</xm:f>
          </x14:formula1>
          <xm:sqref>D2:D850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26</vt:i4>
      </vt:variant>
    </vt:vector>
  </HeadingPairs>
  <TitlesOfParts>
    <vt:vector size="33" baseType="lpstr">
      <vt:lpstr>Digitar</vt:lpstr>
      <vt:lpstr>BD</vt:lpstr>
      <vt:lpstr>OT</vt:lpstr>
      <vt:lpstr>Familias</vt:lpstr>
      <vt:lpstr>Motivos</vt:lpstr>
      <vt:lpstr>Maestros</vt:lpstr>
      <vt:lpstr>Productos</vt:lpstr>
      <vt:lpstr>Digitar!Área_de_impresión</vt:lpstr>
      <vt:lpstr>inAyudante</vt:lpstr>
      <vt:lpstr>inCalidad</vt:lpstr>
      <vt:lpstr>inFecha</vt:lpstr>
      <vt:lpstr>inHoraFin</vt:lpstr>
      <vt:lpstr>inHoraIni</vt:lpstr>
      <vt:lpstr>inHoras</vt:lpstr>
      <vt:lpstr>inMaquina</vt:lpstr>
      <vt:lpstr>inObs</vt:lpstr>
      <vt:lpstr>inOperador</vt:lpstr>
      <vt:lpstr>inTurno</vt:lpstr>
      <vt:lpstr>mermas</vt:lpstr>
      <vt:lpstr>otA</vt:lpstr>
      <vt:lpstr>otB</vt:lpstr>
      <vt:lpstr>otCod</vt:lpstr>
      <vt:lpstr>otDesc</vt:lpstr>
      <vt:lpstr>otFam</vt:lpstr>
      <vt:lpstr>otFcom</vt:lpstr>
      <vt:lpstr>otIni</vt:lpstr>
      <vt:lpstr>otOT</vt:lpstr>
      <vt:lpstr>parCod</vt:lpstr>
      <vt:lpstr>parFin</vt:lpstr>
      <vt:lpstr>parIni</vt:lpstr>
      <vt:lpstr>parMotivo</vt:lpstr>
      <vt:lpstr>parObs</vt:lpstr>
      <vt:lpstr>parOT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rpalacios</cp:lastModifiedBy>
  <dcterms:created xsi:type="dcterms:W3CDTF">2026-10-12T13:46:14Z</dcterms:created>
  <dcterms:modified xsi:type="dcterms:W3CDTF">2026-10-12T15:03:54Z</dcterms:modified>
</cp:coreProperties>
</file>